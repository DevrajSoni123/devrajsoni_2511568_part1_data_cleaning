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soni\Downloads\"/>
    </mc:Choice>
  </mc:AlternateContent>
  <xr:revisionPtr revIDLastSave="0" documentId="13_ncr:1_{8B0B4B69-ADC6-430E-99CD-D543307960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" i="1" l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3" i="1"/>
  <c r="X4" i="1"/>
  <c r="X5" i="1"/>
  <c r="X6" i="1"/>
  <c r="X7" i="1"/>
  <c r="X2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2" i="1"/>
</calcChain>
</file>

<file path=xl/sharedStrings.xml><?xml version="1.0" encoding="utf-8"?>
<sst xmlns="http://schemas.openxmlformats.org/spreadsheetml/2006/main" count="11924" uniqueCount="2810">
  <si>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</si>
  <si>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</si>
  <si>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</si>
  <si>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</si>
  <si>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</si>
  <si>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</si>
  <si>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</si>
  <si>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</si>
  <si>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</si>
  <si>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</si>
  <si>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</si>
  <si>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</si>
  <si>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</si>
  <si>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</si>
  <si>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</si>
  <si>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</si>
  <si>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</si>
  <si>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</si>
  <si>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</si>
  <si>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</si>
  <si>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</si>
  <si>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</si>
  <si>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</si>
  <si>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</si>
  <si>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</si>
  <si>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</si>
  <si>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</si>
  <si>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</si>
  <si>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</si>
  <si>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</si>
  <si>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</si>
  <si>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</si>
  <si>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</si>
  <si>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</si>
  <si>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</si>
  <si>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</si>
  <si>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</si>
  <si>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</si>
  <si>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</si>
  <si>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</si>
  <si>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</si>
  <si>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</si>
  <si>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</si>
  <si>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</si>
  <si>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</si>
  <si>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</si>
  <si>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</si>
  <si>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</si>
  <si>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</si>
  <si>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</si>
  <si>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</si>
  <si>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</si>
  <si>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</si>
  <si>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</si>
  <si>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</si>
  <si>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</si>
  <si>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</si>
  <si>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</si>
  <si>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</si>
  <si>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</si>
  <si>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</si>
  <si>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</si>
  <si>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</si>
  <si>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</si>
  <si>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</si>
  <si>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</si>
  <si>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</si>
  <si>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</si>
  <si>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</si>
  <si>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</si>
  <si>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</si>
  <si>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</si>
  <si>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</si>
  <si>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</si>
  <si>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</si>
  <si>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</si>
  <si>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</si>
  <si>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</si>
  <si>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</si>
  <si>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</si>
  <si>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</si>
  <si>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</si>
  <si>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</si>
  <si>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</si>
  <si>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</si>
  <si>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</si>
  <si>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</si>
  <si>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</si>
  <si>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</si>
  <si>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</si>
  <si>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</si>
  <si>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</si>
  <si>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</si>
  <si>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</si>
  <si>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</si>
  <si>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</si>
  <si>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</si>
  <si>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</si>
  <si>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</si>
  <si>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</si>
  <si>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</si>
  <si>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</si>
  <si>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</si>
  <si>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</si>
  <si>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</si>
  <si>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</si>
  <si>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</si>
  <si>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</si>
  <si>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</si>
  <si>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</si>
  <si>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</si>
  <si>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</si>
  <si>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</si>
  <si>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</si>
  <si>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</si>
  <si>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</si>
  <si>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</si>
  <si>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</si>
  <si>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</si>
  <si>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</si>
  <si>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</si>
  <si>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</si>
  <si>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</si>
  <si>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</si>
  <si>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</si>
  <si>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</si>
  <si>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</si>
  <si>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</si>
  <si>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</si>
  <si>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</si>
  <si>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</si>
  <si>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</si>
  <si>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</si>
  <si>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</si>
  <si>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</si>
  <si>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</si>
  <si>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</si>
  <si>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</si>
  <si>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</si>
  <si>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</si>
  <si>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</si>
  <si>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</si>
  <si>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</si>
  <si>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</si>
  <si>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</si>
  <si>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</si>
  <si>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</si>
  <si>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</si>
  <si>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</si>
  <si>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</si>
  <si>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</si>
  <si>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</si>
  <si>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</si>
  <si>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</si>
  <si>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</si>
  <si>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</si>
  <si>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</si>
  <si>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</si>
  <si>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</si>
  <si>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</si>
  <si>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</si>
  <si>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</si>
  <si>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</si>
  <si>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</si>
  <si>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</si>
  <si>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</si>
  <si>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</si>
  <si>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</si>
  <si>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</si>
  <si>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</si>
  <si>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</si>
  <si>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</si>
  <si>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</si>
  <si>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</si>
  <si>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</si>
  <si>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</si>
  <si>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</si>
  <si>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</si>
  <si>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</si>
  <si>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</si>
  <si>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</si>
  <si>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</si>
  <si>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</si>
  <si>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</si>
  <si>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</si>
  <si>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</si>
  <si>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</si>
  <si>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</si>
  <si>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</si>
  <si>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</si>
  <si>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</si>
  <si>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</si>
  <si>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</si>
  <si>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</si>
  <si>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</si>
  <si>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</si>
  <si>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</si>
  <si>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</si>
  <si>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</si>
  <si>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</si>
  <si>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</si>
  <si>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</si>
  <si>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</si>
  <si>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</si>
  <si>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</si>
  <si>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</si>
  <si>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</si>
  <si>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</si>
  <si>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</si>
  <si>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</si>
  <si>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</si>
  <si>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</si>
  <si>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</si>
  <si>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</si>
  <si>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</si>
  <si>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</si>
  <si>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</si>
  <si>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</si>
  <si>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</si>
  <si>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</si>
  <si>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</si>
  <si>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</si>
  <si>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</si>
  <si>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</si>
  <si>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</si>
  <si>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</si>
  <si>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</si>
  <si>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</si>
  <si>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</si>
  <si>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</si>
  <si>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</si>
  <si>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</si>
  <si>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</si>
  <si>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</si>
  <si>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</si>
  <si>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</si>
  <si>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</si>
  <si>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</si>
  <si>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</si>
  <si>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</si>
  <si>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</si>
  <si>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</si>
  <si>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</si>
  <si>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</si>
  <si>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</si>
  <si>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</si>
  <si>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</si>
  <si>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</si>
  <si>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</si>
  <si>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</si>
  <si>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</si>
  <si>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</si>
  <si>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</si>
  <si>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</si>
  <si>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</si>
  <si>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</si>
  <si>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</si>
  <si>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</si>
  <si>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</si>
  <si>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</si>
  <si>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</si>
  <si>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</si>
  <si>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</si>
  <si>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</si>
  <si>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</si>
  <si>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</si>
  <si>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</si>
  <si>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</si>
  <si>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</si>
  <si>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</si>
  <si>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</si>
  <si>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</si>
  <si>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</si>
  <si>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</si>
  <si>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</si>
  <si>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</si>
  <si>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</si>
  <si>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</si>
  <si>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</si>
  <si>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</si>
  <si>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</si>
  <si>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</si>
  <si>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</si>
  <si>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</si>
  <si>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</si>
  <si>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</si>
  <si>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</si>
  <si>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</si>
  <si>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</si>
  <si>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</si>
  <si>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</si>
  <si>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</si>
  <si>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</si>
  <si>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</si>
  <si>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</si>
  <si>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</si>
  <si>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</si>
  <si>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</si>
  <si>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</si>
  <si>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</si>
  <si>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</si>
  <si>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</si>
  <si>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</si>
  <si>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</si>
  <si>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</si>
  <si>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</si>
  <si>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</si>
  <si>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</si>
  <si>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</si>
  <si>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</si>
  <si>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</si>
  <si>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</si>
  <si>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</si>
  <si>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</si>
  <si>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</si>
  <si>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</si>
  <si>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</si>
  <si>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</si>
  <si>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</si>
  <si>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</si>
  <si>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</si>
  <si>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</si>
  <si>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</si>
  <si>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</si>
  <si>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</si>
  <si>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</si>
  <si>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</si>
  <si>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</si>
  <si>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</si>
  <si>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</si>
  <si>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</si>
  <si>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</si>
  <si>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</si>
  <si>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</si>
  <si>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</si>
  <si>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</si>
  <si>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</si>
  <si>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</si>
  <si>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</si>
  <si>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</si>
  <si>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</si>
  <si>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</si>
  <si>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</si>
  <si>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</si>
  <si>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</si>
  <si>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</si>
  <si>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</si>
  <si>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</si>
  <si>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</si>
  <si>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</si>
  <si>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</si>
  <si>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</si>
  <si>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</si>
  <si>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</si>
  <si>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</si>
  <si>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</si>
  <si>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</si>
  <si>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</si>
  <si>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</si>
  <si>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</si>
  <si>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</si>
  <si>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</si>
  <si>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</si>
  <si>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</si>
  <si>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</si>
  <si>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</si>
  <si>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</si>
  <si>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</si>
  <si>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</si>
  <si>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</si>
  <si>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</si>
  <si>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</si>
  <si>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</si>
  <si>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</si>
  <si>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</si>
  <si>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</si>
  <si>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</si>
  <si>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</si>
  <si>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</si>
  <si>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</si>
  <si>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</si>
  <si>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</si>
  <si>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</si>
  <si>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</si>
  <si>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</si>
  <si>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</si>
  <si>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</si>
  <si>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</si>
  <si>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</si>
  <si>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</si>
  <si>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</si>
  <si>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</si>
  <si>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</si>
  <si>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</si>
  <si>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</si>
  <si>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</si>
  <si>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</si>
  <si>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</si>
  <si>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</si>
  <si>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</si>
  <si>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</si>
  <si>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</si>
  <si>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</si>
  <si>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</si>
  <si>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</si>
  <si>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</si>
  <si>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</si>
  <si>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</si>
  <si>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</si>
  <si>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</si>
  <si>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</si>
  <si>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</si>
  <si>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</si>
  <si>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</si>
  <si>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</si>
  <si>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</si>
  <si>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</si>
  <si>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</si>
  <si>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</si>
  <si>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</si>
  <si>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</si>
  <si>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</si>
  <si>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</si>
  <si>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</si>
  <si>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</si>
  <si>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</si>
  <si>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</si>
  <si>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</si>
  <si>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</si>
  <si>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</si>
  <si>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</si>
  <si>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</si>
  <si>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</si>
  <si>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</si>
  <si>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</si>
  <si>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</si>
  <si>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</si>
  <si>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</si>
  <si>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</si>
  <si>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</si>
  <si>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</si>
  <si>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</si>
  <si>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</si>
  <si>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</si>
  <si>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</si>
  <si>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</si>
  <si>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</si>
  <si>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</si>
  <si>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</si>
  <si>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</si>
  <si>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</si>
  <si>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</si>
  <si>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</si>
  <si>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</si>
  <si>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</si>
  <si>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</si>
  <si>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</si>
  <si>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</si>
  <si>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</si>
  <si>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</si>
  <si>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</si>
  <si>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</si>
  <si>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</si>
  <si>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</si>
  <si>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</si>
  <si>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</si>
  <si>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</si>
  <si>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</si>
  <si>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</si>
  <si>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</si>
  <si>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</si>
  <si>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</si>
  <si>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</si>
  <si>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</si>
  <si>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</si>
  <si>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</si>
  <si>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</si>
  <si>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</si>
  <si>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</si>
  <si>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</si>
  <si>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</si>
  <si>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</si>
  <si>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</si>
  <si>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</si>
  <si>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</si>
  <si>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</si>
  <si>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</si>
  <si>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</si>
  <si>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</si>
  <si>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</si>
  <si>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</si>
  <si>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</si>
  <si>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</si>
  <si>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</si>
  <si>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</si>
  <si>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</si>
  <si>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</si>
  <si>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</si>
  <si>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</si>
  <si>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</si>
  <si>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</si>
  <si>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</si>
  <si>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</si>
  <si>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</si>
  <si>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</si>
  <si>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</si>
  <si>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</si>
  <si>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</si>
  <si>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</si>
  <si>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</si>
  <si>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</si>
  <si>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</si>
  <si>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</si>
  <si>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</si>
  <si>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</si>
  <si>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</si>
  <si>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</si>
  <si>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</si>
  <si>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</si>
  <si>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</si>
  <si>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</si>
  <si>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</si>
  <si>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</si>
  <si>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</si>
  <si>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</si>
  <si>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</si>
  <si>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</si>
  <si>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</si>
  <si>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</si>
  <si>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</si>
  <si>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</si>
  <si>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</si>
  <si>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</si>
  <si>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</si>
  <si>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</si>
  <si>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</si>
  <si>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</si>
  <si>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</si>
  <si>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</si>
  <si>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</si>
  <si>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</si>
  <si>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</si>
  <si>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</si>
  <si>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</si>
  <si>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</si>
  <si>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</si>
  <si>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</si>
  <si>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</si>
  <si>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</si>
  <si>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</si>
  <si>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</si>
  <si>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</si>
  <si>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</si>
  <si>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</si>
  <si>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</si>
  <si>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</si>
  <si>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</si>
  <si>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</si>
  <si>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</si>
  <si>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</si>
  <si>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</si>
  <si>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</si>
  <si>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</si>
  <si>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</si>
  <si>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</si>
  <si>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</si>
  <si>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</si>
  <si>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</si>
  <si>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</si>
  <si>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</si>
  <si>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</si>
  <si>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</si>
  <si>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</si>
  <si>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</si>
  <si>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</si>
  <si>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</si>
  <si>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</si>
  <si>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</si>
  <si>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</si>
  <si>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</si>
  <si>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</si>
  <si>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</si>
  <si>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</si>
  <si>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</si>
  <si>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</si>
  <si>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</si>
  <si>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</si>
  <si>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</si>
  <si>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</si>
  <si>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</si>
  <si>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</si>
  <si>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</si>
  <si>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</si>
  <si>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</si>
  <si>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</si>
  <si>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</si>
  <si>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</si>
  <si>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</si>
  <si>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</si>
  <si>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</si>
  <si>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</si>
  <si>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</si>
  <si>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</si>
  <si>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</si>
  <si>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</si>
  <si>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</si>
  <si>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</si>
  <si>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</si>
  <si>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</si>
  <si>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</si>
  <si>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</si>
  <si>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</si>
  <si>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</si>
  <si>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</si>
  <si>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</si>
  <si>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</si>
  <si>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</si>
  <si>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</si>
  <si>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</si>
  <si>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</si>
  <si>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</si>
  <si>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</si>
  <si>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</si>
  <si>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</si>
  <si>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</si>
  <si>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</si>
  <si>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</si>
  <si>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</si>
  <si>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</si>
  <si>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</si>
  <si>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</si>
  <si>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</si>
  <si>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</si>
  <si>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</si>
  <si>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</si>
  <si>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</si>
  <si>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</si>
  <si>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</si>
  <si>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</si>
  <si>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</si>
  <si>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</si>
  <si>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</si>
  <si>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</si>
  <si>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</si>
  <si>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</si>
  <si>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</si>
  <si>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</si>
  <si>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</si>
  <si>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</si>
  <si>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</si>
  <si>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</si>
  <si>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</si>
  <si>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</si>
  <si>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</si>
  <si>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</si>
  <si>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</si>
  <si>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</si>
  <si>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</si>
  <si>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</si>
  <si>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</si>
  <si>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</si>
  <si>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</si>
  <si>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</si>
  <si>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</si>
  <si>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</si>
  <si>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</si>
  <si>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</si>
  <si>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</si>
  <si>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</si>
  <si>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</si>
  <si>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</si>
  <si>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</si>
  <si>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</si>
  <si>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</si>
  <si>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</si>
  <si>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</si>
  <si>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</si>
  <si>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</si>
  <si>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</si>
  <si>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</si>
  <si>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</si>
  <si>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</si>
  <si>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</si>
  <si>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</si>
  <si>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</si>
  <si>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</si>
  <si>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</si>
  <si>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</si>
  <si>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</si>
  <si>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</si>
  <si>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</si>
  <si>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</si>
  <si>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</si>
  <si>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</si>
  <si>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</si>
  <si>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</si>
  <si>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</si>
  <si>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</si>
  <si>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</si>
  <si>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</si>
  <si>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</si>
  <si>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</si>
  <si>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</si>
  <si>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</si>
  <si>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</si>
  <si>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</si>
  <si>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</si>
  <si>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</si>
  <si>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</si>
  <si>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</si>
  <si>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</si>
  <si>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</si>
  <si>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</si>
  <si>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</si>
  <si>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</si>
  <si>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</si>
  <si>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</si>
  <si>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</si>
  <si>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</si>
  <si>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</si>
  <si>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</si>
  <si>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</si>
  <si>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</si>
  <si>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</si>
  <si>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</si>
  <si>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</si>
  <si>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</si>
  <si>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</si>
  <si>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</si>
  <si>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</si>
  <si>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</si>
  <si>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</si>
  <si>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</si>
  <si>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</si>
  <si>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</si>
  <si>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</si>
  <si>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</si>
  <si>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</si>
  <si>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</si>
  <si>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</si>
  <si>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</si>
  <si>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</si>
  <si>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</si>
  <si>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</si>
  <si>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</si>
  <si>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</si>
  <si>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</si>
  <si>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</si>
  <si>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</si>
  <si>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</si>
  <si>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</si>
  <si>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</si>
  <si>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</si>
  <si>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</si>
  <si>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</si>
  <si>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</si>
  <si>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</si>
  <si>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</si>
  <si>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</si>
  <si>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</si>
  <si>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</si>
  <si>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</si>
  <si>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</si>
  <si>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</si>
  <si>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</si>
  <si>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</si>
  <si>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</si>
  <si>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</si>
  <si>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</si>
  <si>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</si>
  <si>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</si>
  <si>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</si>
  <si>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</si>
  <si>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</si>
  <si>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</si>
  <si>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</si>
  <si>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</si>
  <si>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</si>
  <si>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</si>
  <si>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</si>
  <si>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</si>
  <si>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</si>
  <si>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</si>
  <si>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</si>
  <si>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</si>
  <si>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</si>
  <si>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</si>
  <si>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</si>
  <si>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</si>
  <si>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</si>
  <si>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</si>
  <si>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</si>
  <si>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</si>
  <si>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</si>
  <si>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</si>
  <si>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</si>
  <si>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</si>
  <si>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</si>
  <si>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</si>
  <si>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</si>
  <si>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</si>
  <si>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</si>
  <si>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</si>
  <si>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</si>
  <si>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</si>
  <si>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</si>
  <si>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</si>
  <si>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</si>
  <si>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</si>
  <si>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</si>
  <si>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</si>
  <si>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</si>
  <si>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</si>
  <si>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</si>
  <si>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</si>
  <si>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</si>
  <si>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</si>
  <si>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</si>
  <si>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</si>
  <si>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</si>
  <si>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</si>
  <si>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</si>
  <si>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</si>
  <si>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</si>
  <si>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</si>
  <si>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</si>
  <si>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</si>
  <si>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</si>
  <si>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</si>
  <si>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</si>
  <si>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</si>
  <si>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</si>
  <si>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</si>
  <si>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</si>
  <si>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</si>
  <si>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</si>
  <si>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</si>
  <si>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</si>
  <si>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</si>
  <si>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</si>
  <si>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</si>
  <si>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</si>
  <si>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</si>
  <si>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</si>
  <si>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</si>
  <si>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</si>
  <si>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</si>
  <si>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</si>
  <si>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</si>
  <si>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</si>
  <si>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</si>
  <si>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</si>
  <si>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</si>
  <si>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</si>
  <si>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</si>
  <si>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</si>
  <si>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</si>
  <si>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</si>
  <si>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</si>
  <si>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</si>
  <si>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</si>
  <si>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</si>
  <si>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</si>
  <si>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</si>
  <si>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</si>
  <si>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</si>
  <si>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</si>
  <si>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</si>
  <si>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</si>
  <si>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</si>
  <si>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</si>
  <si>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</si>
  <si>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</si>
  <si>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</si>
  <si>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</si>
  <si>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</si>
  <si>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</si>
  <si>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</si>
  <si>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</si>
  <si>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</si>
  <si>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</si>
  <si>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</si>
  <si>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</si>
  <si>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</si>
  <si>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</si>
  <si>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</si>
  <si>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</si>
  <si>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</si>
  <si>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</si>
  <si>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</si>
  <si>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</si>
  <si>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</si>
  <si>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</si>
  <si>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</si>
  <si>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</si>
  <si>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</si>
  <si>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</si>
  <si>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</si>
  <si>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</si>
  <si>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</si>
  <si>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</si>
  <si>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</si>
  <si>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</si>
  <si>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</si>
  <si>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</si>
  <si>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</si>
  <si>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</si>
  <si>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</si>
  <si>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</si>
  <si>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</si>
  <si>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</si>
  <si>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</si>
  <si>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</si>
  <si>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</si>
  <si>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</si>
  <si>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</si>
  <si>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</si>
  <si>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</si>
  <si>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</si>
  <si>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</si>
  <si>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</si>
  <si>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</si>
  <si>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</si>
  <si>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</si>
  <si>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</si>
  <si>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</si>
  <si>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</si>
  <si>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</si>
  <si>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</si>
  <si>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</si>
  <si>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</si>
  <si>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</si>
  <si>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</si>
  <si>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</si>
  <si>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</si>
  <si>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</si>
  <si>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</si>
  <si>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</si>
  <si>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</si>
  <si>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</si>
  <si>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</si>
  <si>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</si>
  <si>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</si>
  <si>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</si>
  <si>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</si>
  <si>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</si>
  <si>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</si>
  <si>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</si>
  <si>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</si>
  <si>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</si>
  <si>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</si>
  <si>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</si>
  <si>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</si>
  <si>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</si>
  <si>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</si>
  <si>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</si>
  <si>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</si>
  <si>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</si>
  <si>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</si>
  <si>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</si>
  <si>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</si>
  <si>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</si>
  <si>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</si>
  <si>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</si>
  <si>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</si>
  <si>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</si>
  <si>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</si>
  <si>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</si>
  <si>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</si>
  <si>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</si>
  <si>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</si>
  <si>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</si>
  <si>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</si>
  <si>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</si>
  <si>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</si>
  <si>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</si>
  <si>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</si>
  <si>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</si>
  <si>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</si>
  <si>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</si>
  <si>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</si>
  <si>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</si>
  <si>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</si>
  <si>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</si>
  <si>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</si>
  <si>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</si>
  <si>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</si>
  <si>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</si>
  <si>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</si>
  <si>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</si>
  <si>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</si>
  <si>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</si>
  <si>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</si>
  <si>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</si>
  <si>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</si>
  <si>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</si>
  <si>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</si>
  <si>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</si>
  <si>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</si>
  <si>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</si>
  <si>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</si>
  <si>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</si>
  <si>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</si>
  <si>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</si>
  <si>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</si>
  <si>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</si>
  <si>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</si>
  <si>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</si>
  <si>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</si>
  <si>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</si>
  <si>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</si>
  <si>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</si>
  <si>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</si>
  <si>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</si>
  <si>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</si>
  <si>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</si>
  <si>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</si>
  <si>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</si>
  <si>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</si>
  <si>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</si>
  <si>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</si>
  <si>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</si>
  <si>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</si>
  <si>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</si>
  <si>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</si>
  <si>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</si>
  <si>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</si>
  <si>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</si>
  <si>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</si>
  <si>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</si>
  <si>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</si>
  <si>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</si>
  <si>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</si>
  <si>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</si>
  <si>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</si>
  <si>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</si>
  <si>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</si>
  <si>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</si>
  <si>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</si>
  <si>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</si>
  <si>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</si>
  <si>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</si>
  <si>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</si>
  <si>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</si>
  <si>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</si>
  <si>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</si>
  <si>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</si>
  <si>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</si>
  <si>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</si>
  <si>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</si>
  <si>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</si>
  <si>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</si>
  <si>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</si>
  <si>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</si>
  <si>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</si>
  <si>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</si>
  <si>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</si>
  <si>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</si>
  <si>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</si>
  <si>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</si>
  <si>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</si>
  <si>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</si>
  <si>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</si>
  <si>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</si>
  <si>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</si>
  <si>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</si>
  <si>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</si>
  <si>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</si>
  <si>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</si>
  <si>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</si>
  <si>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</si>
  <si>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</si>
  <si>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</si>
  <si>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</si>
  <si>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</si>
  <si>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</si>
  <si>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</si>
  <si>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</si>
  <si>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</si>
  <si>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</si>
  <si>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</si>
  <si>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</si>
  <si>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</si>
  <si>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</si>
  <si>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</si>
  <si>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</si>
  <si>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</si>
  <si>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</si>
  <si>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</si>
  <si>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</si>
  <si>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</si>
  <si>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</si>
  <si>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</si>
  <si>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</si>
  <si>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</si>
  <si>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</si>
  <si>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</si>
  <si>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</si>
  <si>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</si>
  <si>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</si>
  <si>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</si>
  <si>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</si>
  <si>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</si>
  <si>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</si>
  <si>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</si>
  <si>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</si>
  <si>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</si>
  <si>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</si>
  <si>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</si>
  <si>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</si>
  <si>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</si>
  <si>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</si>
  <si>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</si>
  <si>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</si>
  <si>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</si>
  <si>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</si>
  <si>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</si>
  <si>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</si>
  <si>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</si>
  <si>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</si>
  <si>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</si>
  <si>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</si>
  <si>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</si>
  <si>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</si>
  <si>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</si>
  <si>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</si>
  <si>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</si>
  <si>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</si>
  <si>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</si>
  <si>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</si>
  <si>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</si>
  <si>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</si>
  <si>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</si>
  <si>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</si>
  <si>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</si>
  <si>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</si>
  <si>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</si>
  <si>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</si>
  <si>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</si>
  <si>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</si>
  <si>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</si>
  <si>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</si>
  <si>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</si>
  <si>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</si>
  <si>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</si>
  <si>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</si>
  <si>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</si>
  <si>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</si>
  <si>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</si>
  <si>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</si>
  <si>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</si>
  <si>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</si>
  <si>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</si>
  <si>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</si>
  <si>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</si>
  <si>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</si>
  <si>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</si>
  <si>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</si>
  <si>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</si>
  <si>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</si>
  <si>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</si>
  <si>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</si>
  <si>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</si>
  <si>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</si>
  <si>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</si>
  <si>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</si>
  <si>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</si>
  <si>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</si>
  <si>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</si>
  <si>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</si>
  <si>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</si>
  <si>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</si>
  <si>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</si>
  <si>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</si>
  <si>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</si>
  <si>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</si>
  <si>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</si>
  <si>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</si>
  <si>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</si>
  <si>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</si>
  <si>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</si>
  <si>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</si>
  <si>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</si>
  <si>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</si>
  <si>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</si>
  <si>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</si>
  <si>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</si>
  <si>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</si>
  <si>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</si>
  <si>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</si>
  <si>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</si>
  <si>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</si>
  <si>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</si>
  <si>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</si>
  <si>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</si>
  <si>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</si>
  <si>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</si>
  <si>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</si>
  <si>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</si>
  <si>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</si>
  <si>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</si>
  <si>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</si>
  <si>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</si>
  <si>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</si>
  <si>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</si>
  <si>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</si>
  <si>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</si>
  <si>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</si>
  <si>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</si>
  <si>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</si>
  <si>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</si>
  <si>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</si>
  <si>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</si>
  <si>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</si>
  <si>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</si>
  <si>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</si>
  <si>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</si>
  <si>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</si>
  <si>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</si>
  <si>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</si>
  <si>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</si>
  <si>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</si>
  <si>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</si>
  <si>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</si>
  <si>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</si>
  <si>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</si>
  <si>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</si>
  <si>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</si>
  <si>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</si>
  <si>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</si>
  <si>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</si>
  <si>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</si>
  <si>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</si>
  <si>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</si>
  <si>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</si>
  <si>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</si>
  <si>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</si>
  <si>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</si>
  <si>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</si>
  <si>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</si>
  <si>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</si>
  <si>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</si>
  <si>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</si>
  <si>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</si>
  <si>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</si>
  <si>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</si>
  <si>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</si>
  <si>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</si>
  <si>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</si>
  <si>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</si>
  <si>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</si>
  <si>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</si>
  <si>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</si>
  <si>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</si>
  <si>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</si>
  <si>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</si>
  <si>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</si>
  <si>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</si>
  <si>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</si>
  <si>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</si>
  <si>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</si>
  <si>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</si>
  <si>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</si>
  <si>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</si>
  <si>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</si>
  <si>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</si>
  <si>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</si>
  <si>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</si>
  <si>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</si>
  <si>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</si>
  <si>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</si>
  <si>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</si>
  <si>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</si>
  <si>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</si>
  <si>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</si>
  <si>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</si>
  <si>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</si>
  <si>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</si>
  <si>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</si>
  <si>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</si>
  <si>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</si>
  <si>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</si>
  <si>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</si>
  <si>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</si>
  <si>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</si>
  <si>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</si>
  <si>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</si>
  <si>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</si>
  <si>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</si>
  <si>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</si>
  <si>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</si>
  <si>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</si>
  <si>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</si>
  <si>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</si>
  <si>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</si>
  <si>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</si>
  <si>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</si>
  <si>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</si>
  <si>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</si>
  <si>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</si>
  <si>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</si>
  <si>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</si>
  <si>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</si>
  <si>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</si>
  <si>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</si>
  <si>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</si>
  <si>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</si>
  <si>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</si>
  <si>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</si>
  <si>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</si>
  <si>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</si>
  <si>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</si>
  <si>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</si>
  <si>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</si>
  <si>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</si>
  <si>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</si>
  <si>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</si>
  <si>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</si>
  <si>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</si>
  <si>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</si>
  <si>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</si>
  <si>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</si>
  <si>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</si>
  <si>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</si>
  <si>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</si>
  <si>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</si>
  <si>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</si>
  <si>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</si>
  <si>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</si>
  <si>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</si>
  <si>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</si>
  <si>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</si>
  <si>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</si>
  <si>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</si>
  <si>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</si>
  <si>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</si>
  <si>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</si>
  <si>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</si>
  <si>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</si>
  <si>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</si>
  <si>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</si>
  <si>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</si>
  <si>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</si>
  <si>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</si>
  <si>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</si>
  <si>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</si>
  <si>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</si>
  <si>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</si>
  <si>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</si>
  <si>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</si>
  <si>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</si>
  <si>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</si>
  <si>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</si>
  <si>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</si>
  <si>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</si>
  <si>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</si>
  <si>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</si>
  <si>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</si>
  <si>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</si>
  <si>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</si>
  <si>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</si>
  <si>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</si>
  <si>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</si>
  <si>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</si>
  <si>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</si>
  <si>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</si>
  <si>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</si>
  <si>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</si>
  <si>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</si>
  <si>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</si>
  <si>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</si>
  <si>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</si>
  <si>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</si>
  <si>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</si>
  <si>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</si>
  <si>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</si>
  <si>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</si>
  <si>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</si>
  <si>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</si>
  <si>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</si>
  <si>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</si>
  <si>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</si>
  <si>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</si>
  <si>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</si>
  <si>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</si>
  <si>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</si>
  <si>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</si>
  <si>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</si>
  <si>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</si>
  <si>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</si>
  <si>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</si>
  <si>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</si>
  <si>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</si>
  <si>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</si>
  <si>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</si>
  <si>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</si>
  <si>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</si>
  <si>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</si>
  <si>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</si>
  <si>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</si>
  <si>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</si>
  <si>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</si>
  <si>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</si>
  <si>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</si>
  <si>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</si>
  <si>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</si>
  <si>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</si>
  <si>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</si>
  <si>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</si>
  <si>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</si>
  <si>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</si>
  <si>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</si>
  <si>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</si>
  <si>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</si>
  <si>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</si>
  <si>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</si>
  <si>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</si>
  <si>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</si>
  <si>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</si>
  <si>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</si>
  <si>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</si>
  <si>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</si>
  <si>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</si>
  <si>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</si>
  <si>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</si>
  <si>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</si>
  <si>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</si>
  <si>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</si>
  <si>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</si>
  <si>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</si>
  <si>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</si>
  <si>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</si>
  <si>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</si>
  <si>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</si>
  <si>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</si>
  <si>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</si>
  <si>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</si>
  <si>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</si>
  <si>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</si>
  <si>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</si>
  <si>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</si>
  <si>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</si>
  <si>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</si>
  <si>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</si>
  <si>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</si>
  <si>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</si>
  <si>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</si>
  <si>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</si>
  <si>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</si>
  <si>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</si>
  <si>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</si>
  <si>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</si>
  <si>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</si>
  <si>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</si>
  <si>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</si>
  <si>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</si>
  <si>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</si>
  <si>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</si>
  <si>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</si>
  <si>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</si>
  <si>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</si>
  <si>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</si>
  <si>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</si>
  <si>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</si>
  <si>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</si>
  <si>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</si>
  <si>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</si>
  <si>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</si>
  <si>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</si>
  <si>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</si>
  <si>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</si>
  <si>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</si>
  <si>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</si>
  <si>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</si>
  <si>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</si>
  <si>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</si>
  <si>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</si>
  <si>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</si>
  <si>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</si>
  <si>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</si>
  <si>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</si>
  <si>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</si>
  <si>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</si>
  <si>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</si>
  <si>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</si>
  <si>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</si>
  <si>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</si>
  <si>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</si>
  <si>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</si>
  <si>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</si>
  <si>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</si>
  <si>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</si>
  <si>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</si>
  <si>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</si>
  <si>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</si>
  <si>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</si>
  <si>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</si>
  <si>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</si>
  <si>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</si>
  <si>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</si>
  <si>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</si>
  <si>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</si>
  <si>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</si>
  <si>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</si>
  <si>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</si>
  <si>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</si>
  <si>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</si>
  <si>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</si>
  <si>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</si>
  <si>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</si>
  <si>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</si>
  <si>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</si>
  <si>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</si>
  <si>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</si>
  <si>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</si>
  <si>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</si>
  <si>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</si>
  <si>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</si>
  <si>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</si>
  <si>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</si>
  <si>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</si>
  <si>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</si>
  <si>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</si>
  <si>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</si>
  <si>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</si>
  <si>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</si>
  <si>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</si>
  <si>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</si>
  <si>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</si>
  <si>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</si>
  <si>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</si>
  <si>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</si>
  <si>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</si>
  <si>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</si>
  <si>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</si>
  <si>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</si>
  <si>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</si>
  <si>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</si>
  <si>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</si>
  <si>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</si>
  <si>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</si>
  <si>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</si>
  <si>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</si>
  <si>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</si>
  <si>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</si>
  <si>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</si>
  <si>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</si>
  <si>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</si>
  <si>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</si>
  <si>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</si>
  <si>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</si>
  <si>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</si>
  <si>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</si>
  <si>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</si>
  <si>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</si>
  <si>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</si>
  <si>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</si>
  <si>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</si>
  <si>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</si>
  <si>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</si>
  <si>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</si>
  <si>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</si>
  <si>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</si>
  <si>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</si>
  <si>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</si>
  <si>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</si>
  <si>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</si>
  <si>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</si>
  <si>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</si>
  <si>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</si>
  <si>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</si>
  <si>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</si>
  <si>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</si>
  <si>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</si>
  <si>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</si>
  <si>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</si>
  <si>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</si>
  <si>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</si>
  <si>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</si>
  <si>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</si>
  <si>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</si>
  <si>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</si>
  <si>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</si>
  <si>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</si>
  <si>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</si>
  <si>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</si>
  <si>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</si>
  <si>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</si>
  <si>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</si>
  <si>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</si>
  <si>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</si>
  <si>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</si>
  <si>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</si>
  <si>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</si>
  <si>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</si>
  <si>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</si>
  <si>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</si>
  <si>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</si>
  <si>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</si>
  <si>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</si>
  <si>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</si>
  <si>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</si>
  <si>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</si>
  <si>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</si>
  <si>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</si>
  <si>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</si>
  <si>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</si>
  <si>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</si>
  <si>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</si>
  <si>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</si>
  <si>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</si>
  <si>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</si>
  <si>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</si>
  <si>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</si>
  <si>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</si>
  <si>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</si>
  <si>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</si>
  <si>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</si>
  <si>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</si>
  <si>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</si>
  <si>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</si>
  <si>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</si>
  <si>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</si>
  <si>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</si>
  <si>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</si>
  <si>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</si>
  <si>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</si>
  <si>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</si>
  <si>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</si>
  <si>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</si>
  <si>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</si>
  <si>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</si>
  <si>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</si>
  <si>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</si>
  <si>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</si>
  <si>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</si>
  <si>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</si>
  <si>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</si>
  <si>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</si>
  <si>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</si>
  <si>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</si>
  <si>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</si>
  <si>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</si>
  <si>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</si>
  <si>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</si>
  <si>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</si>
  <si>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</si>
  <si>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</si>
  <si>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</si>
  <si>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</si>
  <si>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</si>
  <si>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</si>
  <si>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</si>
  <si>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</si>
  <si>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</si>
  <si>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</si>
  <si>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</si>
  <si>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</si>
  <si>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</si>
  <si>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</si>
  <si>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</si>
  <si>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</si>
  <si>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</si>
  <si>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</si>
  <si>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</si>
  <si>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</si>
  <si>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</si>
  <si>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</si>
  <si>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</si>
  <si>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</si>
  <si>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</si>
  <si>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</si>
  <si>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</si>
  <si>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</si>
  <si>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</si>
  <si>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</si>
  <si>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</si>
  <si>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</si>
  <si>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</si>
  <si>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</si>
  <si>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</si>
  <si>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</si>
  <si>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</si>
  <si>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</si>
  <si>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</si>
  <si>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</si>
  <si>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</si>
  <si>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</si>
  <si>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</si>
  <si>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</si>
  <si>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</si>
  <si>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</si>
  <si>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</si>
  <si>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</si>
  <si>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</si>
  <si>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</si>
  <si>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</si>
  <si>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</si>
  <si>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</si>
  <si>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</si>
  <si>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</si>
  <si>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</si>
  <si>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</si>
  <si>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</si>
  <si>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</si>
  <si>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</si>
  <si>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</si>
  <si>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</si>
  <si>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</si>
  <si>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</si>
  <si>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</si>
  <si>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</si>
  <si>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</si>
  <si>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</si>
  <si>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</si>
  <si>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</si>
  <si>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</si>
  <si>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</si>
  <si>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</si>
  <si>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</si>
  <si>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</si>
  <si>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</si>
  <si>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</si>
  <si>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</si>
  <si>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</si>
  <si>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</si>
  <si>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</si>
  <si>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</si>
  <si>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</si>
  <si>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</si>
  <si>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</si>
  <si>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</si>
  <si>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</si>
  <si>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</si>
  <si>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</si>
  <si>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</si>
  <si>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</si>
  <si>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</si>
  <si>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</si>
  <si>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</si>
  <si>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</si>
  <si>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</si>
  <si>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</si>
  <si>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</si>
  <si>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</si>
  <si>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</si>
  <si>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</si>
  <si>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</si>
  <si>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</si>
  <si>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</si>
  <si>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</si>
  <si>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</si>
  <si>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</si>
  <si>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</si>
  <si>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</si>
  <si>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</si>
  <si>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</si>
  <si>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</si>
  <si>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</si>
  <si>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</si>
  <si>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</si>
  <si>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</si>
  <si>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</si>
  <si>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</si>
  <si>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</si>
  <si>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</si>
  <si>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</si>
  <si>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</si>
  <si>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</si>
  <si>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</si>
  <si>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</si>
  <si>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</si>
  <si>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</si>
  <si>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</si>
  <si>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</si>
  <si>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</si>
  <si>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</si>
  <si>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</si>
  <si>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</si>
  <si>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</si>
  <si>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</si>
  <si>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</si>
  <si>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</si>
  <si>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</si>
  <si>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</si>
  <si>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</si>
  <si>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</si>
  <si>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</si>
  <si>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</si>
  <si>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</si>
  <si>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</si>
  <si>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</si>
  <si>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</si>
  <si>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</si>
  <si>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</si>
  <si>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</si>
  <si>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</si>
  <si>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</si>
  <si>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</si>
  <si>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</si>
  <si>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</si>
  <si>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</si>
  <si>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</si>
  <si>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</si>
  <si>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</si>
  <si>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</si>
  <si>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</si>
  <si>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</si>
  <si>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</si>
  <si>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</si>
  <si>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</si>
  <si>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</si>
  <si>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</si>
  <si>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</si>
  <si>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</si>
  <si>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</si>
  <si>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</si>
  <si>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</si>
  <si>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</si>
  <si>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</si>
  <si>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</si>
  <si>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</si>
  <si>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</si>
  <si>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</si>
  <si>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</si>
  <si>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</si>
  <si>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</si>
  <si>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</si>
  <si>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</si>
  <si>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</si>
  <si>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</si>
  <si>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</si>
  <si>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</si>
  <si>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</si>
  <si>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</si>
  <si>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</si>
  <si>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</si>
  <si>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</si>
  <si>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</si>
  <si>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</si>
  <si>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</si>
  <si>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</si>
  <si>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</si>
  <si>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</si>
  <si>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</si>
  <si>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</si>
  <si>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</si>
  <si>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</si>
  <si>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</si>
  <si>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</si>
  <si>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</si>
  <si>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</si>
  <si>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</si>
  <si>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</si>
  <si>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</si>
  <si>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</si>
  <si>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</si>
  <si>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</si>
  <si>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</si>
  <si>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</si>
  <si>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</si>
  <si>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</si>
  <si>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</si>
  <si>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</si>
  <si>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</si>
  <si>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</si>
  <si>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</si>
  <si>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</si>
  <si>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</si>
  <si>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</si>
  <si>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</si>
  <si>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</si>
  <si>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</si>
  <si>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</si>
  <si>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</si>
  <si>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</si>
  <si>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</si>
  <si>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</si>
  <si>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</si>
  <si>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</si>
  <si>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</si>
  <si>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</si>
  <si>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</si>
  <si>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</si>
  <si>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</si>
  <si>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</si>
  <si>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</si>
  <si>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</si>
  <si>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</si>
  <si>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</si>
  <si>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</si>
  <si>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</si>
  <si>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</si>
  <si>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</si>
  <si>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</si>
  <si>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</si>
  <si>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</si>
  <si>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</si>
  <si>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</si>
  <si>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</si>
  <si>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</si>
  <si>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</si>
  <si>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</si>
  <si>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</si>
  <si>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</si>
  <si>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</si>
  <si>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</si>
  <si>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</si>
  <si>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</si>
  <si>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</si>
  <si>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</si>
  <si>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</si>
  <si>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</si>
  <si>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</si>
  <si>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</si>
  <si>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</si>
  <si>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</si>
  <si>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</si>
  <si>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</si>
  <si>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</si>
  <si>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</si>
  <si>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</si>
  <si>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</si>
  <si>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</si>
  <si>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</si>
  <si>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</si>
  <si>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</si>
  <si>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</si>
  <si>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</si>
  <si>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</si>
  <si>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</si>
  <si>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</si>
  <si>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</si>
  <si>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</si>
  <si>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</si>
  <si>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</si>
  <si>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</si>
  <si>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</si>
  <si>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</si>
  <si>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</si>
  <si>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</si>
  <si>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</si>
  <si>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</si>
  <si>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</si>
  <si>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</si>
  <si>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</si>
  <si>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</si>
  <si>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</si>
  <si>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</si>
  <si>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</si>
  <si>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</si>
  <si>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</si>
  <si>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</si>
  <si>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</si>
  <si>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</si>
  <si>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</si>
  <si>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</si>
  <si>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</si>
  <si>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</si>
  <si>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</si>
  <si>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</si>
  <si>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</si>
  <si>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</si>
  <si>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</si>
  <si>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</si>
  <si>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</si>
  <si>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</si>
  <si>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</si>
  <si>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</si>
  <si>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</si>
  <si>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</si>
  <si>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</si>
  <si>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</si>
  <si>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</si>
  <si>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</si>
  <si>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</si>
  <si>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</si>
  <si>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</si>
  <si>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</si>
  <si>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</si>
  <si>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</si>
  <si>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</si>
  <si>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</si>
  <si>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</si>
  <si>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</si>
  <si>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</si>
  <si>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</si>
  <si>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</si>
  <si>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</si>
  <si>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</si>
  <si>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</si>
  <si>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</si>
  <si>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</si>
  <si>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</si>
  <si>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</si>
  <si>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</si>
  <si>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</si>
  <si>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</si>
  <si>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</si>
  <si>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</si>
  <si>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</si>
  <si>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</si>
  <si>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</si>
  <si>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</si>
  <si>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</si>
  <si>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</si>
  <si>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</si>
  <si>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</si>
  <si>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</si>
  <si>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</si>
  <si>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</si>
  <si>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</si>
  <si>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</si>
  <si>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</si>
  <si>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</si>
  <si>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</si>
  <si>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</si>
  <si>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</si>
  <si>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</si>
  <si>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</si>
  <si>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</si>
  <si>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</si>
  <si>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</si>
  <si>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</si>
  <si>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</si>
  <si>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</si>
  <si>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</si>
  <si>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</si>
  <si>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</si>
  <si>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</si>
  <si>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</si>
  <si>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</si>
  <si>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</si>
  <si>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</si>
  <si>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</si>
  <si>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</si>
  <si>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</si>
  <si>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</si>
  <si>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</si>
  <si>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</si>
  <si>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</si>
  <si>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</si>
  <si>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</si>
  <si>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</si>
  <si>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</si>
  <si>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</si>
  <si>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</si>
  <si>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</si>
  <si>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</si>
  <si>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</si>
  <si>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</si>
  <si>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</si>
  <si>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</si>
  <si>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</si>
  <si>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</si>
  <si>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</si>
  <si>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</si>
  <si>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</si>
  <si>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</si>
  <si>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</si>
  <si>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</si>
  <si>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</si>
  <si>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</si>
  <si>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</si>
  <si>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</si>
  <si>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</si>
  <si>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</si>
  <si>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</si>
  <si>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</si>
  <si>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</si>
  <si>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</si>
  <si>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</si>
  <si>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</si>
  <si>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</si>
  <si>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</si>
  <si>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</si>
  <si>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</si>
  <si>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</si>
  <si>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</si>
  <si>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</si>
  <si>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</si>
  <si>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</si>
  <si>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</si>
  <si>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</si>
  <si>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</si>
  <si>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</si>
  <si>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</si>
  <si>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</si>
  <si>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</si>
  <si>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</si>
  <si>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</si>
  <si>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</si>
  <si>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</si>
  <si>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</si>
  <si>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</si>
  <si>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</si>
  <si>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</si>
  <si>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</si>
  <si>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</si>
  <si>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</si>
  <si>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</si>
  <si>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</si>
  <si>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</si>
  <si>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</si>
  <si>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</si>
  <si>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</si>
  <si>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</si>
  <si>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</si>
  <si>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</si>
  <si>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</si>
  <si>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</si>
  <si>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</si>
  <si>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</si>
  <si>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</si>
  <si>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</si>
  <si>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</si>
  <si>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</si>
  <si>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</si>
  <si>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</si>
  <si>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</si>
  <si>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</si>
  <si>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</si>
  <si>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</si>
  <si>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</si>
  <si>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</si>
  <si>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</si>
  <si>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</si>
  <si>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</si>
  <si>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</si>
  <si>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</si>
  <si>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</si>
  <si>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</si>
  <si>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</si>
  <si>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</si>
  <si>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</si>
  <si>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</si>
  <si>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</si>
  <si>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</si>
  <si>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</si>
  <si>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</si>
  <si>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</si>
  <si>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</si>
  <si>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</si>
  <si>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</si>
  <si>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</si>
  <si>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</si>
  <si>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</si>
  <si>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</si>
  <si>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</si>
  <si>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</si>
  <si>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</si>
  <si>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</si>
  <si>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</si>
  <si>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</si>
  <si>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</si>
  <si>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</si>
  <si>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</si>
  <si>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</si>
  <si>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</si>
  <si>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</si>
  <si>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</si>
  <si>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</si>
  <si>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</si>
  <si>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</si>
  <si>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</si>
  <si>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</si>
  <si>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</si>
  <si>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</si>
  <si>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</si>
  <si>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</si>
  <si>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</si>
  <si>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</si>
  <si>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</si>
  <si>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</si>
  <si>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</si>
  <si>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</si>
  <si>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</si>
  <si>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</si>
  <si>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</si>
  <si>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</si>
  <si>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</si>
  <si>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</si>
  <si>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</si>
  <si>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</si>
  <si>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</si>
  <si>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</si>
  <si>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</si>
  <si>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</si>
  <si>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</si>
  <si>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</si>
  <si>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</si>
  <si>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</si>
  <si>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</si>
  <si>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</si>
  <si>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</si>
  <si>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</si>
  <si>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</si>
  <si>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</si>
  <si>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</si>
  <si>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</si>
  <si>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</si>
  <si>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</si>
  <si>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</si>
  <si>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</si>
  <si>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</si>
  <si>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</si>
  <si>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</si>
  <si>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</si>
  <si>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</si>
  <si>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</si>
  <si>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</si>
  <si>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</si>
  <si>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</si>
  <si>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</si>
  <si>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</si>
  <si>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</si>
  <si>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</si>
  <si>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</si>
  <si>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</si>
  <si>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</si>
  <si>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</si>
  <si>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</si>
  <si>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</si>
  <si>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</si>
  <si>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</si>
  <si>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</si>
  <si>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</si>
  <si>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</si>
  <si>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</si>
  <si>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</si>
  <si>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</si>
  <si>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</si>
  <si>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</si>
  <si>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</si>
  <si>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</si>
  <si>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</si>
  <si>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</si>
  <si>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</si>
  <si>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</si>
  <si>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</si>
  <si>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</si>
  <si>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</si>
  <si>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</si>
  <si>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</si>
  <si>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</si>
  <si>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</si>
  <si>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</si>
  <si>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</si>
  <si>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</si>
  <si>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</si>
  <si>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</si>
  <si>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</si>
  <si>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</si>
  <si>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</si>
  <si>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</si>
  <si>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</si>
  <si>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</si>
  <si>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</si>
  <si>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</si>
  <si>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</si>
  <si>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</si>
  <si>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</si>
  <si>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</si>
  <si>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</si>
  <si>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</si>
  <si>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</si>
  <si>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</si>
  <si>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</si>
  <si>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</si>
  <si>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</si>
  <si>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</si>
  <si>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</si>
  <si>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</si>
  <si>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</si>
  <si>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</si>
  <si>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</si>
  <si>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</si>
  <si>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</si>
  <si>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</si>
  <si>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</si>
  <si>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</si>
  <si>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</si>
  <si>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</si>
  <si>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</si>
  <si>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</si>
  <si>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</si>
  <si>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</si>
  <si>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</si>
  <si>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</si>
  <si>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</si>
  <si>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</si>
  <si>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</si>
  <si>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</si>
  <si>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</si>
  <si>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</si>
  <si>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</si>
  <si>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</si>
  <si>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</si>
  <si>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</si>
  <si>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</si>
  <si>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</si>
  <si>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</si>
  <si>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</si>
  <si>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</si>
  <si>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</si>
  <si>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</si>
  <si>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</si>
  <si>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</si>
  <si>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</si>
  <si>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</si>
  <si>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</si>
  <si>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</si>
  <si>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</si>
  <si>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</si>
  <si>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</si>
  <si>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</si>
  <si>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</si>
  <si>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</si>
  <si>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</si>
  <si>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</si>
  <si>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</si>
  <si>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</si>
  <si>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</si>
  <si>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</si>
  <si>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</si>
  <si>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</si>
  <si>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</si>
  <si>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</si>
  <si>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</si>
  <si>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</si>
  <si>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</si>
  <si>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</si>
  <si>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</si>
  <si>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</si>
  <si>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</si>
  <si>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</si>
  <si>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</si>
  <si>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</si>
  <si>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</si>
  <si>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</si>
  <si>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</si>
  <si>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</si>
  <si>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</si>
  <si>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</si>
  <si>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</si>
  <si>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</si>
  <si>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</si>
  <si>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</si>
  <si>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</si>
  <si>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</si>
  <si>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</si>
  <si>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</si>
  <si>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</si>
  <si>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</si>
  <si>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</si>
  <si>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</si>
  <si>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</si>
  <si>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</si>
  <si>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</si>
  <si>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</si>
  <si>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</si>
  <si>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</si>
  <si>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</si>
  <si>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</si>
  <si>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</si>
  <si>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</si>
  <si>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</si>
  <si>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</si>
  <si>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</si>
  <si>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</si>
  <si>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</si>
  <si>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</si>
  <si>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</si>
  <si>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</si>
  <si>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</si>
  <si>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</si>
  <si>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</si>
  <si>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</si>
  <si>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</si>
  <si>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</si>
  <si>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</si>
  <si>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</si>
  <si>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</si>
  <si>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</si>
  <si>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</si>
  <si>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</si>
  <si>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</si>
  <si>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</si>
  <si>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</si>
  <si>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</si>
  <si>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</si>
  <si>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</si>
  <si>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</si>
  <si>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</si>
  <si>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</si>
  <si>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</si>
  <si>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</si>
  <si>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</si>
  <si>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</si>
  <si>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</si>
  <si>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</si>
  <si>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</si>
  <si>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</si>
  <si>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</si>
  <si>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</si>
  <si>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</si>
  <si>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</si>
  <si>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</si>
  <si>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</si>
  <si>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</si>
  <si>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</si>
  <si>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</si>
  <si>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</si>
  <si>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</si>
  <si>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</si>
  <si>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</si>
  <si>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</si>
  <si>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</si>
  <si>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</si>
  <si>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</si>
  <si>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</si>
  <si>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</si>
  <si>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</si>
  <si>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</si>
  <si>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</si>
  <si>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</si>
  <si>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</si>
  <si>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</si>
  <si>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</si>
  <si>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</si>
  <si>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</si>
  <si>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</si>
  <si>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</si>
  <si>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</si>
  <si>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</si>
  <si>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</si>
  <si>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</si>
  <si>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</si>
  <si>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</si>
  <si>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</si>
  <si>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</si>
  <si>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</si>
  <si>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</si>
  <si>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</si>
  <si>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</si>
  <si>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</si>
  <si>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</si>
  <si>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</si>
  <si>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</si>
  <si>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</si>
  <si>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</si>
  <si>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</si>
  <si>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</si>
  <si>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</si>
  <si>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</si>
  <si>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</si>
  <si>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</si>
  <si>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</si>
  <si>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</si>
  <si>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</si>
  <si>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</si>
  <si>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</si>
  <si>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</si>
  <si>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</si>
  <si>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</si>
  <si>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</si>
  <si>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</si>
  <si>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</si>
  <si>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</si>
  <si>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</si>
  <si>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</si>
  <si>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</si>
  <si>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</si>
  <si>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</si>
  <si>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</si>
  <si>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</si>
  <si>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</si>
  <si>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</si>
  <si>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</si>
  <si>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</si>
  <si>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</si>
  <si>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</si>
  <si>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</si>
  <si>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</si>
  <si>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</si>
  <si>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</si>
  <si>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</si>
  <si>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</si>
  <si>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</si>
  <si>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</si>
  <si>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</si>
  <si>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</si>
  <si>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</si>
  <si>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</si>
  <si>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</si>
  <si>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</si>
  <si>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</si>
  <si>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</si>
  <si>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</si>
  <si>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</si>
  <si>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</si>
  <si>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</si>
  <si>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</si>
  <si>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</si>
  <si>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</si>
  <si>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</si>
  <si>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</si>
  <si>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</si>
  <si>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</si>
  <si>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</si>
  <si>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</si>
  <si>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</si>
  <si>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</si>
  <si>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</si>
  <si>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</si>
  <si>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</si>
  <si>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</si>
  <si>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</si>
  <si>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</si>
  <si>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</si>
  <si>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</si>
  <si>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</si>
  <si>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</si>
  <si>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</si>
  <si>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</si>
  <si>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</si>
  <si>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</si>
  <si>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</si>
  <si>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</si>
  <si>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</si>
  <si>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</si>
  <si>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</si>
  <si>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</si>
  <si>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</si>
  <si>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</si>
  <si>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</si>
  <si>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</si>
  <si>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</si>
  <si>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</si>
  <si>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</si>
  <si>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</si>
  <si>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</si>
  <si>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</si>
  <si>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</si>
  <si>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</si>
  <si>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</si>
  <si>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</si>
  <si>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</si>
  <si>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</si>
  <si>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</si>
  <si>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</si>
  <si>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</si>
  <si>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</si>
  <si>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</si>
  <si>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</si>
  <si>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</si>
  <si>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</si>
  <si>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</si>
  <si>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</si>
  <si>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</si>
  <si>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</si>
  <si>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</si>
  <si>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</si>
  <si>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</si>
  <si>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</si>
  <si>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</si>
  <si>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</si>
  <si>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</si>
  <si>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</si>
  <si>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</si>
  <si>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</si>
  <si>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</si>
  <si>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</si>
  <si>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</si>
  <si>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</si>
  <si>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</si>
  <si>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</si>
  <si>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</si>
  <si>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</si>
  <si>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</si>
  <si>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</si>
  <si>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</si>
  <si>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</si>
  <si>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</si>
  <si>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</si>
  <si>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</si>
  <si>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</si>
  <si>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</si>
  <si>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</si>
  <si>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</si>
  <si>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</si>
  <si>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</si>
  <si>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</si>
  <si>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</si>
  <si>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</si>
  <si>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</si>
  <si>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</si>
  <si>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</si>
  <si>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</si>
  <si>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</si>
  <si>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</si>
  <si>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</si>
  <si>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</si>
  <si>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</si>
  <si>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</si>
  <si>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</si>
  <si>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</si>
  <si>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</si>
  <si>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</si>
  <si>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</si>
  <si>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</si>
  <si>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</si>
  <si>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</si>
  <si>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</si>
  <si>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</si>
  <si>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</si>
  <si>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</si>
  <si>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</si>
  <si>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</si>
  <si>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</si>
  <si>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</si>
  <si>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</si>
  <si>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</si>
  <si>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</si>
  <si>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</si>
  <si>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</si>
  <si>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</si>
  <si>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</si>
  <si>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</si>
  <si>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</si>
  <si>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</si>
  <si>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</si>
  <si>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</si>
  <si>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</si>
  <si>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</si>
  <si>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</si>
  <si>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</si>
  <si>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</si>
  <si>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</si>
  <si>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</si>
  <si>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</si>
  <si>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</si>
  <si>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</si>
  <si>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</si>
  <si>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</si>
  <si>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</si>
  <si>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</si>
  <si>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</si>
  <si>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</si>
  <si>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</si>
  <si>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</si>
  <si>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</si>
  <si>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</si>
  <si>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</si>
  <si>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</si>
  <si>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</si>
  <si>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</si>
  <si>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</si>
  <si>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</si>
  <si>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</si>
  <si>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</si>
  <si>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</si>
  <si>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</si>
  <si>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</si>
  <si>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</si>
  <si>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</si>
  <si>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</si>
  <si>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</si>
  <si>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</si>
  <si>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</si>
  <si>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</si>
  <si>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</si>
  <si>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</si>
  <si>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</si>
  <si>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</si>
  <si>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</si>
  <si>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</si>
  <si>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</si>
  <si>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</si>
  <si>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</si>
  <si>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</si>
  <si>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</si>
  <si>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</si>
  <si>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</si>
  <si>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</si>
  <si>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</si>
  <si>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</si>
  <si>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</si>
  <si>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</si>
  <si>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</si>
  <si>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</si>
  <si>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</si>
  <si>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</si>
  <si>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</si>
  <si>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</si>
  <si>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</si>
  <si>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</si>
  <si>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</si>
  <si>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</si>
  <si>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</si>
  <si>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</si>
  <si>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</si>
  <si>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</si>
  <si>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</si>
  <si>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</si>
  <si>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</si>
  <si>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</si>
  <si>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</si>
  <si>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</si>
  <si>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</si>
  <si>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</si>
  <si>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</si>
  <si>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</si>
  <si>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</si>
  <si>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</si>
  <si>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</si>
  <si>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</si>
  <si>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</si>
  <si>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</si>
  <si>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</si>
  <si>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</si>
  <si>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</si>
  <si>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</si>
  <si>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</si>
  <si>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</si>
  <si>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</si>
  <si>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</si>
  <si>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</si>
  <si>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</si>
  <si>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</si>
  <si>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</si>
  <si>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</si>
  <si>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</si>
  <si>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</si>
  <si>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</si>
  <si>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</si>
  <si>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</si>
  <si>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</si>
  <si>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</si>
  <si>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</si>
  <si>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</si>
  <si>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</si>
  <si>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</si>
  <si>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</si>
  <si>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</si>
  <si>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</si>
  <si>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</si>
  <si>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</si>
  <si>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</si>
  <si>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</si>
  <si>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</si>
  <si>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</si>
  <si>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</si>
  <si>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</si>
  <si>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</si>
  <si>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</si>
  <si>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</si>
  <si>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</si>
  <si>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</si>
  <si>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</si>
  <si>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</si>
  <si>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</si>
  <si>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</si>
  <si>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</si>
  <si>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</si>
  <si>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</si>
  <si>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</si>
  <si>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</si>
  <si>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</si>
  <si>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</si>
  <si>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</si>
  <si>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</si>
  <si>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</si>
  <si>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</si>
  <si>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</si>
  <si>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</si>
  <si>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</si>
  <si>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</si>
  <si>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</si>
  <si>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</si>
  <si>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</si>
  <si>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</si>
  <si>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</si>
  <si>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</si>
  <si>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</si>
  <si>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</si>
  <si>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</si>
  <si>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</si>
  <si>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</si>
  <si>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</si>
  <si>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</si>
  <si>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</si>
  <si>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</si>
  <si>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</si>
  <si>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</si>
  <si>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</si>
  <si>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</si>
  <si>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</si>
  <si>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</si>
  <si>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</si>
  <si>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</si>
  <si>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</si>
  <si>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</si>
  <si>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</si>
  <si>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</si>
  <si>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</si>
  <si>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Unknown</t>
  </si>
  <si>
    <t>clean_discount</t>
  </si>
  <si>
    <t>data_quality_flag</t>
  </si>
  <si>
    <t>completed_sales_eligible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</si>
</sst>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2440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/>
    <xf numFmtId="4" fontId="1" fillId="2" borderId="0" xfId="0" applyNumberFormat="1" applyFont="1" applyFill="1" applyAlignment="1">
      <alignment horizontal="center" vertical="center" wrapText="1"/>
    </xf>
    <xf numFmtId="4" fontId="0" fillId="0" borderId="0" xfId="0" applyNumberFormat="1"/>
    <xf numFmtId="2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11">
    <dxf>
      <numFmt numFmtId="0" formatCode="General"/>
    </dxf>
    <dxf>
      <numFmt numFmtId="0" formatCode="General"/>
    </dxf>
    <dxf>
      <numFmt numFmtId="13" formatCode="0%"/>
    </dxf>
    <dxf>
      <numFmt numFmtId="2" formatCode="0.00"/>
    </dxf>
    <dxf>
      <numFmt numFmtId="165" formatCode="[$-14009]dd/mm/yyyy;@"/>
    </dxf>
    <dxf>
      <numFmt numFmtId="2" formatCode="0.00"/>
    </dxf>
    <dxf>
      <numFmt numFmtId="0" formatCode="General"/>
    </dxf>
    <dxf>
      <numFmt numFmtId="4" formatCode="#,##0.00"/>
    </dxf>
    <dxf>
      <numFmt numFmtId="0" formatCode="General"/>
    </dxf>
    <dxf>
      <numFmt numFmtId="165" formatCode="[$-14009]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96F51-2AA8-405E-85B9-6133DD0B0BFD}" name="Table1" displayName="Table1" ref="A1:Y914" totalsRowShown="0" headerRowDxfId="10">
  <autoFilter ref="A1:Y914" xr:uid="{03996F51-2AA8-405E-85B9-6133DD0B0BFD}"/>
  <tableColumns count="25">
    <tableColumn id="1" xr3:uid="{4BB11450-9CAC-4A7C-ABCD-2175D4E894D1}" name="order_id"/>
    <tableColumn id="2" xr3:uid="{37137F7E-CF24-4E6E-97D8-43FC2B783DA8}" name="order_date" dataDxfId="9"/>
    <tableColumn id="3" xr3:uid="{9B5DE0FB-8036-41DA-A644-5F0F8A4F40DA}" name="ship_date" dataDxfId="4"/>
    <tableColumn id="28" xr3:uid="{7C5C3F07-DF17-437E-A1F8-08137100EA04}" name="shipping_delay_days" dataDxfId="3">
      <calculatedColumnFormula>IF(OR(B2="",C2=""),"",C2-B2)</calculatedColumnFormula>
    </tableColumn>
    <tableColumn id="4" xr3:uid="{599339E8-DB98-49B2-B4A5-435085088723}" name="customer_id"/>
    <tableColumn id="23" xr3:uid="{0D0FE2FA-BA8C-44FA-B33E-FE6F345E2C58}" name="customer_name" dataDxfId="8"/>
    <tableColumn id="24" xr3:uid="{374EAD32-E1F2-41B8-A91E-7F43593412C7}" name="segment" dataDxfId="7"/>
    <tableColumn id="25" xr3:uid="{F3256F73-0DE5-4A99-8C2F-264936C26CD5}" name="region" dataDxfId="6"/>
    <tableColumn id="8" xr3:uid="{84ED26EF-DF95-4C55-B5DC-F7FFED68E43A}" name="state"/>
    <tableColumn id="9" xr3:uid="{165418D5-B194-4FDA-B9D8-0FFBCCF1FE80}" name="city"/>
    <tableColumn id="10" xr3:uid="{F9D4B263-8E69-4E13-823E-FD32068FD6D7}" name="category"/>
    <tableColumn id="11" xr3:uid="{4E1EBFE4-4D80-483C-835A-16399E066399}" name="sub_category"/>
    <tableColumn id="12" xr3:uid="{546CFEEF-93D4-4EEB-87AC-6EE3A6346518}" name="product_name"/>
    <tableColumn id="13" xr3:uid="{520797DF-8FC0-4921-874C-A2417406CC7A}" name="ship_mode"/>
    <tableColumn id="14" xr3:uid="{B54BC470-D62A-4306-863B-FCC4DB9441A1}" name="quantity"/>
    <tableColumn id="15" xr3:uid="{D07F1271-B2FD-4107-92D8-DA1A09525E19}" name="unit_price"/>
    <tableColumn id="16" xr3:uid="{2E9CFDFE-90DB-46DB-8588-46EFD30B2A95}" name="discount" dataDxfId="5"/>
    <tableColumn id="30" xr3:uid="{1E480DAE-F969-4AA0-B8BE-225EB11C01C9}" name="clean_discount" dataDxfId="2" dataCellStyle="Percent">
      <calculatedColumnFormula>IF(ISBLANK(Q2),IF(AND(ISNUMBER(O2),O2&gt;0,ISNUMBER(P2),ISNUMBER(S2),ISNUMBER(T2),ISNUMBER(U2)),0,""),Q2)</calculatedColumnFormula>
    </tableColumn>
    <tableColumn id="17" xr3:uid="{6A8B5E62-D651-4E7B-98FB-06A625A975C3}" name="sales"/>
    <tableColumn id="18" xr3:uid="{829C2E3A-850B-432D-8655-D339EFC27382}" name="cost"/>
    <tableColumn id="19" xr3:uid="{4328161D-3662-458B-ABA4-59667417D218}" name="profit"/>
    <tableColumn id="20" xr3:uid="{99AB18EC-0ABE-4FF9-BF52-38A58D5641E9}" name="payment_status"/>
    <tableColumn id="21" xr3:uid="{61CA0043-5FFA-444F-96F2-7F5E32A83A2C}" name="order_status"/>
    <tableColumn id="29" xr3:uid="{3B80EDEC-2133-478B-9094-97358A3C3FF3}" name="data_quality_flag" dataDxfId="1">
      <calculatedColumnFormula>_xlfn.TEXTJOIN("; ",TRUE,IF(R2&lt;0,"INVALID: Negative discount",""),IF(R2&gt;50%,"INVALID: Discount above range",""),IF(D2&lt;0,"INVALID: Ship date before order date",""),IF(W2="Cancelled","EXCLUDE: Cancelled order",""),IF(V2="Failed","EXCLUDE: Failed payment",""),IF(V2="Refunded","REFUND: Summarize separately",""))</calculatedColumnFormula>
    </tableColumn>
    <tableColumn id="31" xr3:uid="{0AB17D24-687D-4D34-9FFA-23511FEE394E}" name="completed_sales_eligible" dataDxfId="0">
      <calculatedColumnFormula>IF(AND(U2="Completed",T2="Paid",ISERROR(SEARCH("INVALID",W2))),"Include","Exclude")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33"/>
  <sheetViews>
    <sheetView tabSelected="1" topLeftCell="O1" zoomScale="117" workbookViewId="0">
      <selection activeCell="X8" sqref="X8"/>
    </sheetView>
  </sheetViews>
  <sheetFormatPr defaultRowHeight="13.8"/>
  <cols>
    <col min="1" max="1" width="15.19921875" bestFit="1" customWidth="1"/>
    <col min="2" max="3" width="11.296875" bestFit="1" customWidth="1"/>
    <col min="4" max="4" width="12" customWidth="1"/>
    <col min="5" max="5" width="10.5" bestFit="1" customWidth="1"/>
    <col min="6" max="6" width="23.3984375" customWidth="1"/>
    <col min="7" max="7" width="16.296875" style="5" customWidth="1"/>
    <col min="8" max="8" width="7.3984375" customWidth="1"/>
    <col min="9" max="9" width="14.59765625" bestFit="1" customWidth="1"/>
    <col min="10" max="10" width="11.8984375" bestFit="1" customWidth="1"/>
    <col min="11" max="11" width="16.69921875" bestFit="1" customWidth="1"/>
    <col min="12" max="12" width="10.5" bestFit="1" customWidth="1"/>
    <col min="13" max="13" width="20.5" bestFit="1" customWidth="1"/>
    <col min="14" max="14" width="17.19921875" bestFit="1" customWidth="1"/>
    <col min="15" max="15" width="1.8984375" bestFit="1" customWidth="1"/>
    <col min="16" max="16" width="7.8984375" bestFit="1" customWidth="1"/>
    <col min="17" max="17" width="5.5" bestFit="1" customWidth="1"/>
    <col min="18" max="18" width="11.19921875" customWidth="1"/>
    <col min="19" max="21" width="8.8984375" bestFit="1" customWidth="1"/>
    <col min="22" max="22" width="9" bestFit="1" customWidth="1"/>
    <col min="23" max="23" width="12.19921875" bestFit="1" customWidth="1"/>
    <col min="24" max="24" width="56.59765625" customWidth="1"/>
  </cols>
  <sheetData>
    <row r="1" spans="1:25" ht="22.35" customHeight="1">
      <c r="A1" s="1" t="s">
        <v>0</v>
      </c>
      <c r="B1" s="1" t="s">
        <v>1</v>
      </c>
      <c r="C1" s="1" t="s">
        <v>2</v>
      </c>
      <c r="D1" s="7" t="s">
        <v>2805</v>
      </c>
      <c r="E1" s="1" t="s">
        <v>3</v>
      </c>
      <c r="F1" s="1" t="s">
        <v>4</v>
      </c>
      <c r="G1" s="4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7" t="s">
        <v>2807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7" t="s">
        <v>2808</v>
      </c>
      <c r="Y1" s="7" t="s">
        <v>2809</v>
      </c>
    </row>
    <row r="2" spans="1:25">
      <c r="A2" t="s">
        <v>21</v>
      </c>
      <c r="B2" s="3">
        <v>45494</v>
      </c>
      <c r="C2" s="3">
        <v>45500</v>
      </c>
      <c r="D2" s="6">
        <f>IF(OR(B2="",C2=""),"",C2-B2)</f>
        <v>6</v>
      </c>
      <c r="E2" t="s">
        <v>22</v>
      </c>
      <c r="F2" t="s">
        <v>23</v>
      </c>
      <c r="G2" s="5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8</v>
      </c>
      <c r="P2">
        <v>2976.45</v>
      </c>
      <c r="Q2" s="6">
        <v>0.2</v>
      </c>
      <c r="R2" s="8">
        <f t="shared" ref="R2:R65" si="0">IF(ISBLANK(Q2),IF(AND(ISNUMBER(O2),O2&gt;0,ISNUMBER(P2),ISNUMBER(S2),ISNUMBER(T2),ISNUMBER(U2)),0,""),Q2)</f>
        <v>0.2</v>
      </c>
      <c r="S2">
        <v>19049.28</v>
      </c>
      <c r="T2">
        <v>15841.89</v>
      </c>
      <c r="U2">
        <v>3207.39</v>
      </c>
      <c r="V2" t="s">
        <v>32</v>
      </c>
      <c r="W2" t="s">
        <v>33</v>
      </c>
      <c r="X2" t="str">
        <f>_xlfn.TEXTJOIN("; ",TRUE,IF(R2&lt;0,"INVALID: Negative discount",""),IF(R2&gt;50%,"INVALID: Discount above range",""),IF(D2&lt;0,"INVALID: Ship date before order date",""),IF(W2="Cancelled","EXCLUDE: Cancelled order",""),IF(V2="Failed","EXCLUDE: Failed payment",""),IF(V2="Refunded","REFUND: Summarize separately",""))</f>
        <v/>
      </c>
      <c r="Y2" t="str">
        <f t="shared" ref="Y2:Y65" si="1">IF(AND(U2="Completed",T2="Paid",ISERROR(SEARCH("INVALID",W2))),"Include","Exclude")</f>
        <v>Exclude</v>
      </c>
    </row>
    <row r="3" spans="1:25">
      <c r="A3" t="s">
        <v>34</v>
      </c>
      <c r="B3" s="3">
        <v>45535</v>
      </c>
      <c r="C3" s="3">
        <v>45540</v>
      </c>
      <c r="D3" s="6">
        <f t="shared" ref="D3:D66" si="2">IF(OR(B3="",C3=""),"",C3-B3)</f>
        <v>5</v>
      </c>
      <c r="E3" t="s">
        <v>35</v>
      </c>
      <c r="F3" t="s">
        <v>36</v>
      </c>
      <c r="G3" s="5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3</v>
      </c>
      <c r="P3">
        <v>2437.5</v>
      </c>
      <c r="Q3" s="6">
        <v>0</v>
      </c>
      <c r="R3" s="8">
        <f t="shared" si="0"/>
        <v>0</v>
      </c>
      <c r="S3">
        <v>7312.5</v>
      </c>
      <c r="T3">
        <v>4904.7299999999996</v>
      </c>
      <c r="U3">
        <v>2407.77</v>
      </c>
      <c r="V3" t="s">
        <v>32</v>
      </c>
      <c r="W3" t="s">
        <v>33</v>
      </c>
      <c r="X3" t="str">
        <f t="shared" ref="X3:X66" si="3">_xlfn.TEXTJOIN("; ",TRUE,IF(R3&lt;0,"INVALID: Negative discount",""),IF(R3&gt;50%,"INVALID: Discount above range",""),IF(D3&lt;0,"INVALID: Ship date before order date",""),IF(W3="Cancelled","EXCLUDE: Cancelled order",""),IF(V3="Failed","EXCLUDE: Failed payment",""),IF(V3="Refunded","REFUND: Summarize separately",""))</f>
        <v/>
      </c>
      <c r="Y3" t="str">
        <f t="shared" si="1"/>
        <v>Exclude</v>
      </c>
    </row>
    <row r="4" spans="1:25">
      <c r="A4" t="s">
        <v>45</v>
      </c>
      <c r="B4" s="3">
        <v>45510</v>
      </c>
      <c r="C4" s="3">
        <v>45458</v>
      </c>
      <c r="D4" s="6">
        <f t="shared" si="2"/>
        <v>-52</v>
      </c>
      <c r="E4" t="s">
        <v>46</v>
      </c>
      <c r="F4" t="s">
        <v>47</v>
      </c>
      <c r="G4" s="5" t="s">
        <v>24</v>
      </c>
      <c r="H4" t="s">
        <v>38</v>
      </c>
      <c r="I4" t="s">
        <v>39</v>
      </c>
      <c r="J4" t="s">
        <v>40</v>
      </c>
      <c r="K4" t="s">
        <v>28</v>
      </c>
      <c r="L4" t="s">
        <v>48</v>
      </c>
      <c r="M4" t="s">
        <v>49</v>
      </c>
      <c r="N4" t="s">
        <v>50</v>
      </c>
      <c r="O4">
        <v>4</v>
      </c>
      <c r="P4">
        <v>1065.43</v>
      </c>
      <c r="Q4" s="6">
        <v>0.55000000000000004</v>
      </c>
      <c r="R4" s="8">
        <f t="shared" si="0"/>
        <v>0.55000000000000004</v>
      </c>
      <c r="S4">
        <v>4261.72</v>
      </c>
      <c r="T4">
        <v>2465.69</v>
      </c>
      <c r="U4">
        <v>1796.03</v>
      </c>
      <c r="V4" t="s">
        <v>32</v>
      </c>
      <c r="W4" t="s">
        <v>33</v>
      </c>
      <c r="X4" t="str">
        <f t="shared" si="3"/>
        <v>INVALID: Discount above range; INVALID: Ship date before order date</v>
      </c>
      <c r="Y4" t="str">
        <f t="shared" si="1"/>
        <v>Exclude</v>
      </c>
    </row>
    <row r="5" spans="1:25">
      <c r="A5" t="s">
        <v>51</v>
      </c>
      <c r="B5" s="3">
        <v>45624</v>
      </c>
      <c r="C5" s="3">
        <v>45625</v>
      </c>
      <c r="D5" s="6">
        <f t="shared" si="2"/>
        <v>1</v>
      </c>
      <c r="E5" t="s">
        <v>52</v>
      </c>
      <c r="F5" t="s">
        <v>53</v>
      </c>
      <c r="G5" s="5" t="s">
        <v>37</v>
      </c>
      <c r="H5" t="s">
        <v>54</v>
      </c>
      <c r="I5" t="s">
        <v>55</v>
      </c>
      <c r="J5" t="s">
        <v>56</v>
      </c>
      <c r="K5" t="s">
        <v>41</v>
      </c>
      <c r="L5" t="s">
        <v>57</v>
      </c>
      <c r="M5" t="s">
        <v>58</v>
      </c>
      <c r="N5" t="s">
        <v>59</v>
      </c>
      <c r="O5">
        <v>6</v>
      </c>
      <c r="P5">
        <v>1848.43</v>
      </c>
      <c r="Q5" s="6">
        <v>0.25</v>
      </c>
      <c r="R5" s="8">
        <f t="shared" si="0"/>
        <v>0.25</v>
      </c>
      <c r="S5">
        <v>8317.93</v>
      </c>
      <c r="T5">
        <v>6796.77</v>
      </c>
      <c r="U5">
        <v>1521.16</v>
      </c>
      <c r="V5" t="s">
        <v>32</v>
      </c>
      <c r="W5" t="s">
        <v>33</v>
      </c>
      <c r="X5" t="str">
        <f t="shared" si="3"/>
        <v/>
      </c>
      <c r="Y5" t="str">
        <f t="shared" si="1"/>
        <v>Exclude</v>
      </c>
    </row>
    <row r="6" spans="1:25">
      <c r="A6" t="s">
        <v>60</v>
      </c>
      <c r="B6" s="3">
        <v>45898</v>
      </c>
      <c r="C6" s="3">
        <v>45666</v>
      </c>
      <c r="D6" s="6">
        <f t="shared" si="2"/>
        <v>-232</v>
      </c>
      <c r="E6" t="s">
        <v>61</v>
      </c>
      <c r="F6" t="s">
        <v>62</v>
      </c>
      <c r="G6" s="5" t="s">
        <v>37</v>
      </c>
      <c r="H6" t="s">
        <v>63</v>
      </c>
      <c r="I6" t="s">
        <v>64</v>
      </c>
      <c r="J6" t="s">
        <v>65</v>
      </c>
      <c r="K6" t="s">
        <v>41</v>
      </c>
      <c r="L6" t="s">
        <v>66</v>
      </c>
      <c r="M6" t="s">
        <v>67</v>
      </c>
      <c r="N6" t="s">
        <v>50</v>
      </c>
      <c r="O6">
        <v>7</v>
      </c>
      <c r="P6">
        <v>2973.76</v>
      </c>
      <c r="Q6" s="6">
        <v>0</v>
      </c>
      <c r="R6" s="8">
        <f t="shared" si="0"/>
        <v>0</v>
      </c>
      <c r="S6">
        <v>20816.32</v>
      </c>
      <c r="T6">
        <v>17705.37</v>
      </c>
      <c r="U6">
        <v>3110.95</v>
      </c>
      <c r="V6" t="s">
        <v>32</v>
      </c>
      <c r="W6" t="s">
        <v>68</v>
      </c>
      <c r="X6" t="str">
        <f t="shared" si="3"/>
        <v>INVALID: Ship date before order date; EXCLUDE: Cancelled order</v>
      </c>
      <c r="Y6" t="str">
        <f t="shared" si="1"/>
        <v>Exclude</v>
      </c>
    </row>
    <row r="7" spans="1:25">
      <c r="A7" t="s">
        <v>69</v>
      </c>
      <c r="B7" s="3">
        <v>45436</v>
      </c>
      <c r="C7" s="3">
        <v>45440</v>
      </c>
      <c r="D7" s="6">
        <f t="shared" si="2"/>
        <v>4</v>
      </c>
      <c r="E7" t="s">
        <v>70</v>
      </c>
      <c r="F7" t="s">
        <v>71</v>
      </c>
      <c r="G7" s="5" t="s">
        <v>37</v>
      </c>
      <c r="H7" t="s">
        <v>63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44</v>
      </c>
      <c r="O7">
        <v>3</v>
      </c>
      <c r="P7">
        <v>1053.1099999999999</v>
      </c>
      <c r="Q7" s="6">
        <v>0.2</v>
      </c>
      <c r="R7" s="8">
        <f t="shared" si="0"/>
        <v>0.2</v>
      </c>
      <c r="S7">
        <v>2527.46</v>
      </c>
      <c r="T7">
        <v>1533.58</v>
      </c>
      <c r="U7">
        <v>993.88</v>
      </c>
      <c r="V7" t="s">
        <v>32</v>
      </c>
      <c r="W7" t="s">
        <v>33</v>
      </c>
      <c r="X7" t="str">
        <f t="shared" si="3"/>
        <v/>
      </c>
      <c r="Y7" t="str">
        <f t="shared" si="1"/>
        <v>Exclude</v>
      </c>
    </row>
    <row r="8" spans="1:25">
      <c r="A8" t="s">
        <v>77</v>
      </c>
      <c r="B8" s="3">
        <v>45934</v>
      </c>
      <c r="C8" s="3">
        <v>45763</v>
      </c>
      <c r="D8" s="6">
        <f t="shared" si="2"/>
        <v>-171</v>
      </c>
      <c r="E8" t="s">
        <v>78</v>
      </c>
      <c r="F8" t="s">
        <v>79</v>
      </c>
      <c r="G8" s="5" t="s">
        <v>24</v>
      </c>
      <c r="H8" t="s">
        <v>38</v>
      </c>
      <c r="I8" t="s">
        <v>39</v>
      </c>
      <c r="J8" t="s">
        <v>40</v>
      </c>
      <c r="K8" t="s">
        <v>74</v>
      </c>
      <c r="L8" t="s">
        <v>80</v>
      </c>
      <c r="M8" t="s">
        <v>81</v>
      </c>
      <c r="N8" t="s">
        <v>59</v>
      </c>
      <c r="O8">
        <v>4</v>
      </c>
      <c r="P8">
        <v>1719.87</v>
      </c>
      <c r="Q8" s="6">
        <v>0.2</v>
      </c>
      <c r="R8" s="8">
        <f t="shared" si="0"/>
        <v>0.2</v>
      </c>
      <c r="S8">
        <v>5847.56</v>
      </c>
      <c r="T8">
        <v>4727.25</v>
      </c>
      <c r="U8">
        <v>1120.31</v>
      </c>
      <c r="V8" t="s">
        <v>32</v>
      </c>
      <c r="W8" t="s">
        <v>33</v>
      </c>
      <c r="X8" t="str">
        <f t="shared" si="3"/>
        <v>INVALID: Ship date before order date</v>
      </c>
      <c r="Y8" t="str">
        <f t="shared" si="1"/>
        <v>Exclude</v>
      </c>
    </row>
    <row r="9" spans="1:25">
      <c r="A9" t="s">
        <v>82</v>
      </c>
      <c r="B9" s="3">
        <v>45711</v>
      </c>
      <c r="C9" s="3">
        <v>45714</v>
      </c>
      <c r="D9" s="6">
        <f t="shared" si="2"/>
        <v>3</v>
      </c>
      <c r="E9" t="s">
        <v>83</v>
      </c>
      <c r="F9" t="s">
        <v>47</v>
      </c>
      <c r="G9" s="5" t="s">
        <v>37</v>
      </c>
      <c r="H9" t="s">
        <v>54</v>
      </c>
      <c r="I9" t="s">
        <v>84</v>
      </c>
      <c r="J9" t="s">
        <v>85</v>
      </c>
      <c r="K9" t="s">
        <v>28</v>
      </c>
      <c r="L9" t="s">
        <v>48</v>
      </c>
      <c r="M9" t="s">
        <v>86</v>
      </c>
      <c r="N9" t="s">
        <v>50</v>
      </c>
      <c r="O9">
        <v>1</v>
      </c>
      <c r="P9">
        <v>2980.71</v>
      </c>
      <c r="Q9" s="6">
        <v>0</v>
      </c>
      <c r="R9" s="8">
        <f t="shared" si="0"/>
        <v>0</v>
      </c>
      <c r="S9">
        <v>2980.71</v>
      </c>
      <c r="T9">
        <v>2357.2199999999998</v>
      </c>
      <c r="U9">
        <v>623.49</v>
      </c>
      <c r="V9" t="s">
        <v>32</v>
      </c>
      <c r="W9" t="s">
        <v>33</v>
      </c>
      <c r="X9" t="str">
        <f t="shared" si="3"/>
        <v/>
      </c>
      <c r="Y9" t="str">
        <f t="shared" si="1"/>
        <v>Exclude</v>
      </c>
    </row>
    <row r="10" spans="1:25">
      <c r="A10" t="s">
        <v>87</v>
      </c>
      <c r="B10" s="3">
        <v>45423</v>
      </c>
      <c r="C10" s="3">
        <v>45576</v>
      </c>
      <c r="D10" s="6">
        <f t="shared" si="2"/>
        <v>153</v>
      </c>
      <c r="E10" t="s">
        <v>88</v>
      </c>
      <c r="F10" t="s">
        <v>89</v>
      </c>
      <c r="G10" s="5" t="s">
        <v>90</v>
      </c>
      <c r="H10" t="s">
        <v>54</v>
      </c>
      <c r="I10" t="s">
        <v>55</v>
      </c>
      <c r="J10" t="s">
        <v>56</v>
      </c>
      <c r="K10" t="s">
        <v>28</v>
      </c>
      <c r="L10" t="s">
        <v>91</v>
      </c>
      <c r="M10" t="s">
        <v>92</v>
      </c>
      <c r="N10" t="s">
        <v>50</v>
      </c>
      <c r="O10">
        <v>8</v>
      </c>
      <c r="P10">
        <v>3134.2</v>
      </c>
      <c r="Q10" s="6">
        <v>0</v>
      </c>
      <c r="R10" s="8">
        <f t="shared" si="0"/>
        <v>0</v>
      </c>
      <c r="S10">
        <v>25073.599999999999</v>
      </c>
      <c r="T10">
        <v>17347.23</v>
      </c>
      <c r="U10">
        <v>7726.37</v>
      </c>
      <c r="V10" t="s">
        <v>32</v>
      </c>
      <c r="W10" t="s">
        <v>33</v>
      </c>
      <c r="X10" t="str">
        <f t="shared" si="3"/>
        <v/>
      </c>
      <c r="Y10" t="str">
        <f t="shared" si="1"/>
        <v>Exclude</v>
      </c>
    </row>
    <row r="11" spans="1:25">
      <c r="A11" t="s">
        <v>93</v>
      </c>
      <c r="B11" s="3">
        <v>45907</v>
      </c>
      <c r="C11" s="3">
        <v>46000</v>
      </c>
      <c r="D11" s="6">
        <f t="shared" si="2"/>
        <v>93</v>
      </c>
      <c r="E11" t="s">
        <v>94</v>
      </c>
      <c r="F11" t="s">
        <v>36</v>
      </c>
      <c r="G11" s="5" t="s">
        <v>95</v>
      </c>
      <c r="H11" t="s">
        <v>54</v>
      </c>
      <c r="I11" t="s">
        <v>55</v>
      </c>
      <c r="J11" t="s">
        <v>56</v>
      </c>
      <c r="K11" t="s">
        <v>28</v>
      </c>
      <c r="L11" t="s">
        <v>29</v>
      </c>
      <c r="M11" t="s">
        <v>96</v>
      </c>
      <c r="N11" t="s">
        <v>31</v>
      </c>
      <c r="O11">
        <v>9</v>
      </c>
      <c r="P11">
        <v>852.04</v>
      </c>
      <c r="Q11" s="6">
        <v>0.2</v>
      </c>
      <c r="R11" s="8">
        <f t="shared" si="0"/>
        <v>0.2</v>
      </c>
      <c r="S11">
        <v>6134.69</v>
      </c>
      <c r="T11">
        <v>3800.19</v>
      </c>
      <c r="U11">
        <v>2334.5</v>
      </c>
      <c r="V11" t="s">
        <v>32</v>
      </c>
      <c r="W11" t="s">
        <v>33</v>
      </c>
      <c r="X11" t="str">
        <f t="shared" si="3"/>
        <v/>
      </c>
      <c r="Y11" t="str">
        <f t="shared" si="1"/>
        <v>Exclude</v>
      </c>
    </row>
    <row r="12" spans="1:25">
      <c r="A12" t="s">
        <v>97</v>
      </c>
      <c r="B12" s="3">
        <v>45797</v>
      </c>
      <c r="C12" s="3">
        <v>45797</v>
      </c>
      <c r="D12" s="6">
        <f t="shared" si="2"/>
        <v>0</v>
      </c>
      <c r="E12" t="s">
        <v>98</v>
      </c>
      <c r="F12" t="s">
        <v>62</v>
      </c>
      <c r="G12" s="5" t="s">
        <v>90</v>
      </c>
      <c r="H12" t="s">
        <v>38</v>
      </c>
      <c r="I12" t="s">
        <v>99</v>
      </c>
      <c r="J12" t="s">
        <v>100</v>
      </c>
      <c r="K12" t="s">
        <v>28</v>
      </c>
      <c r="L12" t="s">
        <v>91</v>
      </c>
      <c r="M12" t="s">
        <v>101</v>
      </c>
      <c r="N12" t="s">
        <v>31</v>
      </c>
      <c r="O12">
        <v>3</v>
      </c>
      <c r="P12">
        <v>3534.83</v>
      </c>
      <c r="Q12" s="6">
        <v>0.05</v>
      </c>
      <c r="R12" s="8">
        <f t="shared" si="0"/>
        <v>0.05</v>
      </c>
      <c r="S12">
        <v>10074.27</v>
      </c>
      <c r="T12">
        <v>6048.27</v>
      </c>
      <c r="U12">
        <v>4026</v>
      </c>
      <c r="V12" t="s">
        <v>102</v>
      </c>
      <c r="W12" t="s">
        <v>103</v>
      </c>
      <c r="X12" t="str">
        <f t="shared" si="3"/>
        <v>REFUND: Summarize separately</v>
      </c>
      <c r="Y12" t="str">
        <f t="shared" si="1"/>
        <v>Exclude</v>
      </c>
    </row>
    <row r="13" spans="1:25">
      <c r="A13" t="s">
        <v>104</v>
      </c>
      <c r="B13" s="3">
        <v>45495</v>
      </c>
      <c r="C13" s="3">
        <v>45496</v>
      </c>
      <c r="D13" s="6">
        <f t="shared" si="2"/>
        <v>1</v>
      </c>
      <c r="E13" t="s">
        <v>105</v>
      </c>
      <c r="F13" t="s">
        <v>71</v>
      </c>
      <c r="G13" s="5" t="s">
        <v>37</v>
      </c>
      <c r="H13" t="s">
        <v>38</v>
      </c>
      <c r="I13" t="s">
        <v>39</v>
      </c>
      <c r="J13" t="s">
        <v>40</v>
      </c>
      <c r="K13" t="s">
        <v>74</v>
      </c>
      <c r="L13" t="s">
        <v>75</v>
      </c>
      <c r="M13" t="s">
        <v>106</v>
      </c>
      <c r="N13" t="s">
        <v>44</v>
      </c>
      <c r="O13">
        <v>6</v>
      </c>
      <c r="P13">
        <v>2005.95</v>
      </c>
      <c r="Q13" s="6">
        <v>0.2</v>
      </c>
      <c r="R13" s="8">
        <f t="shared" si="0"/>
        <v>0.2</v>
      </c>
      <c r="S13">
        <v>9628.56</v>
      </c>
      <c r="T13">
        <v>8038.59</v>
      </c>
      <c r="U13">
        <v>1589.97</v>
      </c>
      <c r="V13" t="s">
        <v>32</v>
      </c>
      <c r="W13" t="s">
        <v>33</v>
      </c>
      <c r="X13" t="str">
        <f t="shared" si="3"/>
        <v/>
      </c>
      <c r="Y13" t="str">
        <f t="shared" si="1"/>
        <v>Exclude</v>
      </c>
    </row>
    <row r="14" spans="1:25">
      <c r="A14" t="s">
        <v>107</v>
      </c>
      <c r="B14" s="3">
        <v>45646</v>
      </c>
      <c r="C14" s="3">
        <v>45647</v>
      </c>
      <c r="D14" s="6">
        <f t="shared" si="2"/>
        <v>1</v>
      </c>
      <c r="E14" t="s">
        <v>108</v>
      </c>
      <c r="F14" t="s">
        <v>62</v>
      </c>
      <c r="G14" s="5" t="s">
        <v>90</v>
      </c>
      <c r="H14" t="s">
        <v>63</v>
      </c>
      <c r="I14" t="s">
        <v>26</v>
      </c>
      <c r="J14" t="s">
        <v>109</v>
      </c>
      <c r="K14" t="s">
        <v>28</v>
      </c>
      <c r="L14" t="s">
        <v>29</v>
      </c>
      <c r="M14" t="s">
        <v>110</v>
      </c>
      <c r="N14" t="s">
        <v>50</v>
      </c>
      <c r="O14">
        <v>1</v>
      </c>
      <c r="P14">
        <v>702.14</v>
      </c>
      <c r="Q14" s="6">
        <v>0.15</v>
      </c>
      <c r="R14" s="8">
        <f t="shared" si="0"/>
        <v>0.15</v>
      </c>
      <c r="S14">
        <v>596.82000000000005</v>
      </c>
      <c r="T14">
        <v>380.25</v>
      </c>
      <c r="U14">
        <v>216.57</v>
      </c>
      <c r="V14" t="s">
        <v>111</v>
      </c>
      <c r="W14" t="s">
        <v>103</v>
      </c>
      <c r="X14" t="str">
        <f t="shared" si="3"/>
        <v/>
      </c>
      <c r="Y14" t="str">
        <f t="shared" si="1"/>
        <v>Exclude</v>
      </c>
    </row>
    <row r="15" spans="1:25">
      <c r="A15" t="s">
        <v>112</v>
      </c>
      <c r="B15" s="3">
        <v>45942</v>
      </c>
      <c r="C15" s="3">
        <v>45946</v>
      </c>
      <c r="D15" s="6">
        <f t="shared" si="2"/>
        <v>4</v>
      </c>
      <c r="E15" t="s">
        <v>113</v>
      </c>
      <c r="F15" t="s">
        <v>114</v>
      </c>
      <c r="G15" s="5" t="s">
        <v>37</v>
      </c>
      <c r="H15" t="s">
        <v>63</v>
      </c>
      <c r="I15" t="s">
        <v>64</v>
      </c>
      <c r="J15" t="s">
        <v>65</v>
      </c>
      <c r="K15" t="s">
        <v>28</v>
      </c>
      <c r="L15" t="s">
        <v>48</v>
      </c>
      <c r="M15" t="s">
        <v>115</v>
      </c>
      <c r="N15" t="s">
        <v>31</v>
      </c>
      <c r="O15">
        <v>7</v>
      </c>
      <c r="P15">
        <v>3964.72</v>
      </c>
      <c r="Q15" s="6">
        <v>0.05</v>
      </c>
      <c r="R15" s="8">
        <f t="shared" si="0"/>
        <v>0.05</v>
      </c>
      <c r="S15">
        <v>26365.39</v>
      </c>
      <c r="T15">
        <v>22306.240000000002</v>
      </c>
      <c r="U15">
        <v>4059.15</v>
      </c>
      <c r="V15" t="s">
        <v>32</v>
      </c>
      <c r="W15" t="s">
        <v>33</v>
      </c>
      <c r="X15" t="str">
        <f t="shared" si="3"/>
        <v/>
      </c>
      <c r="Y15" t="str">
        <f t="shared" si="1"/>
        <v>Exclude</v>
      </c>
    </row>
    <row r="16" spans="1:25">
      <c r="A16" t="s">
        <v>116</v>
      </c>
      <c r="B16" s="3">
        <v>45653</v>
      </c>
      <c r="C16" s="3">
        <v>45654</v>
      </c>
      <c r="D16" s="6">
        <f t="shared" si="2"/>
        <v>1</v>
      </c>
      <c r="E16" t="s">
        <v>117</v>
      </c>
      <c r="F16" t="s">
        <v>118</v>
      </c>
      <c r="G16" s="5" t="s">
        <v>24</v>
      </c>
      <c r="H16" t="s">
        <v>63</v>
      </c>
      <c r="I16" t="s">
        <v>26</v>
      </c>
      <c r="J16" t="s">
        <v>109</v>
      </c>
      <c r="K16" t="s">
        <v>74</v>
      </c>
      <c r="L16" t="s">
        <v>80</v>
      </c>
      <c r="M16" t="s">
        <v>119</v>
      </c>
      <c r="N16" t="s">
        <v>59</v>
      </c>
      <c r="O16">
        <v>2</v>
      </c>
      <c r="P16">
        <v>2737.83</v>
      </c>
      <c r="Q16" s="6">
        <v>0.25</v>
      </c>
      <c r="R16" s="8">
        <f t="shared" si="0"/>
        <v>0.25</v>
      </c>
      <c r="S16">
        <v>4106.74</v>
      </c>
      <c r="T16">
        <v>2666.3</v>
      </c>
      <c r="U16">
        <v>1440.44</v>
      </c>
      <c r="V16" t="s">
        <v>32</v>
      </c>
      <c r="W16" t="s">
        <v>33</v>
      </c>
      <c r="X16" t="str">
        <f t="shared" si="3"/>
        <v/>
      </c>
      <c r="Y16" t="str">
        <f t="shared" si="1"/>
        <v>Exclude</v>
      </c>
    </row>
    <row r="17" spans="1:25">
      <c r="A17" t="s">
        <v>120</v>
      </c>
      <c r="B17" s="3">
        <v>45542</v>
      </c>
      <c r="C17" s="3">
        <v>45542</v>
      </c>
      <c r="D17" s="6">
        <f t="shared" si="2"/>
        <v>0</v>
      </c>
      <c r="E17" t="s">
        <v>121</v>
      </c>
      <c r="F17" t="s">
        <v>23</v>
      </c>
      <c r="G17" s="5" t="s">
        <v>37</v>
      </c>
      <c r="H17" t="s">
        <v>25</v>
      </c>
      <c r="I17" t="s">
        <v>122</v>
      </c>
      <c r="J17" t="s">
        <v>123</v>
      </c>
      <c r="K17" t="s">
        <v>28</v>
      </c>
      <c r="L17" t="s">
        <v>124</v>
      </c>
      <c r="M17" t="s">
        <v>125</v>
      </c>
      <c r="N17" t="s">
        <v>31</v>
      </c>
      <c r="O17">
        <v>6</v>
      </c>
      <c r="P17">
        <v>3965.76</v>
      </c>
      <c r="Q17" s="6">
        <v>0</v>
      </c>
      <c r="R17" s="8">
        <f t="shared" si="0"/>
        <v>0</v>
      </c>
      <c r="S17">
        <v>23794.560000000001</v>
      </c>
      <c r="T17">
        <v>15698.47</v>
      </c>
      <c r="U17">
        <v>8096.09</v>
      </c>
      <c r="V17" t="s">
        <v>32</v>
      </c>
      <c r="W17" t="s">
        <v>33</v>
      </c>
      <c r="X17" t="str">
        <f t="shared" si="3"/>
        <v/>
      </c>
      <c r="Y17" t="str">
        <f t="shared" si="1"/>
        <v>Exclude</v>
      </c>
    </row>
    <row r="18" spans="1:25">
      <c r="A18" t="s">
        <v>126</v>
      </c>
      <c r="B18" s="3">
        <v>45509</v>
      </c>
      <c r="C18" s="3">
        <v>45427</v>
      </c>
      <c r="D18" s="6">
        <f t="shared" si="2"/>
        <v>-82</v>
      </c>
      <c r="E18" t="s">
        <v>127</v>
      </c>
      <c r="F18" t="s">
        <v>128</v>
      </c>
      <c r="G18" s="5" t="s">
        <v>24</v>
      </c>
      <c r="H18" t="s">
        <v>54</v>
      </c>
      <c r="I18" t="s">
        <v>55</v>
      </c>
      <c r="J18" t="s">
        <v>56</v>
      </c>
      <c r="K18" t="s">
        <v>28</v>
      </c>
      <c r="L18" t="s">
        <v>48</v>
      </c>
      <c r="M18" t="s">
        <v>129</v>
      </c>
      <c r="N18" t="s">
        <v>50</v>
      </c>
      <c r="O18">
        <v>4</v>
      </c>
      <c r="P18">
        <v>3323.51</v>
      </c>
      <c r="Q18" s="6">
        <v>0.25</v>
      </c>
      <c r="R18" s="8">
        <f t="shared" si="0"/>
        <v>0.25</v>
      </c>
      <c r="S18">
        <v>9970.5300000000007</v>
      </c>
      <c r="T18">
        <v>5668.17</v>
      </c>
      <c r="U18">
        <v>4302.3599999999997</v>
      </c>
      <c r="V18" t="s">
        <v>32</v>
      </c>
      <c r="W18" t="s">
        <v>33</v>
      </c>
      <c r="X18" t="str">
        <f t="shared" si="3"/>
        <v>INVALID: Ship date before order date</v>
      </c>
      <c r="Y18" t="str">
        <f t="shared" si="1"/>
        <v>Exclude</v>
      </c>
    </row>
    <row r="19" spans="1:25">
      <c r="A19" t="s">
        <v>130</v>
      </c>
      <c r="B19" s="3">
        <v>45474</v>
      </c>
      <c r="C19" s="3">
        <v>45505</v>
      </c>
      <c r="D19" s="6">
        <f t="shared" si="2"/>
        <v>31</v>
      </c>
      <c r="E19" t="s">
        <v>131</v>
      </c>
      <c r="F19" t="s">
        <v>132</v>
      </c>
      <c r="G19" s="5" t="s">
        <v>37</v>
      </c>
      <c r="H19" t="s">
        <v>25</v>
      </c>
      <c r="I19" t="s">
        <v>26</v>
      </c>
      <c r="J19" t="s">
        <v>27</v>
      </c>
      <c r="K19" t="s">
        <v>41</v>
      </c>
      <c r="L19" t="s">
        <v>57</v>
      </c>
      <c r="M19" t="s">
        <v>133</v>
      </c>
      <c r="N19" t="s">
        <v>44</v>
      </c>
      <c r="O19">
        <v>5</v>
      </c>
      <c r="P19">
        <v>1526.78</v>
      </c>
      <c r="Q19" s="6">
        <v>0</v>
      </c>
      <c r="R19" s="8">
        <f t="shared" si="0"/>
        <v>0</v>
      </c>
      <c r="S19">
        <v>7633.9</v>
      </c>
      <c r="T19">
        <v>4706.91</v>
      </c>
      <c r="U19">
        <v>2926.99</v>
      </c>
      <c r="V19" t="s">
        <v>32</v>
      </c>
      <c r="W19" t="s">
        <v>33</v>
      </c>
      <c r="X19" t="str">
        <f t="shared" si="3"/>
        <v/>
      </c>
      <c r="Y19" t="str">
        <f t="shared" si="1"/>
        <v>Exclude</v>
      </c>
    </row>
    <row r="20" spans="1:25">
      <c r="A20" t="s">
        <v>134</v>
      </c>
      <c r="B20" s="3">
        <v>45853</v>
      </c>
      <c r="C20" s="3">
        <v>45855</v>
      </c>
      <c r="D20" s="6">
        <f t="shared" si="2"/>
        <v>2</v>
      </c>
      <c r="E20" t="s">
        <v>135</v>
      </c>
      <c r="F20" t="s">
        <v>128</v>
      </c>
      <c r="G20" s="5" t="s">
        <v>95</v>
      </c>
      <c r="H20" t="s">
        <v>25</v>
      </c>
      <c r="I20" t="s">
        <v>136</v>
      </c>
      <c r="J20" t="s">
        <v>137</v>
      </c>
      <c r="K20" t="s">
        <v>74</v>
      </c>
      <c r="L20" t="s">
        <v>80</v>
      </c>
      <c r="M20" t="s">
        <v>138</v>
      </c>
      <c r="N20" t="s">
        <v>50</v>
      </c>
      <c r="O20">
        <v>2</v>
      </c>
      <c r="P20">
        <v>1997.99</v>
      </c>
      <c r="Q20" s="6">
        <v>0</v>
      </c>
      <c r="R20" s="8">
        <f t="shared" si="0"/>
        <v>0</v>
      </c>
      <c r="S20">
        <v>3995.98</v>
      </c>
      <c r="T20">
        <v>2633.2</v>
      </c>
      <c r="U20">
        <v>1362.78</v>
      </c>
      <c r="V20" t="s">
        <v>102</v>
      </c>
      <c r="W20" t="s">
        <v>68</v>
      </c>
      <c r="X20" t="str">
        <f t="shared" si="3"/>
        <v>EXCLUDE: Cancelled order; REFUND: Summarize separately</v>
      </c>
      <c r="Y20" t="str">
        <f t="shared" si="1"/>
        <v>Exclude</v>
      </c>
    </row>
    <row r="21" spans="1:25">
      <c r="A21" t="s">
        <v>139</v>
      </c>
      <c r="B21" s="3">
        <v>45500</v>
      </c>
      <c r="C21" s="3">
        <v>45504</v>
      </c>
      <c r="D21" s="6">
        <f t="shared" si="2"/>
        <v>4</v>
      </c>
      <c r="E21" t="s">
        <v>140</v>
      </c>
      <c r="F21" t="s">
        <v>141</v>
      </c>
      <c r="G21" s="5" t="s">
        <v>95</v>
      </c>
      <c r="H21" t="s">
        <v>63</v>
      </c>
      <c r="I21" t="s">
        <v>72</v>
      </c>
      <c r="J21" t="s">
        <v>73</v>
      </c>
      <c r="K21" t="s">
        <v>28</v>
      </c>
      <c r="L21" t="s">
        <v>124</v>
      </c>
      <c r="M21" t="s">
        <v>142</v>
      </c>
      <c r="N21" t="s">
        <v>31</v>
      </c>
      <c r="O21">
        <v>3</v>
      </c>
      <c r="P21">
        <v>3887.94</v>
      </c>
      <c r="Q21" s="6">
        <v>-0.19</v>
      </c>
      <c r="R21" s="8">
        <f t="shared" si="0"/>
        <v>-0.19</v>
      </c>
      <c r="S21">
        <v>9331.06</v>
      </c>
      <c r="T21">
        <v>7529.31</v>
      </c>
      <c r="U21">
        <v>1801.75</v>
      </c>
      <c r="V21" t="s">
        <v>32</v>
      </c>
      <c r="W21" t="s">
        <v>33</v>
      </c>
      <c r="X21" t="str">
        <f t="shared" si="3"/>
        <v>INVALID: Negative discount</v>
      </c>
      <c r="Y21" t="str">
        <f t="shared" si="1"/>
        <v>Exclude</v>
      </c>
    </row>
    <row r="22" spans="1:25">
      <c r="A22" t="s">
        <v>143</v>
      </c>
      <c r="B22" s="3">
        <v>45678</v>
      </c>
      <c r="C22" s="3">
        <v>45680</v>
      </c>
      <c r="D22" s="6">
        <f t="shared" si="2"/>
        <v>2</v>
      </c>
      <c r="E22" t="s">
        <v>144</v>
      </c>
      <c r="F22" t="s">
        <v>89</v>
      </c>
      <c r="G22" s="5" t="s">
        <v>95</v>
      </c>
      <c r="H22" t="s">
        <v>38</v>
      </c>
      <c r="I22" t="s">
        <v>145</v>
      </c>
      <c r="J22" t="s">
        <v>146</v>
      </c>
      <c r="K22" t="s">
        <v>74</v>
      </c>
      <c r="L22" t="s">
        <v>80</v>
      </c>
      <c r="M22" t="s">
        <v>147</v>
      </c>
      <c r="N22" t="s">
        <v>50</v>
      </c>
      <c r="O22">
        <v>5</v>
      </c>
      <c r="P22">
        <v>4373.0600000000004</v>
      </c>
      <c r="Q22" s="6">
        <v>0.25</v>
      </c>
      <c r="R22" s="8">
        <f t="shared" si="0"/>
        <v>0.25</v>
      </c>
      <c r="S22">
        <v>16398.98</v>
      </c>
      <c r="T22">
        <v>9556.52</v>
      </c>
      <c r="U22">
        <v>6842.46</v>
      </c>
      <c r="V22" t="s">
        <v>32</v>
      </c>
      <c r="W22" t="s">
        <v>33</v>
      </c>
      <c r="X22" t="str">
        <f t="shared" si="3"/>
        <v/>
      </c>
      <c r="Y22" t="str">
        <f t="shared" si="1"/>
        <v>Exclude</v>
      </c>
    </row>
    <row r="23" spans="1:25">
      <c r="A23" t="s">
        <v>148</v>
      </c>
      <c r="B23" s="3">
        <v>45681</v>
      </c>
      <c r="C23" s="3">
        <v>45687</v>
      </c>
      <c r="D23" s="6">
        <f t="shared" si="2"/>
        <v>6</v>
      </c>
      <c r="E23" t="s">
        <v>149</v>
      </c>
      <c r="F23" t="s">
        <v>132</v>
      </c>
      <c r="G23" s="5" t="s">
        <v>24</v>
      </c>
      <c r="H23" t="s">
        <v>63</v>
      </c>
      <c r="I23" t="s">
        <v>72</v>
      </c>
      <c r="J23" t="s">
        <v>73</v>
      </c>
      <c r="K23" t="s">
        <v>41</v>
      </c>
      <c r="L23" t="s">
        <v>57</v>
      </c>
      <c r="M23" t="s">
        <v>150</v>
      </c>
      <c r="N23" t="s">
        <v>31</v>
      </c>
      <c r="O23">
        <v>4</v>
      </c>
      <c r="P23">
        <v>697.69</v>
      </c>
      <c r="Q23" s="6">
        <v>-0.23</v>
      </c>
      <c r="R23" s="8">
        <f t="shared" si="0"/>
        <v>-0.23</v>
      </c>
      <c r="S23">
        <v>2790.76</v>
      </c>
      <c r="T23">
        <v>2037.71</v>
      </c>
      <c r="U23">
        <v>753.05</v>
      </c>
      <c r="V23" t="s">
        <v>32</v>
      </c>
      <c r="W23" t="s">
        <v>33</v>
      </c>
      <c r="X23" t="str">
        <f t="shared" si="3"/>
        <v>INVALID: Negative discount</v>
      </c>
      <c r="Y23" t="str">
        <f t="shared" si="1"/>
        <v>Exclude</v>
      </c>
    </row>
    <row r="24" spans="1:25">
      <c r="A24" t="s">
        <v>151</v>
      </c>
      <c r="B24" s="3">
        <v>45676</v>
      </c>
      <c r="C24" s="3">
        <v>45678</v>
      </c>
      <c r="D24" s="6">
        <f t="shared" si="2"/>
        <v>2</v>
      </c>
      <c r="E24" t="s">
        <v>152</v>
      </c>
      <c r="F24" t="s">
        <v>36</v>
      </c>
      <c r="G24" s="5" t="s">
        <v>24</v>
      </c>
      <c r="H24" t="s">
        <v>54</v>
      </c>
      <c r="I24" t="s">
        <v>55</v>
      </c>
      <c r="J24" t="s">
        <v>56</v>
      </c>
      <c r="K24" t="s">
        <v>28</v>
      </c>
      <c r="L24" t="s">
        <v>153</v>
      </c>
      <c r="M24" t="s">
        <v>154</v>
      </c>
      <c r="N24" t="s">
        <v>59</v>
      </c>
      <c r="O24">
        <v>8</v>
      </c>
      <c r="P24">
        <v>1219.3399999999999</v>
      </c>
      <c r="Q24" s="6">
        <v>0.15</v>
      </c>
      <c r="R24" s="8">
        <f t="shared" si="0"/>
        <v>0.15</v>
      </c>
      <c r="S24">
        <v>8291.51</v>
      </c>
      <c r="T24">
        <v>6685.03</v>
      </c>
      <c r="U24">
        <v>1606.48</v>
      </c>
      <c r="V24" t="s">
        <v>155</v>
      </c>
      <c r="W24" t="s">
        <v>103</v>
      </c>
      <c r="X24" t="str">
        <f t="shared" si="3"/>
        <v>EXCLUDE: Failed payment</v>
      </c>
      <c r="Y24" t="str">
        <f t="shared" si="1"/>
        <v>Exclude</v>
      </c>
    </row>
    <row r="25" spans="1:25">
      <c r="A25" t="s">
        <v>156</v>
      </c>
      <c r="B25" s="3">
        <v>45898</v>
      </c>
      <c r="C25" s="3">
        <v>45900</v>
      </c>
      <c r="D25" s="6">
        <f t="shared" si="2"/>
        <v>2</v>
      </c>
      <c r="E25" t="s">
        <v>157</v>
      </c>
      <c r="F25" t="s">
        <v>118</v>
      </c>
      <c r="G25" s="5" t="s">
        <v>95</v>
      </c>
      <c r="H25" t="s">
        <v>38</v>
      </c>
      <c r="I25" t="s">
        <v>145</v>
      </c>
      <c r="J25" t="s">
        <v>146</v>
      </c>
      <c r="K25" t="s">
        <v>41</v>
      </c>
      <c r="L25" t="s">
        <v>158</v>
      </c>
      <c r="M25" t="s">
        <v>159</v>
      </c>
      <c r="N25" t="s">
        <v>50</v>
      </c>
      <c r="O25">
        <v>4</v>
      </c>
      <c r="P25">
        <v>1958.01</v>
      </c>
      <c r="Q25" s="6">
        <v>0.2</v>
      </c>
      <c r="R25" s="8">
        <f t="shared" si="0"/>
        <v>0.2</v>
      </c>
      <c r="S25">
        <v>6265.63</v>
      </c>
      <c r="T25">
        <v>4321.8599999999997</v>
      </c>
      <c r="U25">
        <v>1943.77</v>
      </c>
      <c r="V25" t="s">
        <v>32</v>
      </c>
      <c r="W25" t="s">
        <v>33</v>
      </c>
      <c r="X25" t="str">
        <f t="shared" si="3"/>
        <v/>
      </c>
      <c r="Y25" t="str">
        <f t="shared" si="1"/>
        <v>Exclude</v>
      </c>
    </row>
    <row r="26" spans="1:25">
      <c r="A26" t="s">
        <v>160</v>
      </c>
      <c r="B26" s="3">
        <v>45355</v>
      </c>
      <c r="C26" s="3">
        <v>45294</v>
      </c>
      <c r="D26" s="6">
        <f t="shared" si="2"/>
        <v>-61</v>
      </c>
      <c r="E26" t="s">
        <v>161</v>
      </c>
      <c r="F26" t="s">
        <v>162</v>
      </c>
      <c r="G26" s="5" t="s">
        <v>24</v>
      </c>
      <c r="H26" t="s">
        <v>25</v>
      </c>
      <c r="I26" t="s">
        <v>122</v>
      </c>
      <c r="J26" t="s">
        <v>123</v>
      </c>
      <c r="K26" t="s">
        <v>28</v>
      </c>
      <c r="L26" t="s">
        <v>48</v>
      </c>
      <c r="M26" t="s">
        <v>163</v>
      </c>
      <c r="N26" t="s">
        <v>59</v>
      </c>
      <c r="O26">
        <v>4</v>
      </c>
      <c r="P26">
        <v>4492.9399999999996</v>
      </c>
      <c r="Q26" s="6">
        <v>0.25</v>
      </c>
      <c r="R26" s="8">
        <f t="shared" si="0"/>
        <v>0.25</v>
      </c>
      <c r="S26">
        <v>13478.82</v>
      </c>
      <c r="T26">
        <v>10937.35</v>
      </c>
      <c r="U26">
        <v>2541.4699999999998</v>
      </c>
      <c r="V26" t="s">
        <v>111</v>
      </c>
      <c r="W26" t="s">
        <v>68</v>
      </c>
      <c r="X26" t="str">
        <f t="shared" si="3"/>
        <v>INVALID: Ship date before order date; EXCLUDE: Cancelled order</v>
      </c>
      <c r="Y26" t="str">
        <f t="shared" si="1"/>
        <v>Exclude</v>
      </c>
    </row>
    <row r="27" spans="1:25">
      <c r="A27" t="s">
        <v>164</v>
      </c>
      <c r="B27" s="3">
        <v>45576</v>
      </c>
      <c r="C27" s="3">
        <v>45584</v>
      </c>
      <c r="D27" s="6">
        <f t="shared" si="2"/>
        <v>8</v>
      </c>
      <c r="E27" t="s">
        <v>165</v>
      </c>
      <c r="F27" t="s">
        <v>53</v>
      </c>
      <c r="G27" s="5" t="s">
        <v>90</v>
      </c>
      <c r="H27" t="s">
        <v>38</v>
      </c>
      <c r="I27" t="s">
        <v>166</v>
      </c>
      <c r="J27" t="s">
        <v>167</v>
      </c>
      <c r="K27" t="s">
        <v>74</v>
      </c>
      <c r="L27" t="s">
        <v>75</v>
      </c>
      <c r="M27" t="s">
        <v>168</v>
      </c>
      <c r="N27" t="s">
        <v>50</v>
      </c>
      <c r="O27">
        <v>2</v>
      </c>
      <c r="P27">
        <v>4315.2</v>
      </c>
      <c r="Q27" s="6">
        <v>0.15</v>
      </c>
      <c r="R27" s="8">
        <f t="shared" si="0"/>
        <v>0.15</v>
      </c>
      <c r="S27">
        <v>7335.84</v>
      </c>
      <c r="T27">
        <v>4968.41</v>
      </c>
      <c r="U27">
        <v>2367.4299999999998</v>
      </c>
      <c r="V27" t="s">
        <v>32</v>
      </c>
      <c r="W27" t="s">
        <v>33</v>
      </c>
      <c r="X27" t="str">
        <f t="shared" si="3"/>
        <v/>
      </c>
      <c r="Y27" t="str">
        <f t="shared" si="1"/>
        <v>Exclude</v>
      </c>
    </row>
    <row r="28" spans="1:25">
      <c r="A28" t="s">
        <v>169</v>
      </c>
      <c r="B28" s="3">
        <v>45619</v>
      </c>
      <c r="C28" s="3">
        <v>45619</v>
      </c>
      <c r="D28" s="6">
        <f t="shared" si="2"/>
        <v>0</v>
      </c>
      <c r="E28" t="s">
        <v>170</v>
      </c>
      <c r="F28" t="s">
        <v>162</v>
      </c>
      <c r="G28" s="5" t="s">
        <v>90</v>
      </c>
      <c r="H28" t="s">
        <v>25</v>
      </c>
      <c r="I28" t="s">
        <v>136</v>
      </c>
      <c r="J28" t="s">
        <v>137</v>
      </c>
      <c r="K28" t="s">
        <v>74</v>
      </c>
      <c r="L28" t="s">
        <v>171</v>
      </c>
      <c r="M28" t="s">
        <v>172</v>
      </c>
      <c r="N28" t="s">
        <v>59</v>
      </c>
      <c r="O28">
        <v>4</v>
      </c>
      <c r="P28">
        <v>716.13</v>
      </c>
      <c r="Q28" s="6">
        <v>0.1</v>
      </c>
      <c r="R28" s="8">
        <f t="shared" si="0"/>
        <v>0.1</v>
      </c>
      <c r="S28">
        <v>2578.0700000000002</v>
      </c>
      <c r="T28">
        <v>1527.55</v>
      </c>
      <c r="U28">
        <v>1050.52</v>
      </c>
      <c r="V28" t="s">
        <v>32</v>
      </c>
      <c r="W28" t="s">
        <v>103</v>
      </c>
      <c r="X28" t="str">
        <f t="shared" si="3"/>
        <v/>
      </c>
      <c r="Y28" t="str">
        <f t="shared" si="1"/>
        <v>Exclude</v>
      </c>
    </row>
    <row r="29" spans="1:25">
      <c r="A29" t="s">
        <v>173</v>
      </c>
      <c r="B29" s="3">
        <v>45929</v>
      </c>
      <c r="C29" s="3">
        <v>45935</v>
      </c>
      <c r="D29" s="6">
        <f t="shared" si="2"/>
        <v>6</v>
      </c>
      <c r="E29" t="s">
        <v>174</v>
      </c>
      <c r="F29" t="s">
        <v>53</v>
      </c>
      <c r="G29" s="5" t="s">
        <v>37</v>
      </c>
      <c r="H29" t="s">
        <v>54</v>
      </c>
      <c r="I29" t="s">
        <v>175</v>
      </c>
      <c r="J29" t="s">
        <v>176</v>
      </c>
      <c r="K29" t="s">
        <v>28</v>
      </c>
      <c r="L29" t="s">
        <v>29</v>
      </c>
      <c r="M29" t="s">
        <v>177</v>
      </c>
      <c r="N29" t="s">
        <v>31</v>
      </c>
      <c r="O29">
        <v>5</v>
      </c>
      <c r="P29">
        <v>1806.51</v>
      </c>
      <c r="Q29" s="6">
        <v>0.25</v>
      </c>
      <c r="R29" s="8">
        <f t="shared" si="0"/>
        <v>0.25</v>
      </c>
      <c r="S29">
        <v>6774.41</v>
      </c>
      <c r="T29">
        <v>4710.3599999999997</v>
      </c>
      <c r="U29">
        <v>2064.0500000000002</v>
      </c>
      <c r="V29" t="s">
        <v>155</v>
      </c>
      <c r="W29" t="s">
        <v>103</v>
      </c>
      <c r="X29" t="str">
        <f t="shared" si="3"/>
        <v>EXCLUDE: Failed payment</v>
      </c>
      <c r="Y29" t="str">
        <f t="shared" si="1"/>
        <v>Exclude</v>
      </c>
    </row>
    <row r="30" spans="1:25">
      <c r="A30" t="s">
        <v>178</v>
      </c>
      <c r="B30" s="3">
        <v>45576</v>
      </c>
      <c r="C30" s="3">
        <v>45583</v>
      </c>
      <c r="D30" s="6">
        <f t="shared" si="2"/>
        <v>7</v>
      </c>
      <c r="E30" t="s">
        <v>179</v>
      </c>
      <c r="F30" t="s">
        <v>62</v>
      </c>
      <c r="G30" s="5" t="s">
        <v>95</v>
      </c>
      <c r="H30" t="s">
        <v>63</v>
      </c>
      <c r="I30" t="s">
        <v>180</v>
      </c>
      <c r="J30" t="s">
        <v>181</v>
      </c>
      <c r="K30" t="s">
        <v>74</v>
      </c>
      <c r="L30" t="s">
        <v>171</v>
      </c>
      <c r="M30" t="s">
        <v>182</v>
      </c>
      <c r="N30" t="s">
        <v>31</v>
      </c>
      <c r="O30">
        <v>2</v>
      </c>
      <c r="P30">
        <v>1942.22</v>
      </c>
      <c r="Q30" s="6">
        <v>0.25</v>
      </c>
      <c r="R30" s="8">
        <f t="shared" si="0"/>
        <v>0.25</v>
      </c>
      <c r="S30">
        <v>2913.33</v>
      </c>
      <c r="T30">
        <v>2122.33</v>
      </c>
      <c r="U30">
        <v>791</v>
      </c>
      <c r="V30" t="s">
        <v>102</v>
      </c>
      <c r="W30" t="s">
        <v>68</v>
      </c>
      <c r="X30" t="str">
        <f t="shared" si="3"/>
        <v>EXCLUDE: Cancelled order; REFUND: Summarize separately</v>
      </c>
      <c r="Y30" t="str">
        <f t="shared" si="1"/>
        <v>Exclude</v>
      </c>
    </row>
    <row r="31" spans="1:25">
      <c r="A31" t="s">
        <v>183</v>
      </c>
      <c r="B31" s="3">
        <v>45882</v>
      </c>
      <c r="C31" s="3">
        <v>45882</v>
      </c>
      <c r="D31" s="6">
        <f t="shared" si="2"/>
        <v>0</v>
      </c>
      <c r="E31" t="s">
        <v>184</v>
      </c>
      <c r="F31" t="s">
        <v>141</v>
      </c>
      <c r="G31" s="5" t="s">
        <v>95</v>
      </c>
      <c r="H31" t="s">
        <v>54</v>
      </c>
      <c r="I31" t="s">
        <v>185</v>
      </c>
      <c r="J31" t="s">
        <v>186</v>
      </c>
      <c r="K31" t="s">
        <v>74</v>
      </c>
      <c r="L31" t="s">
        <v>171</v>
      </c>
      <c r="M31" t="s">
        <v>187</v>
      </c>
      <c r="N31" t="s">
        <v>59</v>
      </c>
      <c r="O31">
        <v>1</v>
      </c>
      <c r="P31">
        <v>256.01</v>
      </c>
      <c r="Q31" s="6">
        <v>0.15</v>
      </c>
      <c r="R31" s="8">
        <f t="shared" si="0"/>
        <v>0.15</v>
      </c>
      <c r="S31">
        <v>217.61</v>
      </c>
      <c r="T31">
        <v>119.77</v>
      </c>
      <c r="U31">
        <v>97.84</v>
      </c>
      <c r="V31" t="s">
        <v>32</v>
      </c>
      <c r="W31" t="s">
        <v>33</v>
      </c>
      <c r="X31" t="str">
        <f t="shared" si="3"/>
        <v/>
      </c>
      <c r="Y31" t="str">
        <f t="shared" si="1"/>
        <v>Exclude</v>
      </c>
    </row>
    <row r="32" spans="1:25">
      <c r="A32" t="s">
        <v>188</v>
      </c>
      <c r="B32" s="3">
        <v>45331</v>
      </c>
      <c r="C32" s="3">
        <v>45628</v>
      </c>
      <c r="D32" s="6">
        <f t="shared" si="2"/>
        <v>297</v>
      </c>
      <c r="E32" t="s">
        <v>189</v>
      </c>
      <c r="F32" t="s">
        <v>62</v>
      </c>
      <c r="G32" s="5" t="s">
        <v>90</v>
      </c>
      <c r="H32" t="s">
        <v>63</v>
      </c>
      <c r="I32" t="s">
        <v>190</v>
      </c>
      <c r="J32" t="s">
        <v>191</v>
      </c>
      <c r="K32" t="s">
        <v>28</v>
      </c>
      <c r="L32" t="s">
        <v>91</v>
      </c>
      <c r="M32" t="s">
        <v>192</v>
      </c>
      <c r="N32" t="s">
        <v>50</v>
      </c>
      <c r="O32">
        <v>1</v>
      </c>
      <c r="P32">
        <v>3421.77</v>
      </c>
      <c r="Q32" s="6">
        <v>0.1</v>
      </c>
      <c r="R32" s="8">
        <f t="shared" si="0"/>
        <v>0.1</v>
      </c>
      <c r="S32">
        <v>3079.59</v>
      </c>
      <c r="T32">
        <v>2001.89</v>
      </c>
      <c r="U32">
        <v>1077.7</v>
      </c>
      <c r="V32" t="s">
        <v>32</v>
      </c>
      <c r="W32" t="s">
        <v>33</v>
      </c>
      <c r="X32" t="str">
        <f t="shared" si="3"/>
        <v/>
      </c>
      <c r="Y32" t="str">
        <f t="shared" si="1"/>
        <v>Exclude</v>
      </c>
    </row>
    <row r="33" spans="1:25">
      <c r="A33" t="s">
        <v>193</v>
      </c>
      <c r="B33" s="3">
        <v>45823</v>
      </c>
      <c r="C33" s="3">
        <v>45827</v>
      </c>
      <c r="D33" s="6">
        <f t="shared" si="2"/>
        <v>4</v>
      </c>
      <c r="E33" t="s">
        <v>194</v>
      </c>
      <c r="F33" t="s">
        <v>23</v>
      </c>
      <c r="G33" s="5" t="s">
        <v>37</v>
      </c>
      <c r="H33" t="s">
        <v>63</v>
      </c>
      <c r="I33" t="s">
        <v>72</v>
      </c>
      <c r="J33" t="s">
        <v>73</v>
      </c>
      <c r="K33" t="s">
        <v>28</v>
      </c>
      <c r="L33" t="s">
        <v>29</v>
      </c>
      <c r="M33" t="s">
        <v>195</v>
      </c>
      <c r="N33" t="s">
        <v>31</v>
      </c>
      <c r="O33">
        <v>9</v>
      </c>
      <c r="P33">
        <v>3092.55</v>
      </c>
      <c r="Q33" s="6">
        <v>0</v>
      </c>
      <c r="R33" s="8">
        <f t="shared" si="0"/>
        <v>0</v>
      </c>
      <c r="S33">
        <v>27832.95</v>
      </c>
      <c r="T33">
        <v>17769.75</v>
      </c>
      <c r="U33">
        <v>10063.200000000001</v>
      </c>
      <c r="V33" t="s">
        <v>155</v>
      </c>
      <c r="W33" t="s">
        <v>103</v>
      </c>
      <c r="X33" t="str">
        <f t="shared" si="3"/>
        <v>EXCLUDE: Failed payment</v>
      </c>
      <c r="Y33" t="str">
        <f t="shared" si="1"/>
        <v>Exclude</v>
      </c>
    </row>
    <row r="34" spans="1:25">
      <c r="A34" t="s">
        <v>196</v>
      </c>
      <c r="B34" s="3">
        <v>45618</v>
      </c>
      <c r="C34" s="3">
        <v>45622</v>
      </c>
      <c r="D34" s="6">
        <f t="shared" si="2"/>
        <v>4</v>
      </c>
      <c r="E34" t="s">
        <v>197</v>
      </c>
      <c r="F34" t="s">
        <v>128</v>
      </c>
      <c r="G34" s="5" t="s">
        <v>90</v>
      </c>
      <c r="H34" t="s">
        <v>54</v>
      </c>
      <c r="I34" t="s">
        <v>84</v>
      </c>
      <c r="J34" t="s">
        <v>85</v>
      </c>
      <c r="K34" t="s">
        <v>74</v>
      </c>
      <c r="L34" t="s">
        <v>171</v>
      </c>
      <c r="M34" t="s">
        <v>198</v>
      </c>
      <c r="N34" t="s">
        <v>31</v>
      </c>
      <c r="O34">
        <v>3</v>
      </c>
      <c r="P34">
        <v>4001.25</v>
      </c>
      <c r="Q34" s="6">
        <v>0</v>
      </c>
      <c r="R34" s="8">
        <f t="shared" si="0"/>
        <v>0</v>
      </c>
      <c r="S34">
        <v>9002.81</v>
      </c>
      <c r="T34">
        <v>7529.92</v>
      </c>
      <c r="U34">
        <v>1472.89</v>
      </c>
      <c r="V34" t="s">
        <v>32</v>
      </c>
      <c r="W34" t="s">
        <v>33</v>
      </c>
      <c r="X34" t="str">
        <f t="shared" si="3"/>
        <v/>
      </c>
      <c r="Y34" t="str">
        <f t="shared" si="1"/>
        <v>Exclude</v>
      </c>
    </row>
    <row r="35" spans="1:25">
      <c r="A35" t="s">
        <v>199</v>
      </c>
      <c r="B35" s="3">
        <v>45495</v>
      </c>
      <c r="C35" s="3">
        <v>45500</v>
      </c>
      <c r="D35" s="6">
        <f t="shared" si="2"/>
        <v>5</v>
      </c>
      <c r="E35" t="s">
        <v>200</v>
      </c>
      <c r="F35" t="s">
        <v>114</v>
      </c>
      <c r="G35" s="5" t="s">
        <v>95</v>
      </c>
      <c r="H35" t="s">
        <v>63</v>
      </c>
      <c r="I35" t="s">
        <v>190</v>
      </c>
      <c r="J35" t="s">
        <v>191</v>
      </c>
      <c r="K35" t="s">
        <v>41</v>
      </c>
      <c r="L35" t="s">
        <v>42</v>
      </c>
      <c r="M35" t="s">
        <v>201</v>
      </c>
      <c r="N35" t="s">
        <v>44</v>
      </c>
      <c r="O35">
        <v>7</v>
      </c>
      <c r="P35">
        <v>492.41</v>
      </c>
      <c r="Q35" s="6">
        <v>0.25</v>
      </c>
      <c r="R35" s="8">
        <f t="shared" si="0"/>
        <v>0.25</v>
      </c>
      <c r="S35">
        <v>2585.15</v>
      </c>
      <c r="T35">
        <v>2070.73</v>
      </c>
      <c r="U35">
        <v>514.41999999999996</v>
      </c>
      <c r="V35" t="s">
        <v>32</v>
      </c>
      <c r="W35" t="s">
        <v>33</v>
      </c>
      <c r="X35" t="str">
        <f t="shared" si="3"/>
        <v/>
      </c>
      <c r="Y35" t="str">
        <f t="shared" si="1"/>
        <v>Exclude</v>
      </c>
    </row>
    <row r="36" spans="1:25">
      <c r="A36" t="s">
        <v>202</v>
      </c>
      <c r="B36" s="3">
        <v>45688</v>
      </c>
      <c r="C36" s="3">
        <v>45779</v>
      </c>
      <c r="D36" s="6">
        <f t="shared" si="2"/>
        <v>91</v>
      </c>
      <c r="E36" t="s">
        <v>203</v>
      </c>
      <c r="F36" t="s">
        <v>114</v>
      </c>
      <c r="G36" s="5" t="s">
        <v>95</v>
      </c>
      <c r="H36" t="s">
        <v>38</v>
      </c>
      <c r="I36" t="s">
        <v>99</v>
      </c>
      <c r="J36" t="s">
        <v>100</v>
      </c>
      <c r="K36" t="s">
        <v>41</v>
      </c>
      <c r="L36" t="s">
        <v>66</v>
      </c>
      <c r="M36" t="s">
        <v>204</v>
      </c>
      <c r="N36" t="s">
        <v>2806</v>
      </c>
      <c r="O36">
        <v>2</v>
      </c>
      <c r="P36">
        <v>4159.6899999999996</v>
      </c>
      <c r="Q36" s="6">
        <v>0.2</v>
      </c>
      <c r="R36" s="8">
        <f t="shared" si="0"/>
        <v>0.2</v>
      </c>
      <c r="S36">
        <v>6655.5</v>
      </c>
      <c r="T36">
        <v>4340.21</v>
      </c>
      <c r="U36">
        <v>2607.3200000000002</v>
      </c>
      <c r="V36" t="s">
        <v>32</v>
      </c>
      <c r="W36" t="s">
        <v>33</v>
      </c>
      <c r="X36" t="str">
        <f t="shared" si="3"/>
        <v/>
      </c>
      <c r="Y36" t="str">
        <f t="shared" si="1"/>
        <v>Exclude</v>
      </c>
    </row>
    <row r="37" spans="1:25">
      <c r="A37" t="s">
        <v>205</v>
      </c>
      <c r="B37" s="3">
        <v>45441</v>
      </c>
      <c r="C37" s="3">
        <v>45441</v>
      </c>
      <c r="D37" s="6">
        <f t="shared" si="2"/>
        <v>0</v>
      </c>
      <c r="E37" t="s">
        <v>206</v>
      </c>
      <c r="F37" t="s">
        <v>132</v>
      </c>
      <c r="G37" s="5" t="s">
        <v>37</v>
      </c>
      <c r="H37" t="s">
        <v>63</v>
      </c>
      <c r="I37" t="s">
        <v>180</v>
      </c>
      <c r="J37" t="s">
        <v>181</v>
      </c>
      <c r="K37" t="s">
        <v>41</v>
      </c>
      <c r="L37" t="s">
        <v>158</v>
      </c>
      <c r="M37" t="s">
        <v>207</v>
      </c>
      <c r="N37" t="s">
        <v>31</v>
      </c>
      <c r="O37">
        <v>8</v>
      </c>
      <c r="P37">
        <v>2507.12</v>
      </c>
      <c r="Q37" s="6">
        <v>0.05</v>
      </c>
      <c r="R37" s="8">
        <f t="shared" si="0"/>
        <v>0.05</v>
      </c>
      <c r="S37">
        <v>19054.11</v>
      </c>
      <c r="T37">
        <v>15313.83</v>
      </c>
      <c r="U37">
        <v>3740.28</v>
      </c>
      <c r="V37" t="s">
        <v>111</v>
      </c>
      <c r="W37" t="s">
        <v>103</v>
      </c>
      <c r="X37" t="str">
        <f t="shared" si="3"/>
        <v/>
      </c>
      <c r="Y37" t="str">
        <f t="shared" si="1"/>
        <v>Exclude</v>
      </c>
    </row>
    <row r="38" spans="1:25">
      <c r="A38" t="s">
        <v>208</v>
      </c>
      <c r="B38" s="3">
        <v>45590</v>
      </c>
      <c r="C38" s="3">
        <v>45593</v>
      </c>
      <c r="D38" s="6">
        <f t="shared" si="2"/>
        <v>3</v>
      </c>
      <c r="E38" t="s">
        <v>209</v>
      </c>
      <c r="F38" t="s">
        <v>141</v>
      </c>
      <c r="G38" s="5" t="s">
        <v>90</v>
      </c>
      <c r="H38" t="s">
        <v>63</v>
      </c>
      <c r="I38" t="s">
        <v>64</v>
      </c>
      <c r="J38" t="s">
        <v>65</v>
      </c>
      <c r="K38" t="s">
        <v>41</v>
      </c>
      <c r="L38" t="s">
        <v>158</v>
      </c>
      <c r="M38" t="s">
        <v>210</v>
      </c>
      <c r="N38" t="s">
        <v>31</v>
      </c>
      <c r="O38">
        <v>3</v>
      </c>
      <c r="P38">
        <v>3126.47</v>
      </c>
      <c r="Q38" s="6">
        <v>0</v>
      </c>
      <c r="R38" s="8">
        <f t="shared" si="0"/>
        <v>0</v>
      </c>
      <c r="S38">
        <v>9379.41</v>
      </c>
      <c r="T38">
        <v>6670.85</v>
      </c>
      <c r="U38">
        <v>2708.56</v>
      </c>
      <c r="V38" t="s">
        <v>32</v>
      </c>
      <c r="W38" t="s">
        <v>103</v>
      </c>
      <c r="X38" t="str">
        <f t="shared" si="3"/>
        <v/>
      </c>
      <c r="Y38" t="str">
        <f t="shared" si="1"/>
        <v>Exclude</v>
      </c>
    </row>
    <row r="39" spans="1:25">
      <c r="A39" t="s">
        <v>211</v>
      </c>
      <c r="B39" s="3">
        <v>45867</v>
      </c>
      <c r="C39" s="3">
        <v>45867</v>
      </c>
      <c r="D39" s="6">
        <f t="shared" si="2"/>
        <v>0</v>
      </c>
      <c r="E39" t="s">
        <v>212</v>
      </c>
      <c r="F39" t="s">
        <v>162</v>
      </c>
      <c r="G39" s="5" t="s">
        <v>24</v>
      </c>
      <c r="H39" t="s">
        <v>63</v>
      </c>
      <c r="I39" t="s">
        <v>64</v>
      </c>
      <c r="J39" t="s">
        <v>65</v>
      </c>
      <c r="K39" t="s">
        <v>74</v>
      </c>
      <c r="L39" t="s">
        <v>80</v>
      </c>
      <c r="M39" t="s">
        <v>213</v>
      </c>
      <c r="N39" t="s">
        <v>214</v>
      </c>
      <c r="O39">
        <v>4</v>
      </c>
      <c r="P39">
        <v>1327.54</v>
      </c>
      <c r="Q39" s="6">
        <v>0.2</v>
      </c>
      <c r="R39" s="8">
        <f t="shared" si="0"/>
        <v>0.2</v>
      </c>
      <c r="S39">
        <v>4248.13</v>
      </c>
      <c r="T39">
        <v>3321.09</v>
      </c>
      <c r="U39">
        <v>927.04</v>
      </c>
      <c r="V39" t="s">
        <v>32</v>
      </c>
      <c r="W39" t="s">
        <v>33</v>
      </c>
      <c r="X39" t="str">
        <f t="shared" si="3"/>
        <v/>
      </c>
      <c r="Y39" t="str">
        <f t="shared" si="1"/>
        <v>Exclude</v>
      </c>
    </row>
    <row r="40" spans="1:25">
      <c r="A40" t="s">
        <v>215</v>
      </c>
      <c r="B40" s="3">
        <v>45460</v>
      </c>
      <c r="C40" s="3">
        <v>45465</v>
      </c>
      <c r="D40" s="6">
        <f t="shared" si="2"/>
        <v>5</v>
      </c>
      <c r="E40" t="s">
        <v>216</v>
      </c>
      <c r="F40" t="s">
        <v>128</v>
      </c>
      <c r="G40" s="5" t="s">
        <v>90</v>
      </c>
      <c r="H40" t="s">
        <v>63</v>
      </c>
      <c r="I40" t="s">
        <v>180</v>
      </c>
      <c r="J40" t="s">
        <v>181</v>
      </c>
      <c r="K40" t="s">
        <v>74</v>
      </c>
      <c r="L40" t="s">
        <v>171</v>
      </c>
      <c r="M40" t="s">
        <v>217</v>
      </c>
      <c r="N40" t="s">
        <v>50</v>
      </c>
      <c r="O40">
        <v>7</v>
      </c>
      <c r="P40">
        <v>2210.6799999999998</v>
      </c>
      <c r="Q40" s="6">
        <v>0.1</v>
      </c>
      <c r="R40" s="8">
        <f t="shared" si="0"/>
        <v>0.1</v>
      </c>
      <c r="S40">
        <v>13927.28</v>
      </c>
      <c r="T40">
        <v>10504.87</v>
      </c>
      <c r="U40">
        <v>3422.41</v>
      </c>
      <c r="V40" t="s">
        <v>32</v>
      </c>
      <c r="W40" t="s">
        <v>33</v>
      </c>
      <c r="X40" t="str">
        <f t="shared" si="3"/>
        <v/>
      </c>
      <c r="Y40" t="str">
        <f t="shared" si="1"/>
        <v>Exclude</v>
      </c>
    </row>
    <row r="41" spans="1:25">
      <c r="A41" t="s">
        <v>218</v>
      </c>
      <c r="B41" s="3">
        <v>45608</v>
      </c>
      <c r="C41" s="3">
        <v>45608</v>
      </c>
      <c r="D41" s="6">
        <f t="shared" si="2"/>
        <v>0</v>
      </c>
      <c r="E41" t="s">
        <v>219</v>
      </c>
      <c r="F41" t="s">
        <v>36</v>
      </c>
      <c r="G41" s="5" t="s">
        <v>37</v>
      </c>
      <c r="H41" t="s">
        <v>63</v>
      </c>
      <c r="I41" t="s">
        <v>72</v>
      </c>
      <c r="J41" t="s">
        <v>73</v>
      </c>
      <c r="K41" t="s">
        <v>74</v>
      </c>
      <c r="L41" t="s">
        <v>80</v>
      </c>
      <c r="M41" t="s">
        <v>220</v>
      </c>
      <c r="N41" t="s">
        <v>50</v>
      </c>
      <c r="O41">
        <v>4</v>
      </c>
      <c r="P41">
        <v>1370.92</v>
      </c>
      <c r="Q41" s="6">
        <v>0.1</v>
      </c>
      <c r="R41" s="8">
        <f t="shared" si="0"/>
        <v>0.1</v>
      </c>
      <c r="S41">
        <v>4935.3100000000004</v>
      </c>
      <c r="T41">
        <v>3374.77</v>
      </c>
      <c r="U41">
        <v>1560.54</v>
      </c>
      <c r="V41" t="s">
        <v>111</v>
      </c>
      <c r="W41" t="s">
        <v>103</v>
      </c>
      <c r="X41" t="str">
        <f t="shared" si="3"/>
        <v/>
      </c>
      <c r="Y41" t="str">
        <f t="shared" si="1"/>
        <v>Exclude</v>
      </c>
    </row>
    <row r="42" spans="1:25">
      <c r="A42" t="s">
        <v>221</v>
      </c>
      <c r="B42" s="3">
        <v>45575</v>
      </c>
      <c r="C42" s="3">
        <v>45581</v>
      </c>
      <c r="D42" s="6">
        <f t="shared" si="2"/>
        <v>6</v>
      </c>
      <c r="E42" t="s">
        <v>222</v>
      </c>
      <c r="F42" t="s">
        <v>47</v>
      </c>
      <c r="G42" s="5" t="s">
        <v>95</v>
      </c>
      <c r="H42" t="s">
        <v>63</v>
      </c>
      <c r="I42" t="s">
        <v>26</v>
      </c>
      <c r="J42" t="s">
        <v>109</v>
      </c>
      <c r="K42" t="s">
        <v>74</v>
      </c>
      <c r="L42" t="s">
        <v>80</v>
      </c>
      <c r="M42" t="s">
        <v>223</v>
      </c>
      <c r="N42" t="s">
        <v>59</v>
      </c>
      <c r="O42">
        <v>7</v>
      </c>
      <c r="P42">
        <v>2509.27</v>
      </c>
      <c r="Q42" s="6">
        <v>0.2</v>
      </c>
      <c r="R42" s="8">
        <f t="shared" si="0"/>
        <v>0.2</v>
      </c>
      <c r="S42">
        <v>14051.91</v>
      </c>
      <c r="T42">
        <v>11990.37</v>
      </c>
      <c r="U42">
        <v>2061.54</v>
      </c>
      <c r="V42" t="s">
        <v>32</v>
      </c>
      <c r="W42" t="s">
        <v>33</v>
      </c>
      <c r="X42" t="str">
        <f t="shared" si="3"/>
        <v/>
      </c>
      <c r="Y42" t="str">
        <f t="shared" si="1"/>
        <v>Exclude</v>
      </c>
    </row>
    <row r="43" spans="1:25">
      <c r="A43" t="s">
        <v>224</v>
      </c>
      <c r="B43" s="3">
        <v>45629</v>
      </c>
      <c r="C43" s="3">
        <v>45368</v>
      </c>
      <c r="D43" s="6">
        <f t="shared" si="2"/>
        <v>-261</v>
      </c>
      <c r="E43" t="s">
        <v>225</v>
      </c>
      <c r="F43" t="s">
        <v>128</v>
      </c>
      <c r="G43" s="5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158</v>
      </c>
      <c r="M43" t="s">
        <v>226</v>
      </c>
      <c r="N43" t="s">
        <v>44</v>
      </c>
      <c r="O43">
        <v>8</v>
      </c>
      <c r="P43">
        <v>855.81</v>
      </c>
      <c r="Q43" s="6">
        <v>0</v>
      </c>
      <c r="R43" s="8">
        <f t="shared" si="0"/>
        <v>0</v>
      </c>
      <c r="S43">
        <v>6846.48</v>
      </c>
      <c r="T43">
        <v>4239.8900000000003</v>
      </c>
      <c r="U43">
        <v>2606.59</v>
      </c>
      <c r="V43" t="s">
        <v>111</v>
      </c>
      <c r="W43" t="s">
        <v>68</v>
      </c>
      <c r="X43" t="str">
        <f t="shared" si="3"/>
        <v>INVALID: Ship date before order date; EXCLUDE: Cancelled order</v>
      </c>
      <c r="Y43" t="str">
        <f t="shared" si="1"/>
        <v>Exclude</v>
      </c>
    </row>
    <row r="44" spans="1:25">
      <c r="A44" t="s">
        <v>227</v>
      </c>
      <c r="B44" s="3">
        <v>45940</v>
      </c>
      <c r="C44" s="3">
        <v>45945</v>
      </c>
      <c r="D44" s="6">
        <f t="shared" si="2"/>
        <v>5</v>
      </c>
      <c r="E44" t="s">
        <v>228</v>
      </c>
      <c r="F44" t="s">
        <v>53</v>
      </c>
      <c r="G44" s="5" t="s">
        <v>90</v>
      </c>
      <c r="H44" t="s">
        <v>38</v>
      </c>
      <c r="I44" t="s">
        <v>229</v>
      </c>
      <c r="J44" t="s">
        <v>230</v>
      </c>
      <c r="K44" t="s">
        <v>74</v>
      </c>
      <c r="L44" t="s">
        <v>171</v>
      </c>
      <c r="M44" t="s">
        <v>231</v>
      </c>
      <c r="N44" t="s">
        <v>59</v>
      </c>
      <c r="O44">
        <v>8</v>
      </c>
      <c r="P44">
        <v>979.87</v>
      </c>
      <c r="Q44" s="6">
        <v>0.05</v>
      </c>
      <c r="R44" s="8">
        <f t="shared" si="0"/>
        <v>0.05</v>
      </c>
      <c r="S44">
        <v>7447.01</v>
      </c>
      <c r="T44">
        <v>4496.22</v>
      </c>
      <c r="U44">
        <v>2950.79</v>
      </c>
      <c r="V44" t="s">
        <v>32</v>
      </c>
      <c r="W44" t="s">
        <v>33</v>
      </c>
      <c r="X44" t="str">
        <f t="shared" si="3"/>
        <v/>
      </c>
      <c r="Y44" t="str">
        <f t="shared" si="1"/>
        <v>Exclude</v>
      </c>
    </row>
    <row r="45" spans="1:25">
      <c r="A45" t="s">
        <v>232</v>
      </c>
      <c r="B45" s="3">
        <v>45511</v>
      </c>
      <c r="C45" s="3">
        <v>45487</v>
      </c>
      <c r="D45" s="6">
        <f t="shared" si="2"/>
        <v>-24</v>
      </c>
      <c r="E45" t="s">
        <v>233</v>
      </c>
      <c r="F45" t="s">
        <v>114</v>
      </c>
      <c r="G45" s="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57</v>
      </c>
      <c r="M45" t="s">
        <v>234</v>
      </c>
      <c r="N45" t="s">
        <v>44</v>
      </c>
      <c r="O45">
        <v>3</v>
      </c>
      <c r="P45">
        <v>1010.23</v>
      </c>
      <c r="Q45" s="6">
        <v>0</v>
      </c>
      <c r="R45" s="8">
        <f t="shared" si="0"/>
        <v>0</v>
      </c>
      <c r="S45">
        <v>3030.69</v>
      </c>
      <c r="T45">
        <v>1721.08</v>
      </c>
      <c r="U45">
        <v>1309.6099999999999</v>
      </c>
      <c r="V45" t="s">
        <v>32</v>
      </c>
      <c r="W45" t="s">
        <v>33</v>
      </c>
      <c r="X45" t="str">
        <f t="shared" si="3"/>
        <v>INVALID: Ship date before order date</v>
      </c>
      <c r="Y45" t="str">
        <f t="shared" si="1"/>
        <v>Exclude</v>
      </c>
    </row>
    <row r="46" spans="1:25">
      <c r="A46" t="s">
        <v>235</v>
      </c>
      <c r="B46" s="3">
        <v>45465</v>
      </c>
      <c r="C46" s="3">
        <v>45468</v>
      </c>
      <c r="D46" s="6">
        <f t="shared" si="2"/>
        <v>3</v>
      </c>
      <c r="E46" t="s">
        <v>236</v>
      </c>
      <c r="F46" t="s">
        <v>141</v>
      </c>
      <c r="G46" s="5" t="s">
        <v>37</v>
      </c>
      <c r="H46" t="s">
        <v>25</v>
      </c>
      <c r="I46" t="s">
        <v>237</v>
      </c>
      <c r="J46" t="s">
        <v>238</v>
      </c>
      <c r="K46" t="s">
        <v>41</v>
      </c>
      <c r="L46" t="s">
        <v>66</v>
      </c>
      <c r="M46" t="s">
        <v>239</v>
      </c>
      <c r="N46" t="s">
        <v>59</v>
      </c>
      <c r="O46">
        <v>9</v>
      </c>
      <c r="P46">
        <v>3329.77</v>
      </c>
      <c r="Q46" s="6">
        <v>0.1</v>
      </c>
      <c r="R46" s="8">
        <f t="shared" si="0"/>
        <v>0.1</v>
      </c>
      <c r="S46">
        <v>26971.14</v>
      </c>
      <c r="T46">
        <v>17376.2</v>
      </c>
      <c r="U46">
        <v>9594.94</v>
      </c>
      <c r="V46" t="s">
        <v>32</v>
      </c>
      <c r="W46" t="s">
        <v>33</v>
      </c>
      <c r="X46" t="str">
        <f t="shared" si="3"/>
        <v/>
      </c>
      <c r="Y46" t="str">
        <f t="shared" si="1"/>
        <v>Exclude</v>
      </c>
    </row>
    <row r="47" spans="1:25">
      <c r="A47" t="s">
        <v>240</v>
      </c>
      <c r="B47" s="3">
        <v>45309</v>
      </c>
      <c r="C47" s="3">
        <v>45315</v>
      </c>
      <c r="D47" s="6">
        <f t="shared" si="2"/>
        <v>6</v>
      </c>
      <c r="E47" t="s">
        <v>241</v>
      </c>
      <c r="F47" t="s">
        <v>47</v>
      </c>
      <c r="G47" s="5" t="s">
        <v>95</v>
      </c>
      <c r="H47" t="s">
        <v>38</v>
      </c>
      <c r="I47" t="s">
        <v>145</v>
      </c>
      <c r="J47" t="s">
        <v>146</v>
      </c>
      <c r="K47" t="s">
        <v>28</v>
      </c>
      <c r="L47" t="s">
        <v>48</v>
      </c>
      <c r="M47" t="s">
        <v>242</v>
      </c>
      <c r="N47" t="s">
        <v>31</v>
      </c>
      <c r="O47">
        <v>8</v>
      </c>
      <c r="P47">
        <v>3927.82</v>
      </c>
      <c r="Q47" s="6">
        <v>0.05</v>
      </c>
      <c r="R47" s="8">
        <f t="shared" si="0"/>
        <v>0.05</v>
      </c>
      <c r="S47">
        <v>29851.43</v>
      </c>
      <c r="T47">
        <v>17487.48</v>
      </c>
      <c r="U47">
        <v>12363.95</v>
      </c>
      <c r="V47" t="s">
        <v>111</v>
      </c>
      <c r="W47" t="s">
        <v>103</v>
      </c>
      <c r="X47" t="str">
        <f t="shared" si="3"/>
        <v/>
      </c>
      <c r="Y47" t="str">
        <f t="shared" si="1"/>
        <v>Exclude</v>
      </c>
    </row>
    <row r="48" spans="1:25">
      <c r="A48" t="s">
        <v>243</v>
      </c>
      <c r="B48" s="3">
        <v>45492</v>
      </c>
      <c r="C48" s="3">
        <v>45492</v>
      </c>
      <c r="D48" s="6">
        <f t="shared" si="2"/>
        <v>0</v>
      </c>
      <c r="E48" t="s">
        <v>244</v>
      </c>
      <c r="F48" t="s">
        <v>62</v>
      </c>
      <c r="G48" s="5" t="s">
        <v>37</v>
      </c>
      <c r="H48" t="s">
        <v>54</v>
      </c>
      <c r="I48" t="s">
        <v>185</v>
      </c>
      <c r="J48" t="s">
        <v>186</v>
      </c>
      <c r="K48" t="s">
        <v>41</v>
      </c>
      <c r="L48" t="s">
        <v>158</v>
      </c>
      <c r="M48" t="s">
        <v>245</v>
      </c>
      <c r="N48" t="s">
        <v>59</v>
      </c>
      <c r="O48">
        <v>9</v>
      </c>
      <c r="P48">
        <v>2386.79</v>
      </c>
      <c r="Q48" s="6">
        <v>0.25</v>
      </c>
      <c r="R48" s="8">
        <f t="shared" si="0"/>
        <v>0.25</v>
      </c>
      <c r="S48">
        <v>16110.83</v>
      </c>
      <c r="T48">
        <v>10680.03</v>
      </c>
      <c r="U48">
        <v>5430.8</v>
      </c>
      <c r="V48" t="s">
        <v>102</v>
      </c>
      <c r="W48" t="s">
        <v>103</v>
      </c>
      <c r="X48" t="str">
        <f t="shared" si="3"/>
        <v>REFUND: Summarize separately</v>
      </c>
      <c r="Y48" t="str">
        <f t="shared" si="1"/>
        <v>Exclude</v>
      </c>
    </row>
    <row r="49" spans="1:25">
      <c r="A49" t="s">
        <v>246</v>
      </c>
      <c r="B49" s="3">
        <v>45516</v>
      </c>
      <c r="C49" s="3">
        <v>45634</v>
      </c>
      <c r="D49" s="6">
        <f t="shared" si="2"/>
        <v>118</v>
      </c>
      <c r="E49" t="s">
        <v>247</v>
      </c>
      <c r="F49" t="s">
        <v>118</v>
      </c>
      <c r="G49" s="5" t="s">
        <v>90</v>
      </c>
      <c r="H49" t="s">
        <v>54</v>
      </c>
      <c r="I49" t="s">
        <v>248</v>
      </c>
      <c r="J49" t="s">
        <v>249</v>
      </c>
      <c r="K49" t="s">
        <v>28</v>
      </c>
      <c r="L49" t="s">
        <v>124</v>
      </c>
      <c r="M49" t="s">
        <v>250</v>
      </c>
      <c r="N49" t="s">
        <v>59</v>
      </c>
      <c r="O49">
        <v>8</v>
      </c>
      <c r="P49">
        <v>2445.31</v>
      </c>
      <c r="Q49" s="6">
        <v>0.1</v>
      </c>
      <c r="R49" s="8">
        <f t="shared" si="0"/>
        <v>0.1</v>
      </c>
      <c r="S49">
        <v>17606.23</v>
      </c>
      <c r="T49">
        <v>12438.96</v>
      </c>
      <c r="U49">
        <v>5167.2700000000004</v>
      </c>
      <c r="V49" t="s">
        <v>32</v>
      </c>
      <c r="W49" t="s">
        <v>33</v>
      </c>
      <c r="X49" t="str">
        <f t="shared" si="3"/>
        <v/>
      </c>
      <c r="Y49" t="str">
        <f t="shared" si="1"/>
        <v>Exclude</v>
      </c>
    </row>
    <row r="50" spans="1:25">
      <c r="A50" t="s">
        <v>251</v>
      </c>
      <c r="B50" s="3">
        <v>45687</v>
      </c>
      <c r="C50" s="3">
        <v>45779</v>
      </c>
      <c r="D50" s="6">
        <f t="shared" si="2"/>
        <v>92</v>
      </c>
      <c r="E50" t="s">
        <v>252</v>
      </c>
      <c r="F50" t="s">
        <v>79</v>
      </c>
      <c r="G50" s="5" t="s">
        <v>90</v>
      </c>
      <c r="H50" t="s">
        <v>63</v>
      </c>
      <c r="I50" t="s">
        <v>64</v>
      </c>
      <c r="J50" t="s">
        <v>65</v>
      </c>
      <c r="K50" t="s">
        <v>41</v>
      </c>
      <c r="L50" t="s">
        <v>66</v>
      </c>
      <c r="M50" t="s">
        <v>253</v>
      </c>
      <c r="N50" t="s">
        <v>31</v>
      </c>
      <c r="O50">
        <v>7</v>
      </c>
      <c r="P50">
        <v>4063.66</v>
      </c>
      <c r="Q50" s="6">
        <v>0</v>
      </c>
      <c r="R50" s="8">
        <f t="shared" si="0"/>
        <v>0</v>
      </c>
      <c r="S50">
        <v>28445.62</v>
      </c>
      <c r="T50">
        <v>20938.59</v>
      </c>
      <c r="U50">
        <v>7507.03</v>
      </c>
      <c r="V50" t="s">
        <v>32</v>
      </c>
      <c r="W50" t="s">
        <v>33</v>
      </c>
      <c r="X50" t="str">
        <f t="shared" si="3"/>
        <v/>
      </c>
      <c r="Y50" t="str">
        <f t="shared" si="1"/>
        <v>Exclude</v>
      </c>
    </row>
    <row r="51" spans="1:25">
      <c r="A51" t="s">
        <v>254</v>
      </c>
      <c r="B51" s="3">
        <v>45388</v>
      </c>
      <c r="C51" s="3">
        <v>45395</v>
      </c>
      <c r="D51" s="6">
        <f t="shared" si="2"/>
        <v>7</v>
      </c>
      <c r="E51" t="s">
        <v>255</v>
      </c>
      <c r="F51" t="s">
        <v>128</v>
      </c>
      <c r="G51" s="5" t="s">
        <v>95</v>
      </c>
      <c r="H51" t="s">
        <v>25</v>
      </c>
      <c r="I51" t="s">
        <v>136</v>
      </c>
      <c r="J51" t="s">
        <v>137</v>
      </c>
      <c r="K51" t="s">
        <v>74</v>
      </c>
      <c r="L51" t="s">
        <v>80</v>
      </c>
      <c r="M51" t="s">
        <v>256</v>
      </c>
      <c r="N51" t="s">
        <v>31</v>
      </c>
      <c r="O51">
        <v>9</v>
      </c>
      <c r="P51">
        <v>792.11</v>
      </c>
      <c r="Q51" s="6">
        <v>0.05</v>
      </c>
      <c r="R51" s="8">
        <f t="shared" si="0"/>
        <v>0.05</v>
      </c>
      <c r="S51">
        <v>6772.54</v>
      </c>
      <c r="T51">
        <v>5755.46</v>
      </c>
      <c r="U51">
        <v>1017.08</v>
      </c>
      <c r="V51" t="s">
        <v>32</v>
      </c>
      <c r="W51" t="s">
        <v>33</v>
      </c>
      <c r="X51" t="str">
        <f t="shared" si="3"/>
        <v/>
      </c>
      <c r="Y51" t="str">
        <f t="shared" si="1"/>
        <v>Exclude</v>
      </c>
    </row>
    <row r="52" spans="1:25">
      <c r="A52" t="s">
        <v>257</v>
      </c>
      <c r="B52" s="3">
        <v>45966</v>
      </c>
      <c r="C52" s="3">
        <v>45796</v>
      </c>
      <c r="D52" s="6">
        <f t="shared" si="2"/>
        <v>-170</v>
      </c>
      <c r="E52" t="s">
        <v>258</v>
      </c>
      <c r="F52" t="s">
        <v>132</v>
      </c>
      <c r="G52" s="5" t="s">
        <v>24</v>
      </c>
      <c r="H52" t="s">
        <v>38</v>
      </c>
      <c r="I52" t="s">
        <v>99</v>
      </c>
      <c r="J52" t="s">
        <v>100</v>
      </c>
      <c r="K52" t="s">
        <v>74</v>
      </c>
      <c r="L52" t="s">
        <v>80</v>
      </c>
      <c r="M52" t="s">
        <v>259</v>
      </c>
      <c r="N52" t="s">
        <v>59</v>
      </c>
      <c r="O52">
        <v>1</v>
      </c>
      <c r="P52">
        <v>2382.8000000000002</v>
      </c>
      <c r="Q52" s="6">
        <v>0.15</v>
      </c>
      <c r="R52" s="8">
        <f t="shared" si="0"/>
        <v>0.15</v>
      </c>
      <c r="S52">
        <v>2025.38</v>
      </c>
      <c r="T52">
        <v>1140.6500000000001</v>
      </c>
      <c r="U52">
        <v>884.73</v>
      </c>
      <c r="V52" t="s">
        <v>32</v>
      </c>
      <c r="W52" t="s">
        <v>33</v>
      </c>
      <c r="X52" t="str">
        <f t="shared" si="3"/>
        <v>INVALID: Ship date before order date</v>
      </c>
      <c r="Y52" t="str">
        <f t="shared" si="1"/>
        <v>Exclude</v>
      </c>
    </row>
    <row r="53" spans="1:25">
      <c r="A53" t="s">
        <v>260</v>
      </c>
      <c r="B53" s="3">
        <v>45406</v>
      </c>
      <c r="C53" s="3">
        <v>45411</v>
      </c>
      <c r="D53" s="6">
        <f t="shared" si="2"/>
        <v>5</v>
      </c>
      <c r="E53" t="s">
        <v>261</v>
      </c>
      <c r="F53" t="s">
        <v>62</v>
      </c>
      <c r="G53" s="5" t="s">
        <v>90</v>
      </c>
      <c r="H53" t="s">
        <v>54</v>
      </c>
      <c r="I53" t="s">
        <v>55</v>
      </c>
      <c r="J53" t="s">
        <v>56</v>
      </c>
      <c r="K53" t="s">
        <v>28</v>
      </c>
      <c r="L53" t="s">
        <v>48</v>
      </c>
      <c r="M53" t="s">
        <v>262</v>
      </c>
      <c r="N53" t="s">
        <v>59</v>
      </c>
      <c r="O53">
        <v>6</v>
      </c>
      <c r="P53">
        <v>1528.08</v>
      </c>
      <c r="Q53" s="6">
        <v>0</v>
      </c>
      <c r="R53" s="8">
        <f t="shared" si="0"/>
        <v>0</v>
      </c>
      <c r="S53">
        <v>9168.48</v>
      </c>
      <c r="T53">
        <v>7439.77</v>
      </c>
      <c r="U53">
        <v>1728.71</v>
      </c>
      <c r="V53" t="s">
        <v>32</v>
      </c>
      <c r="W53" t="s">
        <v>33</v>
      </c>
      <c r="X53" t="str">
        <f t="shared" si="3"/>
        <v/>
      </c>
      <c r="Y53" t="str">
        <f t="shared" si="1"/>
        <v>Exclude</v>
      </c>
    </row>
    <row r="54" spans="1:25">
      <c r="A54" t="s">
        <v>263</v>
      </c>
      <c r="B54" s="3">
        <v>45591</v>
      </c>
      <c r="C54" s="3">
        <v>45593</v>
      </c>
      <c r="D54" s="6">
        <f t="shared" si="2"/>
        <v>2</v>
      </c>
      <c r="E54" t="s">
        <v>264</v>
      </c>
      <c r="F54" t="s">
        <v>265</v>
      </c>
      <c r="G54" s="5" t="s">
        <v>37</v>
      </c>
      <c r="H54" t="s">
        <v>25</v>
      </c>
      <c r="I54" t="s">
        <v>26</v>
      </c>
      <c r="J54" t="s">
        <v>27</v>
      </c>
      <c r="K54" t="s">
        <v>41</v>
      </c>
      <c r="L54" t="s">
        <v>66</v>
      </c>
      <c r="M54" t="s">
        <v>266</v>
      </c>
      <c r="N54" t="s">
        <v>50</v>
      </c>
      <c r="O54">
        <v>9</v>
      </c>
      <c r="P54">
        <v>1399.63</v>
      </c>
      <c r="Q54" s="6">
        <v>0</v>
      </c>
      <c r="R54" s="8">
        <f t="shared" si="0"/>
        <v>0</v>
      </c>
      <c r="S54">
        <v>12596.67</v>
      </c>
      <c r="T54">
        <v>10603.29</v>
      </c>
      <c r="U54">
        <v>1993.38</v>
      </c>
      <c r="V54" t="s">
        <v>155</v>
      </c>
      <c r="W54" t="s">
        <v>68</v>
      </c>
      <c r="X54" t="str">
        <f t="shared" si="3"/>
        <v>EXCLUDE: Cancelled order; EXCLUDE: Failed payment</v>
      </c>
      <c r="Y54" t="str">
        <f t="shared" si="1"/>
        <v>Exclude</v>
      </c>
    </row>
    <row r="55" spans="1:25">
      <c r="A55" t="s">
        <v>267</v>
      </c>
      <c r="B55" s="3">
        <v>45747</v>
      </c>
      <c r="C55" s="3">
        <v>45747</v>
      </c>
      <c r="D55" s="6">
        <f t="shared" si="2"/>
        <v>0</v>
      </c>
      <c r="E55" t="s">
        <v>268</v>
      </c>
      <c r="F55" t="s">
        <v>265</v>
      </c>
      <c r="G55" s="5" t="s">
        <v>95</v>
      </c>
      <c r="H55" t="s">
        <v>63</v>
      </c>
      <c r="I55" t="s">
        <v>180</v>
      </c>
      <c r="J55" t="s">
        <v>181</v>
      </c>
      <c r="K55" t="s">
        <v>28</v>
      </c>
      <c r="L55" t="s">
        <v>124</v>
      </c>
      <c r="M55" t="s">
        <v>269</v>
      </c>
      <c r="N55" t="s">
        <v>50</v>
      </c>
      <c r="O55">
        <v>5</v>
      </c>
      <c r="P55">
        <v>1207.47</v>
      </c>
      <c r="Q55" s="6">
        <v>0.15</v>
      </c>
      <c r="R55" s="8">
        <f t="shared" si="0"/>
        <v>0.15</v>
      </c>
      <c r="S55">
        <v>5131.75</v>
      </c>
      <c r="T55">
        <v>2838.68</v>
      </c>
      <c r="U55">
        <v>2293.0700000000002</v>
      </c>
      <c r="V55" t="s">
        <v>32</v>
      </c>
      <c r="W55" t="s">
        <v>33</v>
      </c>
      <c r="X55" t="str">
        <f t="shared" si="3"/>
        <v/>
      </c>
      <c r="Y55" t="str">
        <f t="shared" si="1"/>
        <v>Exclude</v>
      </c>
    </row>
    <row r="56" spans="1:25">
      <c r="A56" t="s">
        <v>270</v>
      </c>
      <c r="B56" s="3">
        <v>45807</v>
      </c>
      <c r="C56" s="3">
        <v>45694</v>
      </c>
      <c r="D56" s="6">
        <f t="shared" si="2"/>
        <v>-113</v>
      </c>
      <c r="E56" t="s">
        <v>271</v>
      </c>
      <c r="F56" t="s">
        <v>53</v>
      </c>
      <c r="G56" s="5" t="s">
        <v>90</v>
      </c>
      <c r="H56" t="s">
        <v>54</v>
      </c>
      <c r="I56" t="s">
        <v>248</v>
      </c>
      <c r="J56" t="s">
        <v>249</v>
      </c>
      <c r="K56" t="s">
        <v>28</v>
      </c>
      <c r="L56" t="s">
        <v>91</v>
      </c>
      <c r="M56" t="s">
        <v>272</v>
      </c>
      <c r="N56" t="s">
        <v>44</v>
      </c>
      <c r="O56">
        <v>8</v>
      </c>
      <c r="P56">
        <v>474.37</v>
      </c>
      <c r="Q56" s="6">
        <v>0.1</v>
      </c>
      <c r="R56" s="8">
        <f t="shared" si="0"/>
        <v>0.1</v>
      </c>
      <c r="S56">
        <v>3415.46</v>
      </c>
      <c r="T56">
        <v>1993.23</v>
      </c>
      <c r="U56">
        <v>1422.23</v>
      </c>
      <c r="V56" t="s">
        <v>155</v>
      </c>
      <c r="W56" t="s">
        <v>68</v>
      </c>
      <c r="X56" t="str">
        <f t="shared" si="3"/>
        <v>INVALID: Ship date before order date; EXCLUDE: Cancelled order; EXCLUDE: Failed payment</v>
      </c>
      <c r="Y56" t="str">
        <f t="shared" si="1"/>
        <v>Exclude</v>
      </c>
    </row>
    <row r="57" spans="1:25">
      <c r="A57" t="s">
        <v>273</v>
      </c>
      <c r="B57" s="3">
        <v>45839</v>
      </c>
      <c r="C57" s="3">
        <v>45841</v>
      </c>
      <c r="D57" s="6">
        <f t="shared" si="2"/>
        <v>2</v>
      </c>
      <c r="E57" t="s">
        <v>274</v>
      </c>
      <c r="F57" t="s">
        <v>36</v>
      </c>
      <c r="G57" s="5" t="s">
        <v>37</v>
      </c>
      <c r="H57" t="s">
        <v>54</v>
      </c>
      <c r="I57" t="s">
        <v>84</v>
      </c>
      <c r="J57" t="s">
        <v>85</v>
      </c>
      <c r="K57" t="s">
        <v>74</v>
      </c>
      <c r="L57" t="s">
        <v>275</v>
      </c>
      <c r="M57" t="s">
        <v>276</v>
      </c>
      <c r="N57" t="s">
        <v>44</v>
      </c>
      <c r="O57">
        <v>3</v>
      </c>
      <c r="P57">
        <v>1516.24</v>
      </c>
      <c r="Q57" s="6">
        <v>0.25</v>
      </c>
      <c r="R57" s="8">
        <f t="shared" si="0"/>
        <v>0.25</v>
      </c>
      <c r="S57">
        <v>3411.54</v>
      </c>
      <c r="T57">
        <v>2803.13</v>
      </c>
      <c r="U57">
        <v>608.41</v>
      </c>
      <c r="V57" t="s">
        <v>32</v>
      </c>
      <c r="W57" t="s">
        <v>33</v>
      </c>
      <c r="X57" t="str">
        <f t="shared" si="3"/>
        <v/>
      </c>
      <c r="Y57" t="str">
        <f t="shared" si="1"/>
        <v>Exclude</v>
      </c>
    </row>
    <row r="58" spans="1:25">
      <c r="A58" t="s">
        <v>277</v>
      </c>
      <c r="B58" s="3">
        <v>45662</v>
      </c>
      <c r="C58" s="3">
        <v>45663</v>
      </c>
      <c r="D58" s="6">
        <f t="shared" si="2"/>
        <v>1</v>
      </c>
      <c r="E58" t="s">
        <v>278</v>
      </c>
      <c r="F58" t="s">
        <v>23</v>
      </c>
      <c r="G58" s="5" t="s">
        <v>24</v>
      </c>
      <c r="H58" t="s">
        <v>54</v>
      </c>
      <c r="I58" t="s">
        <v>175</v>
      </c>
      <c r="J58" t="s">
        <v>176</v>
      </c>
      <c r="K58" t="s">
        <v>28</v>
      </c>
      <c r="L58" t="s">
        <v>153</v>
      </c>
      <c r="M58" t="s">
        <v>279</v>
      </c>
      <c r="N58" t="s">
        <v>31</v>
      </c>
      <c r="O58">
        <v>3</v>
      </c>
      <c r="P58">
        <v>3155.61</v>
      </c>
      <c r="Q58" s="6">
        <v>0</v>
      </c>
      <c r="R58" s="8">
        <f t="shared" si="0"/>
        <v>0</v>
      </c>
      <c r="S58">
        <v>9466.83</v>
      </c>
      <c r="T58">
        <v>6557.83</v>
      </c>
      <c r="U58">
        <v>2909</v>
      </c>
      <c r="V58" t="s">
        <v>102</v>
      </c>
      <c r="W58" t="s">
        <v>68</v>
      </c>
      <c r="X58" t="str">
        <f t="shared" si="3"/>
        <v>EXCLUDE: Cancelled order; REFUND: Summarize separately</v>
      </c>
      <c r="Y58" t="str">
        <f t="shared" si="1"/>
        <v>Exclude</v>
      </c>
    </row>
    <row r="59" spans="1:25">
      <c r="A59" t="s">
        <v>280</v>
      </c>
      <c r="B59" s="3">
        <v>45329</v>
      </c>
      <c r="C59" s="3">
        <v>45337</v>
      </c>
      <c r="D59" s="6">
        <f t="shared" si="2"/>
        <v>8</v>
      </c>
      <c r="E59" t="s">
        <v>281</v>
      </c>
      <c r="F59" t="s">
        <v>114</v>
      </c>
      <c r="G59" s="5" t="s">
        <v>24</v>
      </c>
      <c r="H59" t="s">
        <v>63</v>
      </c>
      <c r="I59" t="s">
        <v>190</v>
      </c>
      <c r="J59" t="s">
        <v>191</v>
      </c>
      <c r="K59" t="s">
        <v>41</v>
      </c>
      <c r="L59" t="s">
        <v>66</v>
      </c>
      <c r="M59" t="s">
        <v>282</v>
      </c>
      <c r="N59" t="s">
        <v>44</v>
      </c>
      <c r="O59">
        <v>5</v>
      </c>
      <c r="P59">
        <v>255.87</v>
      </c>
      <c r="Q59" s="6">
        <v>0</v>
      </c>
      <c r="R59" s="8">
        <f t="shared" si="0"/>
        <v>0</v>
      </c>
      <c r="S59">
        <v>1279.3499999999999</v>
      </c>
      <c r="T59">
        <v>1091.54</v>
      </c>
      <c r="U59">
        <v>187.81</v>
      </c>
      <c r="V59" t="s">
        <v>32</v>
      </c>
      <c r="W59" t="s">
        <v>33</v>
      </c>
      <c r="X59" t="str">
        <f t="shared" si="3"/>
        <v/>
      </c>
      <c r="Y59" t="str">
        <f t="shared" si="1"/>
        <v>Exclude</v>
      </c>
    </row>
    <row r="60" spans="1:25">
      <c r="A60" t="s">
        <v>283</v>
      </c>
      <c r="B60" s="3">
        <v>45536</v>
      </c>
      <c r="C60" s="3">
        <v>45482</v>
      </c>
      <c r="D60" s="6">
        <f t="shared" si="2"/>
        <v>-54</v>
      </c>
      <c r="E60" t="s">
        <v>284</v>
      </c>
      <c r="F60" t="s">
        <v>47</v>
      </c>
      <c r="G60" s="5" t="s">
        <v>95</v>
      </c>
      <c r="H60" t="s">
        <v>25</v>
      </c>
      <c r="I60" t="s">
        <v>26</v>
      </c>
      <c r="J60" t="s">
        <v>27</v>
      </c>
      <c r="K60" t="s">
        <v>28</v>
      </c>
      <c r="L60" t="s">
        <v>124</v>
      </c>
      <c r="M60" t="s">
        <v>285</v>
      </c>
      <c r="N60" t="s">
        <v>2806</v>
      </c>
      <c r="O60">
        <v>9</v>
      </c>
      <c r="P60">
        <v>1389.48</v>
      </c>
      <c r="Q60" s="6">
        <v>0.1</v>
      </c>
      <c r="R60" s="8">
        <f t="shared" si="0"/>
        <v>0.1</v>
      </c>
      <c r="S60">
        <v>11254.79</v>
      </c>
      <c r="T60">
        <v>6578.06</v>
      </c>
      <c r="U60">
        <v>4676.7299999999996</v>
      </c>
      <c r="V60" t="s">
        <v>111</v>
      </c>
      <c r="W60" t="s">
        <v>103</v>
      </c>
      <c r="X60" t="str">
        <f t="shared" si="3"/>
        <v>INVALID: Ship date before order date</v>
      </c>
      <c r="Y60" t="str">
        <f t="shared" si="1"/>
        <v>Exclude</v>
      </c>
    </row>
    <row r="61" spans="1:25">
      <c r="A61" t="s">
        <v>286</v>
      </c>
      <c r="B61" s="3">
        <v>45493</v>
      </c>
      <c r="C61" s="3">
        <v>45498</v>
      </c>
      <c r="D61" s="6">
        <f t="shared" si="2"/>
        <v>5</v>
      </c>
      <c r="E61" t="s">
        <v>287</v>
      </c>
      <c r="F61" t="s">
        <v>114</v>
      </c>
      <c r="G61" s="5" t="s">
        <v>90</v>
      </c>
      <c r="H61" t="s">
        <v>38</v>
      </c>
      <c r="I61" t="s">
        <v>166</v>
      </c>
      <c r="J61" t="s">
        <v>167</v>
      </c>
      <c r="K61" t="s">
        <v>28</v>
      </c>
      <c r="L61" t="s">
        <v>91</v>
      </c>
      <c r="M61" t="s">
        <v>288</v>
      </c>
      <c r="N61" t="s">
        <v>44</v>
      </c>
      <c r="O61">
        <v>5</v>
      </c>
      <c r="P61">
        <v>4133.8500000000004</v>
      </c>
      <c r="Q61" s="6">
        <v>0.2</v>
      </c>
      <c r="R61" s="8">
        <f t="shared" si="0"/>
        <v>0.2</v>
      </c>
      <c r="S61">
        <v>16535.400000000001</v>
      </c>
      <c r="T61">
        <v>12990.21</v>
      </c>
      <c r="U61">
        <v>3545.19</v>
      </c>
      <c r="V61" t="s">
        <v>32</v>
      </c>
      <c r="W61" t="s">
        <v>68</v>
      </c>
      <c r="X61" t="str">
        <f t="shared" si="3"/>
        <v>EXCLUDE: Cancelled order</v>
      </c>
      <c r="Y61" t="str">
        <f t="shared" si="1"/>
        <v>Exclude</v>
      </c>
    </row>
    <row r="62" spans="1:25">
      <c r="A62" t="s">
        <v>289</v>
      </c>
      <c r="B62" s="3">
        <v>45486</v>
      </c>
      <c r="C62" s="3">
        <v>45492</v>
      </c>
      <c r="D62" s="6">
        <f t="shared" si="2"/>
        <v>6</v>
      </c>
      <c r="E62" t="s">
        <v>290</v>
      </c>
      <c r="F62" t="s">
        <v>62</v>
      </c>
      <c r="G62" s="5" t="s">
        <v>90</v>
      </c>
      <c r="H62" t="s">
        <v>38</v>
      </c>
      <c r="I62" t="s">
        <v>166</v>
      </c>
      <c r="J62" t="s">
        <v>167</v>
      </c>
      <c r="K62" t="s">
        <v>28</v>
      </c>
      <c r="L62" t="s">
        <v>91</v>
      </c>
      <c r="M62" t="s">
        <v>291</v>
      </c>
      <c r="N62" t="s">
        <v>44</v>
      </c>
      <c r="O62">
        <v>3</v>
      </c>
      <c r="P62">
        <v>275.76</v>
      </c>
      <c r="Q62" s="6">
        <v>0.2</v>
      </c>
      <c r="R62" s="8">
        <f t="shared" si="0"/>
        <v>0.2</v>
      </c>
      <c r="S62">
        <v>661.82</v>
      </c>
      <c r="T62">
        <v>481.47</v>
      </c>
      <c r="U62">
        <v>180.35</v>
      </c>
      <c r="V62" t="s">
        <v>102</v>
      </c>
      <c r="W62" t="s">
        <v>68</v>
      </c>
      <c r="X62" t="str">
        <f t="shared" si="3"/>
        <v>EXCLUDE: Cancelled order; REFUND: Summarize separately</v>
      </c>
      <c r="Y62" t="str">
        <f t="shared" si="1"/>
        <v>Exclude</v>
      </c>
    </row>
    <row r="63" spans="1:25">
      <c r="A63" t="s">
        <v>292</v>
      </c>
      <c r="B63" s="3">
        <v>45398</v>
      </c>
      <c r="C63" s="3">
        <v>45398</v>
      </c>
      <c r="D63" s="6">
        <f t="shared" si="2"/>
        <v>0</v>
      </c>
      <c r="E63" t="s">
        <v>293</v>
      </c>
      <c r="F63" t="s">
        <v>71</v>
      </c>
      <c r="G63" s="5" t="s">
        <v>95</v>
      </c>
      <c r="H63" t="s">
        <v>38</v>
      </c>
      <c r="I63" t="s">
        <v>145</v>
      </c>
      <c r="J63" t="s">
        <v>146</v>
      </c>
      <c r="K63" t="s">
        <v>41</v>
      </c>
      <c r="L63" t="s">
        <v>158</v>
      </c>
      <c r="M63" t="s">
        <v>294</v>
      </c>
      <c r="N63" t="s">
        <v>59</v>
      </c>
      <c r="O63">
        <v>1</v>
      </c>
      <c r="P63">
        <v>949.59</v>
      </c>
      <c r="Q63" s="6">
        <v>0</v>
      </c>
      <c r="R63" s="8">
        <f t="shared" si="0"/>
        <v>0</v>
      </c>
      <c r="S63">
        <v>949.59</v>
      </c>
      <c r="T63">
        <v>751.25</v>
      </c>
      <c r="U63">
        <v>198.34</v>
      </c>
      <c r="V63" t="s">
        <v>32</v>
      </c>
      <c r="W63" t="s">
        <v>33</v>
      </c>
      <c r="X63" t="str">
        <f t="shared" si="3"/>
        <v/>
      </c>
      <c r="Y63" t="str">
        <f t="shared" si="1"/>
        <v>Exclude</v>
      </c>
    </row>
    <row r="64" spans="1:25">
      <c r="A64" t="s">
        <v>295</v>
      </c>
      <c r="B64" s="3">
        <v>45595</v>
      </c>
      <c r="C64" s="3">
        <v>45598</v>
      </c>
      <c r="D64" s="6">
        <f t="shared" si="2"/>
        <v>3</v>
      </c>
      <c r="E64" t="s">
        <v>296</v>
      </c>
      <c r="F64" t="s">
        <v>132</v>
      </c>
      <c r="G64" s="5" t="s">
        <v>95</v>
      </c>
      <c r="H64" t="s">
        <v>25</v>
      </c>
      <c r="I64" t="s">
        <v>26</v>
      </c>
      <c r="J64" t="s">
        <v>27</v>
      </c>
      <c r="K64" t="s">
        <v>74</v>
      </c>
      <c r="L64" t="s">
        <v>171</v>
      </c>
      <c r="M64" t="s">
        <v>297</v>
      </c>
      <c r="N64" t="s">
        <v>59</v>
      </c>
      <c r="O64">
        <v>9</v>
      </c>
      <c r="P64">
        <v>3042.29</v>
      </c>
      <c r="Q64" s="6">
        <v>0.2</v>
      </c>
      <c r="R64" s="8">
        <f t="shared" si="0"/>
        <v>0.2</v>
      </c>
      <c r="S64">
        <v>21904.49</v>
      </c>
      <c r="T64">
        <v>13570.55</v>
      </c>
      <c r="U64">
        <v>8333.94</v>
      </c>
      <c r="V64" t="s">
        <v>32</v>
      </c>
      <c r="W64" t="s">
        <v>33</v>
      </c>
      <c r="X64" t="str">
        <f t="shared" si="3"/>
        <v/>
      </c>
      <c r="Y64" t="str">
        <f t="shared" si="1"/>
        <v>Exclude</v>
      </c>
    </row>
    <row r="65" spans="1:25">
      <c r="A65" t="s">
        <v>298</v>
      </c>
      <c r="B65" s="3">
        <v>45316</v>
      </c>
      <c r="C65" s="3">
        <v>45323</v>
      </c>
      <c r="D65" s="6">
        <f t="shared" si="2"/>
        <v>7</v>
      </c>
      <c r="E65" t="s">
        <v>299</v>
      </c>
      <c r="F65" t="s">
        <v>132</v>
      </c>
      <c r="G65" s="5" t="s">
        <v>95</v>
      </c>
      <c r="H65" t="s">
        <v>25</v>
      </c>
      <c r="I65" t="s">
        <v>237</v>
      </c>
      <c r="J65" t="s">
        <v>238</v>
      </c>
      <c r="K65" t="s">
        <v>28</v>
      </c>
      <c r="L65" t="s">
        <v>153</v>
      </c>
      <c r="M65" t="s">
        <v>300</v>
      </c>
      <c r="N65" t="s">
        <v>44</v>
      </c>
      <c r="O65">
        <v>2</v>
      </c>
      <c r="P65">
        <v>2832.77</v>
      </c>
      <c r="Q65" s="6">
        <v>0.15</v>
      </c>
      <c r="R65" s="8">
        <f t="shared" si="0"/>
        <v>0.15</v>
      </c>
      <c r="S65">
        <v>4815.71</v>
      </c>
      <c r="T65">
        <v>3027.75</v>
      </c>
      <c r="U65">
        <v>1917.47</v>
      </c>
      <c r="V65" t="s">
        <v>32</v>
      </c>
      <c r="W65" t="s">
        <v>33</v>
      </c>
      <c r="X65" t="str">
        <f t="shared" si="3"/>
        <v/>
      </c>
      <c r="Y65" t="str">
        <f t="shared" si="1"/>
        <v>Exclude</v>
      </c>
    </row>
    <row r="66" spans="1:25">
      <c r="A66" t="s">
        <v>301</v>
      </c>
      <c r="B66" s="3">
        <v>45649</v>
      </c>
      <c r="C66" s="3">
        <v>45655</v>
      </c>
      <c r="D66" s="6">
        <f t="shared" si="2"/>
        <v>6</v>
      </c>
      <c r="E66" t="s">
        <v>302</v>
      </c>
      <c r="F66" t="s">
        <v>128</v>
      </c>
      <c r="G66" s="5" t="s">
        <v>90</v>
      </c>
      <c r="H66" t="s">
        <v>38</v>
      </c>
      <c r="I66" t="s">
        <v>229</v>
      </c>
      <c r="J66" t="s">
        <v>230</v>
      </c>
      <c r="K66" t="s">
        <v>28</v>
      </c>
      <c r="L66" t="s">
        <v>29</v>
      </c>
      <c r="M66" t="s">
        <v>303</v>
      </c>
      <c r="N66" t="s">
        <v>50</v>
      </c>
      <c r="O66">
        <v>7</v>
      </c>
      <c r="P66">
        <v>447.84</v>
      </c>
      <c r="Q66" s="6">
        <v>0</v>
      </c>
      <c r="R66" s="8">
        <f t="shared" ref="R66:R129" si="4">IF(ISBLANK(Q66),IF(AND(ISNUMBER(O66),O66&gt;0,ISNUMBER(P66),ISNUMBER(S66),ISNUMBER(T66),ISNUMBER(U66)),0,""),Q66)</f>
        <v>0</v>
      </c>
      <c r="S66">
        <v>3134.88</v>
      </c>
      <c r="T66">
        <v>2367.63</v>
      </c>
      <c r="U66">
        <v>767.25</v>
      </c>
      <c r="V66" t="s">
        <v>102</v>
      </c>
      <c r="W66" t="s">
        <v>103</v>
      </c>
      <c r="X66" t="str">
        <f t="shared" si="3"/>
        <v>REFUND: Summarize separately</v>
      </c>
      <c r="Y66" t="str">
        <f t="shared" ref="Y66:Y129" si="5">IF(AND(U66="Completed",T66="Paid",ISERROR(SEARCH("INVALID",W66))),"Include","Exclude")</f>
        <v>Exclude</v>
      </c>
    </row>
    <row r="67" spans="1:25">
      <c r="A67" t="s">
        <v>304</v>
      </c>
      <c r="B67" s="3">
        <v>45404</v>
      </c>
      <c r="C67" s="3">
        <v>45409</v>
      </c>
      <c r="D67" s="6">
        <f t="shared" ref="D67:D130" si="6">IF(OR(B67="",C67=""),"",C67-B67)</f>
        <v>5</v>
      </c>
      <c r="E67" t="s">
        <v>305</v>
      </c>
      <c r="F67" t="s">
        <v>36</v>
      </c>
      <c r="G67" s="5" t="s">
        <v>95</v>
      </c>
      <c r="H67" t="s">
        <v>63</v>
      </c>
      <c r="I67" t="s">
        <v>64</v>
      </c>
      <c r="J67" t="s">
        <v>65</v>
      </c>
      <c r="K67" t="s">
        <v>28</v>
      </c>
      <c r="L67" t="s">
        <v>29</v>
      </c>
      <c r="M67" t="s">
        <v>306</v>
      </c>
      <c r="N67" t="s">
        <v>31</v>
      </c>
      <c r="O67">
        <v>1</v>
      </c>
      <c r="P67">
        <v>4280.1899999999996</v>
      </c>
      <c r="Q67" s="6">
        <v>0.05</v>
      </c>
      <c r="R67" s="8">
        <f t="shared" si="4"/>
        <v>0.05</v>
      </c>
      <c r="S67">
        <v>4066.18</v>
      </c>
      <c r="T67">
        <v>2628.92</v>
      </c>
      <c r="U67">
        <v>1437.26</v>
      </c>
      <c r="V67" t="s">
        <v>32</v>
      </c>
      <c r="W67" t="s">
        <v>33</v>
      </c>
      <c r="X67" t="str">
        <f t="shared" ref="X67:X130" si="7">_xlfn.TEXTJOIN("; ",TRUE,IF(R67&lt;0,"INVALID: Negative discount",""),IF(R67&gt;50%,"INVALID: Discount above range",""),IF(D67&lt;0,"INVALID: Ship date before order date",""),IF(W67="Cancelled","EXCLUDE: Cancelled order",""),IF(V67="Failed","EXCLUDE: Failed payment",""),IF(V67="Refunded","REFUND: Summarize separately",""))</f>
        <v/>
      </c>
      <c r="Y67" t="str">
        <f t="shared" si="5"/>
        <v>Exclude</v>
      </c>
    </row>
    <row r="68" spans="1:25">
      <c r="A68" t="s">
        <v>307</v>
      </c>
      <c r="B68" s="3">
        <v>45897</v>
      </c>
      <c r="C68" s="3">
        <v>45666</v>
      </c>
      <c r="D68" s="6">
        <f t="shared" si="6"/>
        <v>-231</v>
      </c>
      <c r="E68" t="s">
        <v>308</v>
      </c>
      <c r="F68" t="s">
        <v>23</v>
      </c>
      <c r="G68" s="5" t="s">
        <v>37</v>
      </c>
      <c r="H68" t="s">
        <v>54</v>
      </c>
      <c r="I68" t="s">
        <v>248</v>
      </c>
      <c r="J68" t="s">
        <v>249</v>
      </c>
      <c r="K68" t="s">
        <v>74</v>
      </c>
      <c r="L68" t="s">
        <v>75</v>
      </c>
      <c r="M68" t="s">
        <v>309</v>
      </c>
      <c r="N68" t="s">
        <v>44</v>
      </c>
      <c r="O68">
        <v>7</v>
      </c>
      <c r="P68">
        <v>1057.46</v>
      </c>
      <c r="Q68" s="6">
        <v>0.05</v>
      </c>
      <c r="R68" s="8">
        <f t="shared" si="4"/>
        <v>0.05</v>
      </c>
      <c r="S68">
        <v>7032.11</v>
      </c>
      <c r="T68">
        <v>4610.34</v>
      </c>
      <c r="U68">
        <v>2421.77</v>
      </c>
      <c r="V68" t="s">
        <v>32</v>
      </c>
      <c r="W68" t="s">
        <v>33</v>
      </c>
      <c r="X68" t="str">
        <f t="shared" si="7"/>
        <v>INVALID: Ship date before order date</v>
      </c>
      <c r="Y68" t="str">
        <f t="shared" si="5"/>
        <v>Exclude</v>
      </c>
    </row>
    <row r="69" spans="1:25">
      <c r="A69" t="s">
        <v>310</v>
      </c>
      <c r="B69" s="3">
        <v>45691</v>
      </c>
      <c r="C69" s="3">
        <v>45695</v>
      </c>
      <c r="D69" s="6">
        <f t="shared" si="6"/>
        <v>4</v>
      </c>
      <c r="E69" t="s">
        <v>311</v>
      </c>
      <c r="F69" t="s">
        <v>265</v>
      </c>
      <c r="G69" s="5" t="s">
        <v>24</v>
      </c>
      <c r="H69" t="s">
        <v>25</v>
      </c>
      <c r="I69" t="s">
        <v>237</v>
      </c>
      <c r="J69" t="s">
        <v>238</v>
      </c>
      <c r="K69" t="s">
        <v>28</v>
      </c>
      <c r="L69" t="s">
        <v>29</v>
      </c>
      <c r="M69" t="s">
        <v>312</v>
      </c>
      <c r="N69" t="s">
        <v>50</v>
      </c>
      <c r="O69">
        <v>7</v>
      </c>
      <c r="P69">
        <v>3609.34</v>
      </c>
      <c r="Q69" s="6">
        <v>0.05</v>
      </c>
      <c r="R69" s="8">
        <f t="shared" si="4"/>
        <v>0.05</v>
      </c>
      <c r="S69">
        <v>24002.11</v>
      </c>
      <c r="T69">
        <v>18707.57</v>
      </c>
      <c r="U69">
        <v>5294.54</v>
      </c>
      <c r="V69" t="s">
        <v>32</v>
      </c>
      <c r="W69" t="s">
        <v>33</v>
      </c>
      <c r="X69" t="str">
        <f t="shared" si="7"/>
        <v/>
      </c>
      <c r="Y69" t="str">
        <f t="shared" si="5"/>
        <v>Exclude</v>
      </c>
    </row>
    <row r="70" spans="1:25">
      <c r="A70" t="s">
        <v>313</v>
      </c>
      <c r="B70" s="3">
        <v>45576</v>
      </c>
      <c r="C70" s="3">
        <v>45609</v>
      </c>
      <c r="D70" s="6">
        <f t="shared" si="6"/>
        <v>33</v>
      </c>
      <c r="E70" t="s">
        <v>314</v>
      </c>
      <c r="F70" t="s">
        <v>47</v>
      </c>
      <c r="G70" s="5" t="s">
        <v>90</v>
      </c>
      <c r="H70" t="s">
        <v>38</v>
      </c>
      <c r="I70" t="s">
        <v>229</v>
      </c>
      <c r="J70" t="s">
        <v>230</v>
      </c>
      <c r="K70" t="s">
        <v>28</v>
      </c>
      <c r="L70" t="s">
        <v>124</v>
      </c>
      <c r="M70" t="s">
        <v>315</v>
      </c>
      <c r="N70" t="s">
        <v>31</v>
      </c>
      <c r="O70">
        <v>9</v>
      </c>
      <c r="P70">
        <v>2211.12</v>
      </c>
      <c r="Q70" s="6">
        <v>0</v>
      </c>
      <c r="R70" s="8">
        <f t="shared" si="4"/>
        <v>0</v>
      </c>
      <c r="S70">
        <v>19900.080000000002</v>
      </c>
      <c r="T70">
        <v>10962.66</v>
      </c>
      <c r="U70">
        <v>8937.42</v>
      </c>
      <c r="V70" t="s">
        <v>155</v>
      </c>
      <c r="W70" t="s">
        <v>103</v>
      </c>
      <c r="X70" t="str">
        <f t="shared" si="7"/>
        <v>EXCLUDE: Failed payment</v>
      </c>
      <c r="Y70" t="str">
        <f t="shared" si="5"/>
        <v>Exclude</v>
      </c>
    </row>
    <row r="71" spans="1:25">
      <c r="A71" t="s">
        <v>316</v>
      </c>
      <c r="B71" s="3">
        <v>45391</v>
      </c>
      <c r="C71" s="3">
        <v>45396</v>
      </c>
      <c r="D71" s="6">
        <f t="shared" si="6"/>
        <v>5</v>
      </c>
      <c r="E71" t="s">
        <v>317</v>
      </c>
      <c r="F71" t="s">
        <v>79</v>
      </c>
      <c r="G71" s="5" t="s">
        <v>37</v>
      </c>
      <c r="H71" t="s">
        <v>63</v>
      </c>
      <c r="I71" t="s">
        <v>180</v>
      </c>
      <c r="J71" t="s">
        <v>181</v>
      </c>
      <c r="K71" t="s">
        <v>74</v>
      </c>
      <c r="L71" t="s">
        <v>275</v>
      </c>
      <c r="M71" t="s">
        <v>318</v>
      </c>
      <c r="N71" t="s">
        <v>44</v>
      </c>
      <c r="O71">
        <v>7</v>
      </c>
      <c r="P71">
        <v>3417.09</v>
      </c>
      <c r="Q71" s="6">
        <v>0.1</v>
      </c>
      <c r="R71" s="8">
        <f t="shared" si="4"/>
        <v>0.1</v>
      </c>
      <c r="S71">
        <v>21527.67</v>
      </c>
      <c r="T71">
        <v>18287.580000000002</v>
      </c>
      <c r="U71">
        <v>3240.09</v>
      </c>
      <c r="V71" t="s">
        <v>102</v>
      </c>
      <c r="W71" t="s">
        <v>103</v>
      </c>
      <c r="X71" t="str">
        <f t="shared" si="7"/>
        <v>REFUND: Summarize separately</v>
      </c>
      <c r="Y71" t="str">
        <f t="shared" si="5"/>
        <v>Exclude</v>
      </c>
    </row>
    <row r="72" spans="1:25">
      <c r="A72" t="s">
        <v>319</v>
      </c>
      <c r="B72" s="3">
        <v>45891</v>
      </c>
      <c r="C72" s="3">
        <v>45896</v>
      </c>
      <c r="D72" s="6">
        <f t="shared" si="6"/>
        <v>5</v>
      </c>
      <c r="E72" t="s">
        <v>320</v>
      </c>
      <c r="F72" t="s">
        <v>23</v>
      </c>
      <c r="G72" s="5" t="s">
        <v>90</v>
      </c>
      <c r="H72" t="s">
        <v>54</v>
      </c>
      <c r="I72" t="s">
        <v>84</v>
      </c>
      <c r="J72" t="s">
        <v>85</v>
      </c>
      <c r="K72" t="s">
        <v>74</v>
      </c>
      <c r="L72" t="s">
        <v>171</v>
      </c>
      <c r="M72" t="s">
        <v>321</v>
      </c>
      <c r="N72" t="s">
        <v>50</v>
      </c>
      <c r="O72">
        <v>2</v>
      </c>
      <c r="P72">
        <v>905.87</v>
      </c>
      <c r="Q72" s="6">
        <v>0.15</v>
      </c>
      <c r="R72" s="8">
        <f t="shared" si="4"/>
        <v>0.15</v>
      </c>
      <c r="S72">
        <v>1539.98</v>
      </c>
      <c r="T72">
        <v>1070.2</v>
      </c>
      <c r="U72">
        <v>469.78</v>
      </c>
      <c r="V72" t="s">
        <v>32</v>
      </c>
      <c r="W72" t="s">
        <v>33</v>
      </c>
      <c r="X72" t="str">
        <f t="shared" si="7"/>
        <v/>
      </c>
      <c r="Y72" t="str">
        <f t="shared" si="5"/>
        <v>Exclude</v>
      </c>
    </row>
    <row r="73" spans="1:25">
      <c r="A73" t="s">
        <v>322</v>
      </c>
      <c r="B73" s="3">
        <v>45763</v>
      </c>
      <c r="C73" s="3">
        <v>45770</v>
      </c>
      <c r="D73" s="6">
        <f t="shared" si="6"/>
        <v>7</v>
      </c>
      <c r="E73" t="s">
        <v>323</v>
      </c>
      <c r="F73" t="s">
        <v>36</v>
      </c>
      <c r="G73" s="5" t="s">
        <v>37</v>
      </c>
      <c r="H73" t="s">
        <v>63</v>
      </c>
      <c r="I73" t="s">
        <v>190</v>
      </c>
      <c r="J73" t="s">
        <v>191</v>
      </c>
      <c r="K73" t="s">
        <v>74</v>
      </c>
      <c r="L73" t="s">
        <v>275</v>
      </c>
      <c r="M73" t="s">
        <v>324</v>
      </c>
      <c r="N73" t="s">
        <v>59</v>
      </c>
      <c r="O73">
        <v>6</v>
      </c>
      <c r="P73">
        <v>2027.32</v>
      </c>
      <c r="Q73" s="6">
        <v>0.1</v>
      </c>
      <c r="R73" s="8">
        <f t="shared" si="4"/>
        <v>0.1</v>
      </c>
      <c r="S73">
        <v>10947.53</v>
      </c>
      <c r="T73">
        <v>6447.36</v>
      </c>
      <c r="U73">
        <v>4500.17</v>
      </c>
      <c r="V73" t="s">
        <v>32</v>
      </c>
      <c r="W73" t="s">
        <v>33</v>
      </c>
      <c r="X73" t="str">
        <f t="shared" si="7"/>
        <v/>
      </c>
      <c r="Y73" t="str">
        <f t="shared" si="5"/>
        <v>Exclude</v>
      </c>
    </row>
    <row r="74" spans="1:25">
      <c r="A74" t="s">
        <v>325</v>
      </c>
      <c r="B74" s="3">
        <v>45333</v>
      </c>
      <c r="C74" s="3">
        <v>45475</v>
      </c>
      <c r="D74" s="6">
        <f t="shared" si="6"/>
        <v>142</v>
      </c>
      <c r="E74" t="s">
        <v>326</v>
      </c>
      <c r="F74" t="s">
        <v>23</v>
      </c>
      <c r="G74" s="5" t="s">
        <v>95</v>
      </c>
      <c r="H74" t="s">
        <v>54</v>
      </c>
      <c r="I74" t="s">
        <v>248</v>
      </c>
      <c r="J74" t="s">
        <v>249</v>
      </c>
      <c r="K74" t="s">
        <v>41</v>
      </c>
      <c r="L74" t="s">
        <v>42</v>
      </c>
      <c r="M74" t="s">
        <v>327</v>
      </c>
      <c r="N74" t="s">
        <v>50</v>
      </c>
      <c r="O74">
        <v>7</v>
      </c>
      <c r="P74">
        <v>2287.4699999999998</v>
      </c>
      <c r="Q74" s="6">
        <v>0.15</v>
      </c>
      <c r="R74" s="8">
        <f t="shared" si="4"/>
        <v>0.15</v>
      </c>
      <c r="S74">
        <v>13610.45</v>
      </c>
      <c r="T74">
        <v>10039.049999999999</v>
      </c>
      <c r="U74">
        <v>3571.4</v>
      </c>
      <c r="V74" t="s">
        <v>32</v>
      </c>
      <c r="W74" t="s">
        <v>33</v>
      </c>
      <c r="X74" t="str">
        <f t="shared" si="7"/>
        <v/>
      </c>
      <c r="Y74" t="str">
        <f t="shared" si="5"/>
        <v>Exclude</v>
      </c>
    </row>
    <row r="75" spans="1:25">
      <c r="A75" t="s">
        <v>328</v>
      </c>
      <c r="B75" s="3">
        <v>45745</v>
      </c>
      <c r="C75" s="3">
        <v>45720</v>
      </c>
      <c r="D75" s="6">
        <f t="shared" si="6"/>
        <v>-25</v>
      </c>
      <c r="E75" t="s">
        <v>329</v>
      </c>
      <c r="F75" t="s">
        <v>132</v>
      </c>
      <c r="G75" s="5" t="s">
        <v>90</v>
      </c>
      <c r="H75" t="s">
        <v>38</v>
      </c>
      <c r="I75" t="s">
        <v>99</v>
      </c>
      <c r="J75" t="s">
        <v>100</v>
      </c>
      <c r="K75" t="s">
        <v>41</v>
      </c>
      <c r="L75" t="s">
        <v>158</v>
      </c>
      <c r="M75" t="s">
        <v>330</v>
      </c>
      <c r="N75" t="s">
        <v>50</v>
      </c>
      <c r="O75">
        <v>5</v>
      </c>
      <c r="P75">
        <v>1425.74</v>
      </c>
      <c r="Q75" s="6">
        <v>0</v>
      </c>
      <c r="R75" s="8">
        <f t="shared" si="4"/>
        <v>0</v>
      </c>
      <c r="S75">
        <v>7128.7</v>
      </c>
      <c r="T75">
        <v>4382.1499999999996</v>
      </c>
      <c r="U75">
        <v>2746.55</v>
      </c>
      <c r="V75" t="s">
        <v>32</v>
      </c>
      <c r="W75" t="s">
        <v>33</v>
      </c>
      <c r="X75" t="str">
        <f t="shared" si="7"/>
        <v>INVALID: Ship date before order date</v>
      </c>
      <c r="Y75" t="str">
        <f t="shared" si="5"/>
        <v>Exclude</v>
      </c>
    </row>
    <row r="76" spans="1:25">
      <c r="A76" t="s">
        <v>331</v>
      </c>
      <c r="B76" s="3">
        <v>45715</v>
      </c>
      <c r="C76" s="3">
        <v>45660</v>
      </c>
      <c r="D76" s="6">
        <f t="shared" si="6"/>
        <v>-55</v>
      </c>
      <c r="E76" t="s">
        <v>332</v>
      </c>
      <c r="F76" t="s">
        <v>71</v>
      </c>
      <c r="G76" s="5" t="s">
        <v>37</v>
      </c>
      <c r="H76" t="s">
        <v>38</v>
      </c>
      <c r="I76" t="s">
        <v>99</v>
      </c>
      <c r="J76" t="s">
        <v>100</v>
      </c>
      <c r="K76" t="s">
        <v>41</v>
      </c>
      <c r="L76" t="s">
        <v>66</v>
      </c>
      <c r="M76" t="s">
        <v>333</v>
      </c>
      <c r="N76" t="s">
        <v>59</v>
      </c>
      <c r="O76">
        <v>6</v>
      </c>
      <c r="P76">
        <v>551.64</v>
      </c>
      <c r="Q76" s="6">
        <v>0</v>
      </c>
      <c r="R76" s="8">
        <f t="shared" si="4"/>
        <v>0</v>
      </c>
      <c r="S76">
        <v>3309.84</v>
      </c>
      <c r="T76">
        <v>2671.08</v>
      </c>
      <c r="U76">
        <v>638.76</v>
      </c>
      <c r="V76" t="s">
        <v>32</v>
      </c>
      <c r="W76" t="s">
        <v>33</v>
      </c>
      <c r="X76" t="str">
        <f t="shared" si="7"/>
        <v>INVALID: Ship date before order date</v>
      </c>
      <c r="Y76" t="str">
        <f t="shared" si="5"/>
        <v>Exclude</v>
      </c>
    </row>
    <row r="77" spans="1:25">
      <c r="A77" t="s">
        <v>334</v>
      </c>
      <c r="B77" s="3">
        <v>45891</v>
      </c>
      <c r="C77" s="3">
        <v>45896</v>
      </c>
      <c r="D77" s="6">
        <f t="shared" si="6"/>
        <v>5</v>
      </c>
      <c r="E77" t="s">
        <v>335</v>
      </c>
      <c r="F77" t="s">
        <v>114</v>
      </c>
      <c r="G77" s="5" t="s">
        <v>37</v>
      </c>
      <c r="H77" t="s">
        <v>38</v>
      </c>
      <c r="I77" t="s">
        <v>39</v>
      </c>
      <c r="J77" t="s">
        <v>40</v>
      </c>
      <c r="K77" t="s">
        <v>28</v>
      </c>
      <c r="L77" t="s">
        <v>91</v>
      </c>
      <c r="M77" t="s">
        <v>336</v>
      </c>
      <c r="N77" t="s">
        <v>50</v>
      </c>
      <c r="O77">
        <v>3</v>
      </c>
      <c r="P77">
        <v>3294.82</v>
      </c>
      <c r="Q77" s="6">
        <v>0.2</v>
      </c>
      <c r="R77" s="8">
        <f t="shared" si="4"/>
        <v>0.2</v>
      </c>
      <c r="S77">
        <v>7907.57</v>
      </c>
      <c r="T77">
        <v>5391.18</v>
      </c>
      <c r="U77">
        <v>2516.39</v>
      </c>
      <c r="V77" t="s">
        <v>32</v>
      </c>
      <c r="W77" t="s">
        <v>33</v>
      </c>
      <c r="X77" t="str">
        <f t="shared" si="7"/>
        <v/>
      </c>
      <c r="Y77" t="str">
        <f t="shared" si="5"/>
        <v>Exclude</v>
      </c>
    </row>
    <row r="78" spans="1:25">
      <c r="A78" t="s">
        <v>337</v>
      </c>
      <c r="B78" s="3">
        <v>45599</v>
      </c>
      <c r="C78" s="3">
        <v>45607</v>
      </c>
      <c r="D78" s="6">
        <f t="shared" si="6"/>
        <v>8</v>
      </c>
      <c r="E78" t="s">
        <v>338</v>
      </c>
      <c r="F78" t="s">
        <v>62</v>
      </c>
      <c r="G78" s="5" t="s">
        <v>90</v>
      </c>
      <c r="H78" t="s">
        <v>38</v>
      </c>
      <c r="I78" t="s">
        <v>229</v>
      </c>
      <c r="J78" t="s">
        <v>230</v>
      </c>
      <c r="K78" t="s">
        <v>28</v>
      </c>
      <c r="L78" t="s">
        <v>91</v>
      </c>
      <c r="M78" t="s">
        <v>339</v>
      </c>
      <c r="N78" t="s">
        <v>31</v>
      </c>
      <c r="O78">
        <v>3</v>
      </c>
      <c r="P78">
        <v>3406.27</v>
      </c>
      <c r="Q78" s="6">
        <v>0</v>
      </c>
      <c r="R78" s="8">
        <f t="shared" si="4"/>
        <v>0</v>
      </c>
      <c r="S78">
        <v>10218.81</v>
      </c>
      <c r="T78">
        <v>7616.97</v>
      </c>
      <c r="U78">
        <v>2601.84</v>
      </c>
      <c r="V78" t="s">
        <v>32</v>
      </c>
      <c r="W78" t="s">
        <v>33</v>
      </c>
      <c r="X78" t="str">
        <f t="shared" si="7"/>
        <v/>
      </c>
      <c r="Y78" t="str">
        <f t="shared" si="5"/>
        <v>Exclude</v>
      </c>
    </row>
    <row r="79" spans="1:25">
      <c r="A79" t="s">
        <v>340</v>
      </c>
      <c r="B79" s="3">
        <v>45876</v>
      </c>
      <c r="C79" s="3">
        <v>45850</v>
      </c>
      <c r="D79" s="6">
        <f t="shared" si="6"/>
        <v>-26</v>
      </c>
      <c r="E79" t="s">
        <v>341</v>
      </c>
      <c r="F79" t="s">
        <v>141</v>
      </c>
      <c r="G79" s="5" t="s">
        <v>95</v>
      </c>
      <c r="H79" t="s">
        <v>25</v>
      </c>
      <c r="I79" t="s">
        <v>136</v>
      </c>
      <c r="J79" t="s">
        <v>137</v>
      </c>
      <c r="K79" t="s">
        <v>41</v>
      </c>
      <c r="L79" t="s">
        <v>57</v>
      </c>
      <c r="M79" t="s">
        <v>342</v>
      </c>
      <c r="N79" t="s">
        <v>59</v>
      </c>
      <c r="O79">
        <v>1</v>
      </c>
      <c r="P79">
        <v>2582.1999999999998</v>
      </c>
      <c r="Q79" s="6">
        <v>0.15</v>
      </c>
      <c r="R79" s="8">
        <f t="shared" si="4"/>
        <v>0.15</v>
      </c>
      <c r="S79">
        <v>2194.87</v>
      </c>
      <c r="T79">
        <v>1223.17</v>
      </c>
      <c r="U79">
        <v>971.7</v>
      </c>
      <c r="V79" t="s">
        <v>102</v>
      </c>
      <c r="W79" t="s">
        <v>68</v>
      </c>
      <c r="X79" t="str">
        <f t="shared" si="7"/>
        <v>INVALID: Ship date before order date; EXCLUDE: Cancelled order; REFUND: Summarize separately</v>
      </c>
      <c r="Y79" t="str">
        <f t="shared" si="5"/>
        <v>Exclude</v>
      </c>
    </row>
    <row r="80" spans="1:25">
      <c r="A80" t="s">
        <v>343</v>
      </c>
      <c r="B80" s="3">
        <v>45854</v>
      </c>
      <c r="C80" s="3">
        <v>45859</v>
      </c>
      <c r="D80" s="6">
        <f t="shared" si="6"/>
        <v>5</v>
      </c>
      <c r="E80" t="s">
        <v>344</v>
      </c>
      <c r="F80" t="s">
        <v>132</v>
      </c>
      <c r="G80" s="5" t="s">
        <v>90</v>
      </c>
      <c r="H80" t="s">
        <v>38</v>
      </c>
      <c r="I80" t="s">
        <v>99</v>
      </c>
      <c r="J80" t="s">
        <v>100</v>
      </c>
      <c r="K80" t="s">
        <v>41</v>
      </c>
      <c r="L80" t="s">
        <v>42</v>
      </c>
      <c r="M80" t="s">
        <v>345</v>
      </c>
      <c r="N80" t="s">
        <v>50</v>
      </c>
      <c r="O80">
        <v>5</v>
      </c>
      <c r="P80">
        <v>2129.5100000000002</v>
      </c>
      <c r="Q80" s="6">
        <v>0.15</v>
      </c>
      <c r="R80" s="8">
        <f t="shared" si="4"/>
        <v>0.15</v>
      </c>
      <c r="S80">
        <v>9050.42</v>
      </c>
      <c r="T80">
        <v>6778.85</v>
      </c>
      <c r="U80">
        <v>2271.5700000000002</v>
      </c>
      <c r="V80" t="s">
        <v>32</v>
      </c>
      <c r="W80" t="s">
        <v>33</v>
      </c>
      <c r="X80" t="str">
        <f t="shared" si="7"/>
        <v/>
      </c>
      <c r="Y80" t="str">
        <f t="shared" si="5"/>
        <v>Exclude</v>
      </c>
    </row>
    <row r="81" spans="1:25">
      <c r="A81" t="s">
        <v>346</v>
      </c>
      <c r="B81" s="3">
        <v>45927</v>
      </c>
      <c r="C81" s="3">
        <v>45726</v>
      </c>
      <c r="D81" s="6">
        <f t="shared" si="6"/>
        <v>-201</v>
      </c>
      <c r="E81" t="s">
        <v>347</v>
      </c>
      <c r="F81" t="s">
        <v>162</v>
      </c>
      <c r="G81" s="5" t="s">
        <v>95</v>
      </c>
      <c r="H81" t="s">
        <v>54</v>
      </c>
      <c r="I81" t="s">
        <v>248</v>
      </c>
      <c r="J81" t="s">
        <v>249</v>
      </c>
      <c r="K81" t="s">
        <v>41</v>
      </c>
      <c r="L81" t="s">
        <v>66</v>
      </c>
      <c r="M81" t="s">
        <v>348</v>
      </c>
      <c r="N81" t="s">
        <v>44</v>
      </c>
      <c r="O81">
        <v>9</v>
      </c>
      <c r="P81">
        <v>4131.5200000000004</v>
      </c>
      <c r="Q81" s="6">
        <v>0.1</v>
      </c>
      <c r="R81" s="8">
        <f t="shared" si="4"/>
        <v>0.1</v>
      </c>
      <c r="S81">
        <v>33465.31</v>
      </c>
      <c r="T81">
        <v>24781.26</v>
      </c>
      <c r="U81">
        <v>8684.0499999999993</v>
      </c>
      <c r="V81" t="s">
        <v>32</v>
      </c>
      <c r="W81" t="s">
        <v>33</v>
      </c>
      <c r="X81" t="str">
        <f t="shared" si="7"/>
        <v>INVALID: Ship date before order date</v>
      </c>
      <c r="Y81" t="str">
        <f t="shared" si="5"/>
        <v>Exclude</v>
      </c>
    </row>
    <row r="82" spans="1:25">
      <c r="A82" t="s">
        <v>349</v>
      </c>
      <c r="B82" s="3">
        <v>45514</v>
      </c>
      <c r="C82" s="3">
        <v>45518</v>
      </c>
      <c r="D82" s="6">
        <f t="shared" si="6"/>
        <v>4</v>
      </c>
      <c r="E82" t="s">
        <v>350</v>
      </c>
      <c r="F82" t="s">
        <v>128</v>
      </c>
      <c r="G82" s="5" t="s">
        <v>37</v>
      </c>
      <c r="H82" t="s">
        <v>25</v>
      </c>
      <c r="I82" t="s">
        <v>351</v>
      </c>
      <c r="J82" t="s">
        <v>352</v>
      </c>
      <c r="K82" t="s">
        <v>28</v>
      </c>
      <c r="L82" t="s">
        <v>124</v>
      </c>
      <c r="M82" t="s">
        <v>353</v>
      </c>
      <c r="N82" t="s">
        <v>31</v>
      </c>
      <c r="O82">
        <v>4</v>
      </c>
      <c r="P82">
        <v>1182.32</v>
      </c>
      <c r="Q82" s="6">
        <v>0.1</v>
      </c>
      <c r="R82" s="8">
        <f t="shared" si="4"/>
        <v>0.1</v>
      </c>
      <c r="S82">
        <v>4256.3500000000004</v>
      </c>
      <c r="T82">
        <v>2495.33</v>
      </c>
      <c r="U82">
        <v>1761.02</v>
      </c>
      <c r="V82" t="s">
        <v>111</v>
      </c>
      <c r="W82" t="s">
        <v>103</v>
      </c>
      <c r="X82" t="str">
        <f t="shared" si="7"/>
        <v/>
      </c>
      <c r="Y82" t="str">
        <f t="shared" si="5"/>
        <v>Exclude</v>
      </c>
    </row>
    <row r="83" spans="1:25">
      <c r="A83" t="s">
        <v>354</v>
      </c>
      <c r="B83" s="3">
        <v>45732</v>
      </c>
      <c r="C83" s="3">
        <v>45733</v>
      </c>
      <c r="D83" s="6">
        <f t="shared" si="6"/>
        <v>1</v>
      </c>
      <c r="E83" t="s">
        <v>355</v>
      </c>
      <c r="F83" t="s">
        <v>23</v>
      </c>
      <c r="G83" s="5" t="s">
        <v>95</v>
      </c>
      <c r="H83" t="s">
        <v>63</v>
      </c>
      <c r="I83" t="s">
        <v>190</v>
      </c>
      <c r="J83" t="s">
        <v>191</v>
      </c>
      <c r="K83" t="s">
        <v>28</v>
      </c>
      <c r="L83" t="s">
        <v>91</v>
      </c>
      <c r="M83" t="s">
        <v>356</v>
      </c>
      <c r="N83" t="s">
        <v>44</v>
      </c>
      <c r="O83">
        <v>3</v>
      </c>
      <c r="P83">
        <v>1841.91</v>
      </c>
      <c r="Q83" s="6">
        <v>0</v>
      </c>
      <c r="R83" s="8">
        <f t="shared" si="4"/>
        <v>0</v>
      </c>
      <c r="S83">
        <v>5525.73</v>
      </c>
      <c r="T83">
        <v>3093.42</v>
      </c>
      <c r="U83">
        <v>2432.31</v>
      </c>
      <c r="V83" t="s">
        <v>32</v>
      </c>
      <c r="W83" t="s">
        <v>33</v>
      </c>
      <c r="X83" t="str">
        <f t="shared" si="7"/>
        <v/>
      </c>
      <c r="Y83" t="str">
        <f t="shared" si="5"/>
        <v>Exclude</v>
      </c>
    </row>
    <row r="84" spans="1:25">
      <c r="A84" t="s">
        <v>357</v>
      </c>
      <c r="B84" s="3">
        <v>45507</v>
      </c>
      <c r="C84" s="3">
        <v>45508</v>
      </c>
      <c r="D84" s="6">
        <f t="shared" si="6"/>
        <v>1</v>
      </c>
      <c r="E84" t="s">
        <v>358</v>
      </c>
      <c r="F84" t="s">
        <v>53</v>
      </c>
      <c r="G84" s="5" t="s">
        <v>24</v>
      </c>
      <c r="H84" t="s">
        <v>25</v>
      </c>
      <c r="I84" t="s">
        <v>136</v>
      </c>
      <c r="J84" t="s">
        <v>137</v>
      </c>
      <c r="K84" t="s">
        <v>74</v>
      </c>
      <c r="L84" t="s">
        <v>80</v>
      </c>
      <c r="M84" t="s">
        <v>359</v>
      </c>
      <c r="N84" t="s">
        <v>31</v>
      </c>
      <c r="O84">
        <v>6</v>
      </c>
      <c r="P84">
        <v>1001.73</v>
      </c>
      <c r="Q84" s="6">
        <v>0</v>
      </c>
      <c r="R84" s="8">
        <f t="shared" si="4"/>
        <v>0</v>
      </c>
      <c r="S84">
        <v>6010.38</v>
      </c>
      <c r="T84">
        <v>3762.85</v>
      </c>
      <c r="U84">
        <v>2247.5300000000002</v>
      </c>
      <c r="V84" t="s">
        <v>155</v>
      </c>
      <c r="W84" t="s">
        <v>103</v>
      </c>
      <c r="X84" t="str">
        <f t="shared" si="7"/>
        <v>EXCLUDE: Failed payment</v>
      </c>
      <c r="Y84" t="str">
        <f t="shared" si="5"/>
        <v>Exclude</v>
      </c>
    </row>
    <row r="85" spans="1:25">
      <c r="A85" t="s">
        <v>360</v>
      </c>
      <c r="B85" s="3">
        <v>45591</v>
      </c>
      <c r="C85" s="3">
        <v>45594</v>
      </c>
      <c r="D85" s="6">
        <f t="shared" si="6"/>
        <v>3</v>
      </c>
      <c r="E85" t="s">
        <v>361</v>
      </c>
      <c r="F85" t="s">
        <v>89</v>
      </c>
      <c r="G85" s="5" t="s">
        <v>95</v>
      </c>
      <c r="H85" t="s">
        <v>63</v>
      </c>
      <c r="I85" t="s">
        <v>64</v>
      </c>
      <c r="J85" t="s">
        <v>65</v>
      </c>
      <c r="K85" t="s">
        <v>41</v>
      </c>
      <c r="L85" t="s">
        <v>42</v>
      </c>
      <c r="M85" t="s">
        <v>362</v>
      </c>
      <c r="N85" t="s">
        <v>31</v>
      </c>
      <c r="O85">
        <v>9</v>
      </c>
      <c r="P85">
        <v>131.74</v>
      </c>
      <c r="Q85" s="6">
        <v>0.2</v>
      </c>
      <c r="R85" s="8">
        <f t="shared" si="4"/>
        <v>0.2</v>
      </c>
      <c r="S85">
        <v>948.53</v>
      </c>
      <c r="T85">
        <v>674.62</v>
      </c>
      <c r="U85">
        <v>273.91000000000003</v>
      </c>
      <c r="V85" t="s">
        <v>32</v>
      </c>
      <c r="W85" t="s">
        <v>33</v>
      </c>
      <c r="X85" t="str">
        <f t="shared" si="7"/>
        <v/>
      </c>
      <c r="Y85" t="str">
        <f t="shared" si="5"/>
        <v>Exclude</v>
      </c>
    </row>
    <row r="86" spans="1:25">
      <c r="A86" t="s">
        <v>363</v>
      </c>
      <c r="B86" s="3">
        <v>45566</v>
      </c>
      <c r="C86" s="3">
        <v>45361</v>
      </c>
      <c r="D86" s="6">
        <f t="shared" si="6"/>
        <v>-205</v>
      </c>
      <c r="E86" t="s">
        <v>364</v>
      </c>
      <c r="F86" t="s">
        <v>141</v>
      </c>
      <c r="G86" s="5" t="s">
        <v>90</v>
      </c>
      <c r="H86" t="s">
        <v>54</v>
      </c>
      <c r="I86" t="s">
        <v>248</v>
      </c>
      <c r="J86" t="s">
        <v>249</v>
      </c>
      <c r="K86" t="s">
        <v>74</v>
      </c>
      <c r="L86" t="s">
        <v>171</v>
      </c>
      <c r="M86" t="s">
        <v>365</v>
      </c>
      <c r="N86" t="s">
        <v>31</v>
      </c>
      <c r="O86">
        <v>6</v>
      </c>
      <c r="P86">
        <v>570.28</v>
      </c>
      <c r="Q86" s="6">
        <v>0.2</v>
      </c>
      <c r="R86" s="8">
        <f t="shared" si="4"/>
        <v>0.2</v>
      </c>
      <c r="S86">
        <v>2737.34</v>
      </c>
      <c r="T86">
        <v>2085.44</v>
      </c>
      <c r="U86">
        <v>651.9</v>
      </c>
      <c r="V86" t="s">
        <v>32</v>
      </c>
      <c r="W86" t="s">
        <v>33</v>
      </c>
      <c r="X86" t="str">
        <f t="shared" si="7"/>
        <v>INVALID: Ship date before order date</v>
      </c>
      <c r="Y86" t="str">
        <f t="shared" si="5"/>
        <v>Exclude</v>
      </c>
    </row>
    <row r="87" spans="1:25">
      <c r="A87" t="s">
        <v>366</v>
      </c>
      <c r="B87" s="3">
        <v>45503</v>
      </c>
      <c r="C87" s="3">
        <v>45420</v>
      </c>
      <c r="D87" s="6">
        <f t="shared" si="6"/>
        <v>-83</v>
      </c>
      <c r="E87" t="s">
        <v>367</v>
      </c>
      <c r="F87" t="s">
        <v>265</v>
      </c>
      <c r="G87" s="5" t="s">
        <v>90</v>
      </c>
      <c r="H87" t="s">
        <v>25</v>
      </c>
      <c r="I87" t="s">
        <v>351</v>
      </c>
      <c r="J87" t="s">
        <v>352</v>
      </c>
      <c r="K87" t="s">
        <v>28</v>
      </c>
      <c r="L87" t="s">
        <v>153</v>
      </c>
      <c r="M87" t="s">
        <v>368</v>
      </c>
      <c r="N87" t="s">
        <v>59</v>
      </c>
      <c r="O87">
        <v>1</v>
      </c>
      <c r="P87">
        <v>608.64</v>
      </c>
      <c r="Q87" s="6">
        <v>0</v>
      </c>
      <c r="R87" s="8">
        <f t="shared" si="4"/>
        <v>0</v>
      </c>
      <c r="S87">
        <v>608.64</v>
      </c>
      <c r="T87">
        <v>343.99</v>
      </c>
      <c r="U87">
        <v>264.64999999999998</v>
      </c>
      <c r="V87" t="s">
        <v>32</v>
      </c>
      <c r="W87" t="s">
        <v>68</v>
      </c>
      <c r="X87" t="str">
        <f t="shared" si="7"/>
        <v>INVALID: Ship date before order date; EXCLUDE: Cancelled order</v>
      </c>
      <c r="Y87" t="str">
        <f t="shared" si="5"/>
        <v>Exclude</v>
      </c>
    </row>
    <row r="88" spans="1:25">
      <c r="A88" t="s">
        <v>369</v>
      </c>
      <c r="B88" s="3">
        <v>45474</v>
      </c>
      <c r="C88" s="3">
        <v>45298</v>
      </c>
      <c r="D88" s="6">
        <f t="shared" si="6"/>
        <v>-176</v>
      </c>
      <c r="E88" t="s">
        <v>370</v>
      </c>
      <c r="F88" t="s">
        <v>62</v>
      </c>
      <c r="G88" s="5" t="s">
        <v>37</v>
      </c>
      <c r="H88" t="s">
        <v>25</v>
      </c>
      <c r="I88" t="s">
        <v>351</v>
      </c>
      <c r="J88" t="s">
        <v>352</v>
      </c>
      <c r="K88" t="s">
        <v>74</v>
      </c>
      <c r="L88" t="s">
        <v>80</v>
      </c>
      <c r="M88" t="s">
        <v>371</v>
      </c>
      <c r="N88" t="s">
        <v>31</v>
      </c>
      <c r="O88">
        <v>3</v>
      </c>
      <c r="P88">
        <v>885.28</v>
      </c>
      <c r="Q88" s="6">
        <v>0.1</v>
      </c>
      <c r="R88" s="8">
        <f t="shared" si="4"/>
        <v>0.1</v>
      </c>
      <c r="S88">
        <v>2390.2600000000002</v>
      </c>
      <c r="T88">
        <v>1495.94</v>
      </c>
      <c r="U88">
        <v>894.32</v>
      </c>
      <c r="V88" t="s">
        <v>102</v>
      </c>
      <c r="W88" t="s">
        <v>68</v>
      </c>
      <c r="X88" t="str">
        <f t="shared" si="7"/>
        <v>INVALID: Ship date before order date; EXCLUDE: Cancelled order; REFUND: Summarize separately</v>
      </c>
      <c r="Y88" t="str">
        <f t="shared" si="5"/>
        <v>Exclude</v>
      </c>
    </row>
    <row r="89" spans="1:25">
      <c r="A89" t="s">
        <v>372</v>
      </c>
      <c r="B89" s="3">
        <v>45506</v>
      </c>
      <c r="C89" s="3">
        <v>45359</v>
      </c>
      <c r="D89" s="6">
        <f t="shared" si="6"/>
        <v>-147</v>
      </c>
      <c r="E89" t="s">
        <v>373</v>
      </c>
      <c r="F89" t="s">
        <v>71</v>
      </c>
      <c r="G89" s="5" t="s">
        <v>24</v>
      </c>
      <c r="H89" t="s">
        <v>38</v>
      </c>
      <c r="I89" t="s">
        <v>166</v>
      </c>
      <c r="J89" t="s">
        <v>167</v>
      </c>
      <c r="K89" t="s">
        <v>28</v>
      </c>
      <c r="L89" t="s">
        <v>153</v>
      </c>
      <c r="M89" t="s">
        <v>374</v>
      </c>
      <c r="N89" t="s">
        <v>59</v>
      </c>
      <c r="O89">
        <v>7</v>
      </c>
      <c r="P89">
        <v>3345.22</v>
      </c>
      <c r="Q89" s="6">
        <v>0</v>
      </c>
      <c r="R89" s="8">
        <f t="shared" si="4"/>
        <v>0</v>
      </c>
      <c r="S89">
        <v>23416.54</v>
      </c>
      <c r="T89">
        <v>15490.89</v>
      </c>
      <c r="U89">
        <v>7925.65</v>
      </c>
      <c r="V89" t="s">
        <v>32</v>
      </c>
      <c r="W89" t="s">
        <v>33</v>
      </c>
      <c r="X89" t="str">
        <f t="shared" si="7"/>
        <v>INVALID: Ship date before order date</v>
      </c>
      <c r="Y89" t="str">
        <f t="shared" si="5"/>
        <v>Exclude</v>
      </c>
    </row>
    <row r="90" spans="1:25">
      <c r="A90" t="s">
        <v>375</v>
      </c>
      <c r="B90" s="3">
        <v>45375</v>
      </c>
      <c r="C90" s="3">
        <v>45378</v>
      </c>
      <c r="D90" s="6">
        <f t="shared" si="6"/>
        <v>3</v>
      </c>
      <c r="E90" t="s">
        <v>376</v>
      </c>
      <c r="F90" t="s">
        <v>141</v>
      </c>
      <c r="G90" s="5" t="s">
        <v>37</v>
      </c>
      <c r="H90" t="s">
        <v>63</v>
      </c>
      <c r="I90" t="s">
        <v>64</v>
      </c>
      <c r="J90" t="s">
        <v>65</v>
      </c>
      <c r="K90" t="s">
        <v>41</v>
      </c>
      <c r="L90" t="s">
        <v>158</v>
      </c>
      <c r="M90" t="s">
        <v>377</v>
      </c>
      <c r="N90" t="s">
        <v>59</v>
      </c>
      <c r="O90">
        <v>2</v>
      </c>
      <c r="P90">
        <v>3284.75</v>
      </c>
      <c r="Q90" s="6">
        <v>0.05</v>
      </c>
      <c r="R90" s="8">
        <f t="shared" si="4"/>
        <v>0.05</v>
      </c>
      <c r="S90">
        <v>6241.02</v>
      </c>
      <c r="T90">
        <v>5345.88</v>
      </c>
      <c r="U90">
        <v>895.14</v>
      </c>
      <c r="V90" t="s">
        <v>32</v>
      </c>
      <c r="W90" t="s">
        <v>33</v>
      </c>
      <c r="X90" t="str">
        <f t="shared" si="7"/>
        <v/>
      </c>
      <c r="Y90" t="str">
        <f t="shared" si="5"/>
        <v>Exclude</v>
      </c>
    </row>
    <row r="91" spans="1:25">
      <c r="A91" t="s">
        <v>378</v>
      </c>
      <c r="B91" s="3">
        <v>45540</v>
      </c>
      <c r="C91" s="3">
        <v>45421</v>
      </c>
      <c r="D91" s="6">
        <f t="shared" si="6"/>
        <v>-119</v>
      </c>
      <c r="E91" t="s">
        <v>379</v>
      </c>
      <c r="F91" t="s">
        <v>265</v>
      </c>
      <c r="G91" s="5" t="s">
        <v>24</v>
      </c>
      <c r="H91" t="s">
        <v>54</v>
      </c>
      <c r="I91" t="s">
        <v>84</v>
      </c>
      <c r="J91" t="s">
        <v>85</v>
      </c>
      <c r="K91" t="s">
        <v>41</v>
      </c>
      <c r="L91" t="s">
        <v>158</v>
      </c>
      <c r="M91" t="s">
        <v>380</v>
      </c>
      <c r="N91" t="s">
        <v>59</v>
      </c>
      <c r="O91">
        <v>7</v>
      </c>
      <c r="P91">
        <v>3761.09</v>
      </c>
      <c r="Q91" s="6">
        <v>0.2</v>
      </c>
      <c r="R91" s="8">
        <f t="shared" si="4"/>
        <v>0.2</v>
      </c>
      <c r="S91">
        <v>21062.1</v>
      </c>
      <c r="T91">
        <v>12057.13</v>
      </c>
      <c r="U91">
        <v>9004.9699999999993</v>
      </c>
      <c r="V91" t="s">
        <v>111</v>
      </c>
      <c r="W91" t="s">
        <v>68</v>
      </c>
      <c r="X91" t="str">
        <f t="shared" si="7"/>
        <v>INVALID: Ship date before order date; EXCLUDE: Cancelled order</v>
      </c>
      <c r="Y91" t="str">
        <f t="shared" si="5"/>
        <v>Exclude</v>
      </c>
    </row>
    <row r="92" spans="1:25">
      <c r="A92" t="s">
        <v>381</v>
      </c>
      <c r="B92" s="3">
        <v>45893</v>
      </c>
      <c r="C92" s="3">
        <v>45898</v>
      </c>
      <c r="D92" s="6">
        <f t="shared" si="6"/>
        <v>5</v>
      </c>
      <c r="E92" t="s">
        <v>382</v>
      </c>
      <c r="F92" t="s">
        <v>128</v>
      </c>
      <c r="G92" s="5" t="s">
        <v>37</v>
      </c>
      <c r="H92" t="s">
        <v>38</v>
      </c>
      <c r="I92" t="s">
        <v>145</v>
      </c>
      <c r="J92" t="s">
        <v>146</v>
      </c>
      <c r="K92" t="s">
        <v>74</v>
      </c>
      <c r="L92" t="s">
        <v>80</v>
      </c>
      <c r="M92" t="s">
        <v>383</v>
      </c>
      <c r="N92" t="s">
        <v>50</v>
      </c>
      <c r="O92">
        <v>3</v>
      </c>
      <c r="P92">
        <v>3703.96</v>
      </c>
      <c r="Q92" s="6">
        <v>0.15</v>
      </c>
      <c r="R92" s="8">
        <f t="shared" si="4"/>
        <v>0.15</v>
      </c>
      <c r="S92">
        <v>9445.1</v>
      </c>
      <c r="T92">
        <v>5586.28</v>
      </c>
      <c r="U92">
        <v>3858.82</v>
      </c>
      <c r="V92" t="s">
        <v>32</v>
      </c>
      <c r="W92" t="s">
        <v>33</v>
      </c>
      <c r="X92" t="str">
        <f t="shared" si="7"/>
        <v/>
      </c>
      <c r="Y92" t="str">
        <f t="shared" si="5"/>
        <v>Exclude</v>
      </c>
    </row>
    <row r="93" spans="1:25">
      <c r="A93" t="s">
        <v>384</v>
      </c>
      <c r="B93" s="3">
        <v>45718</v>
      </c>
      <c r="C93" s="3">
        <v>45872</v>
      </c>
      <c r="D93" s="6">
        <f t="shared" si="6"/>
        <v>154</v>
      </c>
      <c r="E93" t="s">
        <v>385</v>
      </c>
      <c r="F93" t="s">
        <v>132</v>
      </c>
      <c r="G93" s="5" t="s">
        <v>90</v>
      </c>
      <c r="H93" t="s">
        <v>63</v>
      </c>
      <c r="I93" t="s">
        <v>72</v>
      </c>
      <c r="J93" t="s">
        <v>73</v>
      </c>
      <c r="K93" t="s">
        <v>74</v>
      </c>
      <c r="L93" t="s">
        <v>80</v>
      </c>
      <c r="M93" t="s">
        <v>386</v>
      </c>
      <c r="N93" t="s">
        <v>31</v>
      </c>
      <c r="O93">
        <v>9</v>
      </c>
      <c r="P93">
        <v>269.68</v>
      </c>
      <c r="Q93" s="6">
        <v>0</v>
      </c>
      <c r="R93" s="8">
        <f t="shared" si="4"/>
        <v>0</v>
      </c>
      <c r="S93">
        <v>2427.12</v>
      </c>
      <c r="T93">
        <v>1538.35</v>
      </c>
      <c r="U93">
        <v>804.53</v>
      </c>
      <c r="V93" t="s">
        <v>32</v>
      </c>
      <c r="W93" t="s">
        <v>33</v>
      </c>
      <c r="X93" t="str">
        <f t="shared" si="7"/>
        <v/>
      </c>
      <c r="Y93" t="str">
        <f t="shared" si="5"/>
        <v>Exclude</v>
      </c>
    </row>
    <row r="94" spans="1:25">
      <c r="A94" t="s">
        <v>387</v>
      </c>
      <c r="B94" s="3">
        <v>45680</v>
      </c>
      <c r="C94" s="3">
        <v>45683</v>
      </c>
      <c r="D94" s="6">
        <f t="shared" si="6"/>
        <v>3</v>
      </c>
      <c r="E94" t="s">
        <v>388</v>
      </c>
      <c r="F94" t="s">
        <v>128</v>
      </c>
      <c r="G94" s="5" t="s">
        <v>24</v>
      </c>
      <c r="H94" t="s">
        <v>63</v>
      </c>
      <c r="I94" t="s">
        <v>72</v>
      </c>
      <c r="J94" t="s">
        <v>73</v>
      </c>
      <c r="K94" t="s">
        <v>28</v>
      </c>
      <c r="L94" t="s">
        <v>29</v>
      </c>
      <c r="M94" t="s">
        <v>389</v>
      </c>
      <c r="N94" t="s">
        <v>59</v>
      </c>
      <c r="O94">
        <v>9</v>
      </c>
      <c r="P94">
        <v>4458.26</v>
      </c>
      <c r="Q94" s="6">
        <v>0.1</v>
      </c>
      <c r="R94" s="8">
        <f t="shared" si="4"/>
        <v>0.1</v>
      </c>
      <c r="S94">
        <v>36111.910000000003</v>
      </c>
      <c r="T94">
        <v>29194.5</v>
      </c>
      <c r="U94">
        <v>6917.41</v>
      </c>
      <c r="V94" t="s">
        <v>32</v>
      </c>
      <c r="W94" t="s">
        <v>33</v>
      </c>
      <c r="X94" t="str">
        <f t="shared" si="7"/>
        <v/>
      </c>
      <c r="Y94" t="str">
        <f t="shared" si="5"/>
        <v>Exclude</v>
      </c>
    </row>
    <row r="95" spans="1:25">
      <c r="A95" t="s">
        <v>390</v>
      </c>
      <c r="B95" s="3">
        <v>45474</v>
      </c>
      <c r="C95" s="3">
        <v>45304</v>
      </c>
      <c r="D95" s="6">
        <f t="shared" si="6"/>
        <v>-170</v>
      </c>
      <c r="E95" t="s">
        <v>391</v>
      </c>
      <c r="F95" t="s">
        <v>141</v>
      </c>
      <c r="G95" s="5" t="s">
        <v>90</v>
      </c>
      <c r="H95" t="s">
        <v>25</v>
      </c>
      <c r="I95" t="s">
        <v>136</v>
      </c>
      <c r="J95" t="s">
        <v>137</v>
      </c>
      <c r="K95" t="s">
        <v>28</v>
      </c>
      <c r="L95" t="s">
        <v>153</v>
      </c>
      <c r="M95" t="s">
        <v>392</v>
      </c>
      <c r="N95" t="s">
        <v>59</v>
      </c>
      <c r="O95">
        <v>7</v>
      </c>
      <c r="P95">
        <v>2788.97</v>
      </c>
      <c r="Q95" s="6">
        <v>-0.09</v>
      </c>
      <c r="R95" s="8">
        <f t="shared" si="4"/>
        <v>-0.09</v>
      </c>
      <c r="S95">
        <v>19522.79</v>
      </c>
      <c r="T95">
        <v>12455.78</v>
      </c>
      <c r="U95">
        <v>7067.01</v>
      </c>
      <c r="V95" t="s">
        <v>32</v>
      </c>
      <c r="W95" t="s">
        <v>33</v>
      </c>
      <c r="X95" t="str">
        <f t="shared" si="7"/>
        <v>INVALID: Negative discount; INVALID: Ship date before order date</v>
      </c>
      <c r="Y95" t="str">
        <f t="shared" si="5"/>
        <v>Exclude</v>
      </c>
    </row>
    <row r="96" spans="1:25">
      <c r="A96" t="s">
        <v>393</v>
      </c>
      <c r="B96" s="3">
        <v>45452</v>
      </c>
      <c r="C96" s="3">
        <v>45544</v>
      </c>
      <c r="D96" s="6">
        <f t="shared" si="6"/>
        <v>92</v>
      </c>
      <c r="E96" t="s">
        <v>394</v>
      </c>
      <c r="F96" t="s">
        <v>162</v>
      </c>
      <c r="G96" s="5" t="s">
        <v>24</v>
      </c>
      <c r="H96" t="s">
        <v>25</v>
      </c>
      <c r="I96" t="s">
        <v>237</v>
      </c>
      <c r="J96" t="s">
        <v>238</v>
      </c>
      <c r="K96" t="s">
        <v>74</v>
      </c>
      <c r="L96" t="s">
        <v>171</v>
      </c>
      <c r="M96" t="s">
        <v>395</v>
      </c>
      <c r="N96" t="s">
        <v>31</v>
      </c>
      <c r="O96">
        <v>7</v>
      </c>
      <c r="P96">
        <v>3781.53</v>
      </c>
      <c r="Q96" s="6">
        <v>0</v>
      </c>
      <c r="R96" s="8">
        <f t="shared" si="4"/>
        <v>0</v>
      </c>
      <c r="S96">
        <v>26470.71</v>
      </c>
      <c r="T96">
        <v>21367.599999999999</v>
      </c>
      <c r="U96">
        <v>5103.1099999999997</v>
      </c>
      <c r="V96" t="s">
        <v>111</v>
      </c>
      <c r="W96" t="s">
        <v>68</v>
      </c>
      <c r="X96" t="str">
        <f t="shared" si="7"/>
        <v>EXCLUDE: Cancelled order</v>
      </c>
      <c r="Y96" t="str">
        <f t="shared" si="5"/>
        <v>Exclude</v>
      </c>
    </row>
    <row r="97" spans="1:25">
      <c r="A97" t="s">
        <v>396</v>
      </c>
      <c r="B97" s="3">
        <v>45905</v>
      </c>
      <c r="C97" s="3">
        <v>45939</v>
      </c>
      <c r="D97" s="6">
        <f t="shared" si="6"/>
        <v>34</v>
      </c>
      <c r="E97" t="s">
        <v>397</v>
      </c>
      <c r="F97" t="s">
        <v>132</v>
      </c>
      <c r="G97" s="5" t="s">
        <v>90</v>
      </c>
      <c r="H97" t="s">
        <v>63</v>
      </c>
      <c r="I97" t="s">
        <v>190</v>
      </c>
      <c r="J97" t="s">
        <v>191</v>
      </c>
      <c r="K97" t="s">
        <v>41</v>
      </c>
      <c r="L97" t="s">
        <v>158</v>
      </c>
      <c r="M97" t="s">
        <v>398</v>
      </c>
      <c r="N97" t="s">
        <v>44</v>
      </c>
      <c r="O97">
        <v>6</v>
      </c>
      <c r="P97">
        <v>1754.13</v>
      </c>
      <c r="Q97" s="6">
        <v>0</v>
      </c>
      <c r="R97" s="8">
        <f t="shared" si="4"/>
        <v>0</v>
      </c>
      <c r="S97">
        <v>10524.78</v>
      </c>
      <c r="T97">
        <v>8841.0499999999993</v>
      </c>
      <c r="U97">
        <v>1683.73</v>
      </c>
      <c r="V97" t="s">
        <v>32</v>
      </c>
      <c r="W97" t="s">
        <v>33</v>
      </c>
      <c r="X97" t="str">
        <f t="shared" si="7"/>
        <v/>
      </c>
      <c r="Y97" t="str">
        <f t="shared" si="5"/>
        <v>Exclude</v>
      </c>
    </row>
    <row r="98" spans="1:25">
      <c r="A98" t="s">
        <v>399</v>
      </c>
      <c r="B98" s="3">
        <v>45448</v>
      </c>
      <c r="C98" s="3">
        <v>45450</v>
      </c>
      <c r="D98" s="6">
        <f t="shared" si="6"/>
        <v>2</v>
      </c>
      <c r="E98" t="s">
        <v>400</v>
      </c>
      <c r="F98" t="s">
        <v>118</v>
      </c>
      <c r="G98" s="5" t="s">
        <v>95</v>
      </c>
      <c r="H98" t="s">
        <v>38</v>
      </c>
      <c r="I98" t="s">
        <v>39</v>
      </c>
      <c r="J98" t="s">
        <v>40</v>
      </c>
      <c r="K98" t="s">
        <v>74</v>
      </c>
      <c r="L98" t="s">
        <v>80</v>
      </c>
      <c r="M98" t="s">
        <v>401</v>
      </c>
      <c r="N98" t="s">
        <v>31</v>
      </c>
      <c r="O98">
        <v>2</v>
      </c>
      <c r="P98">
        <v>2259.2399999999998</v>
      </c>
      <c r="Q98" s="6">
        <v>0.15</v>
      </c>
      <c r="R98" s="8">
        <f t="shared" si="4"/>
        <v>0.15</v>
      </c>
      <c r="S98">
        <v>3840.71</v>
      </c>
      <c r="T98">
        <v>2516.29</v>
      </c>
      <c r="U98">
        <v>1324.42</v>
      </c>
      <c r="V98" t="s">
        <v>32</v>
      </c>
      <c r="W98" t="s">
        <v>33</v>
      </c>
      <c r="X98" t="str">
        <f t="shared" si="7"/>
        <v/>
      </c>
      <c r="Y98" t="str">
        <f t="shared" si="5"/>
        <v>Exclude</v>
      </c>
    </row>
    <row r="99" spans="1:25">
      <c r="A99" t="s">
        <v>402</v>
      </c>
      <c r="B99" s="3">
        <v>45877</v>
      </c>
      <c r="C99" s="3">
        <v>45969</v>
      </c>
      <c r="D99" s="6">
        <f t="shared" si="6"/>
        <v>92</v>
      </c>
      <c r="E99" t="s">
        <v>403</v>
      </c>
      <c r="F99" t="s">
        <v>162</v>
      </c>
      <c r="G99" s="5" t="s">
        <v>37</v>
      </c>
      <c r="H99" t="s">
        <v>63</v>
      </c>
      <c r="I99" t="s">
        <v>180</v>
      </c>
      <c r="J99" t="s">
        <v>181</v>
      </c>
      <c r="K99" t="s">
        <v>28</v>
      </c>
      <c r="L99" t="s">
        <v>124</v>
      </c>
      <c r="M99" t="s">
        <v>404</v>
      </c>
      <c r="N99" t="s">
        <v>44</v>
      </c>
      <c r="O99">
        <v>5</v>
      </c>
      <c r="P99">
        <v>3602.36</v>
      </c>
      <c r="Q99" s="6">
        <v>0.2</v>
      </c>
      <c r="R99" s="8">
        <f t="shared" si="4"/>
        <v>0.2</v>
      </c>
      <c r="S99">
        <v>14409.44</v>
      </c>
      <c r="T99">
        <v>8809.9699999999993</v>
      </c>
      <c r="U99">
        <v>5599.47</v>
      </c>
      <c r="V99" t="s">
        <v>111</v>
      </c>
      <c r="W99" t="s">
        <v>103</v>
      </c>
      <c r="X99" t="str">
        <f t="shared" si="7"/>
        <v/>
      </c>
      <c r="Y99" t="str">
        <f t="shared" si="5"/>
        <v>Exclude</v>
      </c>
    </row>
    <row r="100" spans="1:25">
      <c r="A100" t="s">
        <v>405</v>
      </c>
      <c r="B100" s="3">
        <v>45317</v>
      </c>
      <c r="C100" s="3">
        <v>45293</v>
      </c>
      <c r="D100" s="6">
        <f t="shared" si="6"/>
        <v>-24</v>
      </c>
      <c r="E100" t="s">
        <v>406</v>
      </c>
      <c r="F100" t="s">
        <v>141</v>
      </c>
      <c r="G100" s="5" t="s">
        <v>95</v>
      </c>
      <c r="H100" t="s">
        <v>54</v>
      </c>
      <c r="I100" t="s">
        <v>185</v>
      </c>
      <c r="J100" t="s">
        <v>186</v>
      </c>
      <c r="K100" t="s">
        <v>74</v>
      </c>
      <c r="L100" t="s">
        <v>80</v>
      </c>
      <c r="M100" t="s">
        <v>407</v>
      </c>
      <c r="N100" t="s">
        <v>2806</v>
      </c>
      <c r="O100">
        <v>8</v>
      </c>
      <c r="P100">
        <v>2108.9299999999998</v>
      </c>
      <c r="Q100" s="6">
        <v>0.1</v>
      </c>
      <c r="R100" s="8">
        <f t="shared" si="4"/>
        <v>0.1</v>
      </c>
      <c r="S100">
        <v>15184.3</v>
      </c>
      <c r="T100">
        <v>11270.74</v>
      </c>
      <c r="U100">
        <v>3913.56</v>
      </c>
      <c r="V100" t="s">
        <v>32</v>
      </c>
      <c r="W100" t="s">
        <v>33</v>
      </c>
      <c r="X100" t="str">
        <f t="shared" si="7"/>
        <v>INVALID: Ship date before order date</v>
      </c>
      <c r="Y100" t="str">
        <f t="shared" si="5"/>
        <v>Exclude</v>
      </c>
    </row>
    <row r="101" spans="1:25">
      <c r="A101" t="s">
        <v>408</v>
      </c>
      <c r="B101" s="3">
        <v>45668</v>
      </c>
      <c r="C101" s="3">
        <v>45668</v>
      </c>
      <c r="D101" s="6">
        <f t="shared" si="6"/>
        <v>0</v>
      </c>
      <c r="E101" t="s">
        <v>409</v>
      </c>
      <c r="F101" t="s">
        <v>89</v>
      </c>
      <c r="G101" s="5" t="s">
        <v>37</v>
      </c>
      <c r="H101" t="s">
        <v>63</v>
      </c>
      <c r="I101" t="s">
        <v>26</v>
      </c>
      <c r="J101" t="s">
        <v>109</v>
      </c>
      <c r="K101" t="s">
        <v>74</v>
      </c>
      <c r="L101" t="s">
        <v>75</v>
      </c>
      <c r="M101" t="s">
        <v>410</v>
      </c>
      <c r="N101" t="s">
        <v>44</v>
      </c>
      <c r="O101">
        <v>3</v>
      </c>
      <c r="P101">
        <v>2165.29</v>
      </c>
      <c r="Q101" s="6">
        <v>0</v>
      </c>
      <c r="R101" s="8">
        <f t="shared" si="4"/>
        <v>0</v>
      </c>
      <c r="S101">
        <v>6495.87</v>
      </c>
      <c r="T101">
        <v>4700.8900000000003</v>
      </c>
      <c r="U101">
        <v>1794.98</v>
      </c>
      <c r="V101" t="s">
        <v>32</v>
      </c>
      <c r="W101" t="s">
        <v>33</v>
      </c>
      <c r="X101" t="str">
        <f t="shared" si="7"/>
        <v/>
      </c>
      <c r="Y101" t="str">
        <f t="shared" si="5"/>
        <v>Exclude</v>
      </c>
    </row>
    <row r="102" spans="1:25">
      <c r="A102" t="s">
        <v>411</v>
      </c>
      <c r="B102" s="3">
        <v>45912</v>
      </c>
      <c r="C102" s="3">
        <v>45918</v>
      </c>
      <c r="D102" s="6">
        <f t="shared" si="6"/>
        <v>6</v>
      </c>
      <c r="E102" t="s">
        <v>412</v>
      </c>
      <c r="F102" t="s">
        <v>128</v>
      </c>
      <c r="G102" s="5" t="s">
        <v>95</v>
      </c>
      <c r="H102" t="s">
        <v>54</v>
      </c>
      <c r="I102" t="s">
        <v>185</v>
      </c>
      <c r="J102" t="s">
        <v>186</v>
      </c>
      <c r="K102" t="s">
        <v>28</v>
      </c>
      <c r="L102" t="s">
        <v>124</v>
      </c>
      <c r="M102" t="s">
        <v>413</v>
      </c>
      <c r="N102" t="s">
        <v>59</v>
      </c>
      <c r="O102">
        <v>6</v>
      </c>
      <c r="P102">
        <v>1673.8</v>
      </c>
      <c r="Q102" s="6">
        <v>0.05</v>
      </c>
      <c r="R102" s="8">
        <f t="shared" si="4"/>
        <v>0.05</v>
      </c>
      <c r="S102">
        <v>9540.66</v>
      </c>
      <c r="T102">
        <v>5561.49</v>
      </c>
      <c r="U102">
        <v>3979.17</v>
      </c>
      <c r="V102" t="s">
        <v>32</v>
      </c>
      <c r="W102" t="s">
        <v>33</v>
      </c>
      <c r="X102" t="str">
        <f t="shared" si="7"/>
        <v/>
      </c>
      <c r="Y102" t="str">
        <f t="shared" si="5"/>
        <v>Exclude</v>
      </c>
    </row>
    <row r="103" spans="1:25">
      <c r="A103" t="s">
        <v>414</v>
      </c>
      <c r="B103" s="3">
        <v>45465</v>
      </c>
      <c r="C103" s="3">
        <v>45469</v>
      </c>
      <c r="D103" s="6">
        <f t="shared" si="6"/>
        <v>4</v>
      </c>
      <c r="E103" t="s">
        <v>415</v>
      </c>
      <c r="F103" t="s">
        <v>141</v>
      </c>
      <c r="G103" s="5" t="s">
        <v>95</v>
      </c>
      <c r="H103" t="s">
        <v>38</v>
      </c>
      <c r="I103" t="s">
        <v>145</v>
      </c>
      <c r="J103" t="s">
        <v>146</v>
      </c>
      <c r="K103" t="s">
        <v>41</v>
      </c>
      <c r="L103" t="s">
        <v>57</v>
      </c>
      <c r="M103" t="s">
        <v>416</v>
      </c>
      <c r="N103" t="s">
        <v>50</v>
      </c>
      <c r="O103">
        <v>5</v>
      </c>
      <c r="P103">
        <v>4396.5200000000004</v>
      </c>
      <c r="Q103" s="6">
        <v>0.25</v>
      </c>
      <c r="R103" s="8">
        <f t="shared" si="4"/>
        <v>0.25</v>
      </c>
      <c r="S103">
        <v>16486.95</v>
      </c>
      <c r="T103">
        <v>12054.14</v>
      </c>
      <c r="U103">
        <v>4432.8100000000004</v>
      </c>
      <c r="V103" t="s">
        <v>32</v>
      </c>
      <c r="W103" t="s">
        <v>33</v>
      </c>
      <c r="X103" t="str">
        <f t="shared" si="7"/>
        <v/>
      </c>
      <c r="Y103" t="str">
        <f t="shared" si="5"/>
        <v>Exclude</v>
      </c>
    </row>
    <row r="104" spans="1:25">
      <c r="A104" t="s">
        <v>417</v>
      </c>
      <c r="B104" s="3">
        <v>45850</v>
      </c>
      <c r="C104" s="3">
        <v>45854</v>
      </c>
      <c r="D104" s="6">
        <f t="shared" si="6"/>
        <v>4</v>
      </c>
      <c r="E104" t="s">
        <v>418</v>
      </c>
      <c r="F104" t="s">
        <v>71</v>
      </c>
      <c r="G104" s="5" t="s">
        <v>24</v>
      </c>
      <c r="H104" t="s">
        <v>54</v>
      </c>
      <c r="I104" t="s">
        <v>175</v>
      </c>
      <c r="J104" t="s">
        <v>176</v>
      </c>
      <c r="K104" t="s">
        <v>41</v>
      </c>
      <c r="L104" t="s">
        <v>66</v>
      </c>
      <c r="M104" t="s">
        <v>419</v>
      </c>
      <c r="N104" t="s">
        <v>50</v>
      </c>
      <c r="O104">
        <v>4</v>
      </c>
      <c r="P104">
        <v>2865.71</v>
      </c>
      <c r="Q104" s="6">
        <v>0</v>
      </c>
      <c r="R104" s="8">
        <f t="shared" si="4"/>
        <v>0</v>
      </c>
      <c r="S104">
        <v>11462.84</v>
      </c>
      <c r="T104">
        <v>8979.7800000000007</v>
      </c>
      <c r="U104">
        <v>2483.06</v>
      </c>
      <c r="V104" t="s">
        <v>102</v>
      </c>
      <c r="W104" t="s">
        <v>68</v>
      </c>
      <c r="X104" t="str">
        <f t="shared" si="7"/>
        <v>EXCLUDE: Cancelled order; REFUND: Summarize separately</v>
      </c>
      <c r="Y104" t="str">
        <f t="shared" si="5"/>
        <v>Exclude</v>
      </c>
    </row>
    <row r="105" spans="1:25">
      <c r="A105" t="s">
        <v>420</v>
      </c>
      <c r="B105" s="3">
        <v>45693</v>
      </c>
      <c r="C105" s="3">
        <v>45935</v>
      </c>
      <c r="D105" s="6">
        <f t="shared" si="6"/>
        <v>242</v>
      </c>
      <c r="E105" t="s">
        <v>421</v>
      </c>
      <c r="F105" t="s">
        <v>265</v>
      </c>
      <c r="G105" s="5" t="s">
        <v>90</v>
      </c>
      <c r="H105" t="s">
        <v>63</v>
      </c>
      <c r="I105" t="s">
        <v>64</v>
      </c>
      <c r="J105" t="s">
        <v>65</v>
      </c>
      <c r="K105" t="s">
        <v>41</v>
      </c>
      <c r="L105" t="s">
        <v>42</v>
      </c>
      <c r="M105" t="s">
        <v>422</v>
      </c>
      <c r="N105" t="s">
        <v>50</v>
      </c>
      <c r="O105">
        <v>4</v>
      </c>
      <c r="P105">
        <v>2440.34</v>
      </c>
      <c r="Q105" s="6">
        <v>0.2</v>
      </c>
      <c r="R105" s="8">
        <f t="shared" si="4"/>
        <v>0.2</v>
      </c>
      <c r="S105">
        <v>7809.09</v>
      </c>
      <c r="T105">
        <v>6657.75</v>
      </c>
      <c r="U105">
        <v>1151.3399999999999</v>
      </c>
      <c r="V105" t="s">
        <v>32</v>
      </c>
      <c r="W105" t="s">
        <v>33</v>
      </c>
      <c r="X105" t="str">
        <f t="shared" si="7"/>
        <v/>
      </c>
      <c r="Y105" t="str">
        <f t="shared" si="5"/>
        <v>Exclude</v>
      </c>
    </row>
    <row r="106" spans="1:25">
      <c r="A106" t="s">
        <v>423</v>
      </c>
      <c r="B106" s="3">
        <v>45689</v>
      </c>
      <c r="C106" s="3">
        <v>45871</v>
      </c>
      <c r="D106" s="6">
        <f t="shared" si="6"/>
        <v>182</v>
      </c>
      <c r="E106" t="s">
        <v>424</v>
      </c>
      <c r="F106" t="s">
        <v>62</v>
      </c>
      <c r="G106" s="5" t="s">
        <v>24</v>
      </c>
      <c r="H106" t="s">
        <v>54</v>
      </c>
      <c r="I106" t="s">
        <v>175</v>
      </c>
      <c r="J106" t="s">
        <v>176</v>
      </c>
      <c r="K106" t="s">
        <v>28</v>
      </c>
      <c r="L106" t="s">
        <v>91</v>
      </c>
      <c r="M106" t="s">
        <v>425</v>
      </c>
      <c r="N106" t="s">
        <v>44</v>
      </c>
      <c r="O106">
        <v>5</v>
      </c>
      <c r="P106">
        <v>2112.54</v>
      </c>
      <c r="Q106" s="6">
        <v>0.25</v>
      </c>
      <c r="R106" s="8">
        <f t="shared" si="4"/>
        <v>0.25</v>
      </c>
      <c r="S106">
        <v>8260.4599999999991</v>
      </c>
      <c r="T106">
        <v>5619.95</v>
      </c>
      <c r="U106">
        <v>2302.08</v>
      </c>
      <c r="V106" t="s">
        <v>32</v>
      </c>
      <c r="W106" t="s">
        <v>68</v>
      </c>
      <c r="X106" t="str">
        <f t="shared" si="7"/>
        <v>EXCLUDE: Cancelled order</v>
      </c>
      <c r="Y106" t="str">
        <f t="shared" si="5"/>
        <v>Exclude</v>
      </c>
    </row>
    <row r="107" spans="1:25">
      <c r="A107" t="s">
        <v>426</v>
      </c>
      <c r="B107" s="3">
        <v>45467</v>
      </c>
      <c r="C107" s="3">
        <v>45472</v>
      </c>
      <c r="D107" s="6">
        <f t="shared" si="6"/>
        <v>5</v>
      </c>
      <c r="E107" t="s">
        <v>427</v>
      </c>
      <c r="F107" t="s">
        <v>36</v>
      </c>
      <c r="G107" s="5" t="s">
        <v>95</v>
      </c>
      <c r="H107" t="s">
        <v>38</v>
      </c>
      <c r="I107" t="s">
        <v>99</v>
      </c>
      <c r="J107" t="s">
        <v>100</v>
      </c>
      <c r="K107" t="s">
        <v>41</v>
      </c>
      <c r="L107" t="s">
        <v>42</v>
      </c>
      <c r="M107" t="s">
        <v>428</v>
      </c>
      <c r="N107" t="s">
        <v>31</v>
      </c>
      <c r="O107">
        <v>2</v>
      </c>
      <c r="P107">
        <v>685</v>
      </c>
      <c r="Q107" s="6">
        <v>0.1</v>
      </c>
      <c r="R107" s="8">
        <f t="shared" si="4"/>
        <v>0.1</v>
      </c>
      <c r="S107">
        <v>1233</v>
      </c>
      <c r="T107">
        <v>1006.9</v>
      </c>
      <c r="U107">
        <v>226.1</v>
      </c>
      <c r="V107" t="s">
        <v>32</v>
      </c>
      <c r="W107" t="s">
        <v>33</v>
      </c>
      <c r="X107" t="str">
        <f t="shared" si="7"/>
        <v/>
      </c>
      <c r="Y107" t="str">
        <f t="shared" si="5"/>
        <v>Exclude</v>
      </c>
    </row>
    <row r="108" spans="1:25">
      <c r="A108" t="s">
        <v>429</v>
      </c>
      <c r="B108" s="3">
        <v>45342</v>
      </c>
      <c r="C108" s="3">
        <v>45350</v>
      </c>
      <c r="D108" s="6">
        <f t="shared" si="6"/>
        <v>8</v>
      </c>
      <c r="E108" t="s">
        <v>430</v>
      </c>
      <c r="F108" t="s">
        <v>53</v>
      </c>
      <c r="G108" s="5" t="s">
        <v>95</v>
      </c>
      <c r="H108" t="s">
        <v>38</v>
      </c>
      <c r="I108" t="s">
        <v>99</v>
      </c>
      <c r="J108" t="s">
        <v>100</v>
      </c>
      <c r="K108" t="s">
        <v>28</v>
      </c>
      <c r="L108" t="s">
        <v>29</v>
      </c>
      <c r="M108" t="s">
        <v>431</v>
      </c>
      <c r="N108" t="s">
        <v>59</v>
      </c>
      <c r="O108">
        <v>2</v>
      </c>
      <c r="P108">
        <v>4004.04</v>
      </c>
      <c r="Q108" s="6">
        <v>0</v>
      </c>
      <c r="R108" s="8">
        <f t="shared" si="4"/>
        <v>0</v>
      </c>
      <c r="S108">
        <v>7207.27</v>
      </c>
      <c r="T108">
        <v>5709.39</v>
      </c>
      <c r="U108">
        <v>1497.88</v>
      </c>
      <c r="V108" t="s">
        <v>32</v>
      </c>
      <c r="W108" t="s">
        <v>68</v>
      </c>
      <c r="X108" t="str">
        <f t="shared" si="7"/>
        <v>EXCLUDE: Cancelled order</v>
      </c>
      <c r="Y108" t="str">
        <f t="shared" si="5"/>
        <v>Exclude</v>
      </c>
    </row>
    <row r="109" spans="1:25">
      <c r="A109" t="s">
        <v>432</v>
      </c>
      <c r="B109" s="3">
        <v>45594</v>
      </c>
      <c r="C109" s="3">
        <v>45393</v>
      </c>
      <c r="D109" s="6">
        <f t="shared" si="6"/>
        <v>-201</v>
      </c>
      <c r="E109" t="s">
        <v>433</v>
      </c>
      <c r="F109" t="s">
        <v>141</v>
      </c>
      <c r="G109" s="5" t="s">
        <v>95</v>
      </c>
      <c r="H109" t="s">
        <v>38</v>
      </c>
      <c r="I109" t="s">
        <v>99</v>
      </c>
      <c r="J109" t="s">
        <v>100</v>
      </c>
      <c r="K109" t="s">
        <v>41</v>
      </c>
      <c r="L109" t="s">
        <v>57</v>
      </c>
      <c r="M109" t="s">
        <v>434</v>
      </c>
      <c r="N109" t="s">
        <v>50</v>
      </c>
      <c r="O109">
        <v>3</v>
      </c>
      <c r="P109">
        <v>4302.8900000000003</v>
      </c>
      <c r="Q109" s="6">
        <v>0.05</v>
      </c>
      <c r="R109" s="8">
        <f t="shared" si="4"/>
        <v>0.05</v>
      </c>
      <c r="S109">
        <v>12263.24</v>
      </c>
      <c r="T109">
        <v>8925.57</v>
      </c>
      <c r="U109">
        <v>3337.67</v>
      </c>
      <c r="V109" t="s">
        <v>32</v>
      </c>
      <c r="W109" t="s">
        <v>33</v>
      </c>
      <c r="X109" t="str">
        <f t="shared" si="7"/>
        <v>INVALID: Ship date before order date</v>
      </c>
      <c r="Y109" t="str">
        <f t="shared" si="5"/>
        <v>Exclude</v>
      </c>
    </row>
    <row r="110" spans="1:25">
      <c r="A110" t="s">
        <v>435</v>
      </c>
      <c r="B110" s="3">
        <v>45519</v>
      </c>
      <c r="C110" s="3">
        <v>45527</v>
      </c>
      <c r="D110" s="6">
        <f t="shared" si="6"/>
        <v>8</v>
      </c>
      <c r="E110" t="s">
        <v>436</v>
      </c>
      <c r="F110" t="s">
        <v>89</v>
      </c>
      <c r="G110" s="5" t="s">
        <v>37</v>
      </c>
      <c r="H110" t="s">
        <v>38</v>
      </c>
      <c r="I110" t="s">
        <v>39</v>
      </c>
      <c r="J110" t="s">
        <v>40</v>
      </c>
      <c r="K110" t="s">
        <v>41</v>
      </c>
      <c r="L110" t="s">
        <v>158</v>
      </c>
      <c r="M110" t="s">
        <v>437</v>
      </c>
      <c r="N110" t="s">
        <v>44</v>
      </c>
      <c r="O110">
        <v>2</v>
      </c>
      <c r="P110">
        <v>537.54</v>
      </c>
      <c r="Q110" s="6">
        <v>0.25</v>
      </c>
      <c r="R110" s="8">
        <f t="shared" si="4"/>
        <v>0.25</v>
      </c>
      <c r="S110">
        <v>806.31</v>
      </c>
      <c r="T110">
        <v>498.5</v>
      </c>
      <c r="U110">
        <v>307.81</v>
      </c>
      <c r="V110" t="s">
        <v>32</v>
      </c>
      <c r="W110" t="s">
        <v>33</v>
      </c>
      <c r="X110" t="str">
        <f t="shared" si="7"/>
        <v/>
      </c>
      <c r="Y110" t="str">
        <f t="shared" si="5"/>
        <v>Exclude</v>
      </c>
    </row>
    <row r="111" spans="1:25">
      <c r="A111" t="s">
        <v>438</v>
      </c>
      <c r="B111" s="3">
        <v>45892</v>
      </c>
      <c r="C111" s="3">
        <v>45896</v>
      </c>
      <c r="D111" s="6">
        <f t="shared" si="6"/>
        <v>4</v>
      </c>
      <c r="E111" t="s">
        <v>439</v>
      </c>
      <c r="F111" t="s">
        <v>132</v>
      </c>
      <c r="G111" s="5" t="s">
        <v>24</v>
      </c>
      <c r="H111" t="s">
        <v>25</v>
      </c>
      <c r="I111" t="s">
        <v>351</v>
      </c>
      <c r="J111" t="s">
        <v>352</v>
      </c>
      <c r="K111" t="s">
        <v>28</v>
      </c>
      <c r="L111" t="s">
        <v>153</v>
      </c>
      <c r="M111" t="s">
        <v>440</v>
      </c>
      <c r="N111" t="s">
        <v>31</v>
      </c>
      <c r="O111">
        <v>1</v>
      </c>
      <c r="P111">
        <v>2788.62</v>
      </c>
      <c r="Q111" s="6">
        <v>0.25</v>
      </c>
      <c r="R111" s="8">
        <f t="shared" si="4"/>
        <v>0.25</v>
      </c>
      <c r="S111">
        <v>2091.4699999999998</v>
      </c>
      <c r="T111">
        <v>1317.22</v>
      </c>
      <c r="U111">
        <v>774.25</v>
      </c>
      <c r="V111" t="s">
        <v>32</v>
      </c>
      <c r="W111" t="s">
        <v>33</v>
      </c>
      <c r="X111" t="str">
        <f t="shared" si="7"/>
        <v/>
      </c>
      <c r="Y111" t="str">
        <f t="shared" si="5"/>
        <v>Exclude</v>
      </c>
    </row>
    <row r="112" spans="1:25">
      <c r="A112" t="s">
        <v>441</v>
      </c>
      <c r="B112" s="3">
        <v>45583</v>
      </c>
      <c r="C112" s="3">
        <v>45589</v>
      </c>
      <c r="D112" s="6">
        <f t="shared" si="6"/>
        <v>6</v>
      </c>
      <c r="E112" t="s">
        <v>442</v>
      </c>
      <c r="F112" t="s">
        <v>71</v>
      </c>
      <c r="G112" s="5" t="s">
        <v>90</v>
      </c>
      <c r="H112" t="s">
        <v>54</v>
      </c>
      <c r="I112" t="s">
        <v>185</v>
      </c>
      <c r="J112" t="s">
        <v>186</v>
      </c>
      <c r="K112" t="s">
        <v>28</v>
      </c>
      <c r="L112" t="s">
        <v>91</v>
      </c>
      <c r="M112" t="s">
        <v>443</v>
      </c>
      <c r="N112" t="s">
        <v>50</v>
      </c>
      <c r="O112">
        <v>2</v>
      </c>
      <c r="P112">
        <v>2250.4699999999998</v>
      </c>
      <c r="Q112" s="6">
        <v>0</v>
      </c>
      <c r="R112" s="8">
        <f t="shared" si="4"/>
        <v>0</v>
      </c>
      <c r="S112">
        <v>4500.9399999999996</v>
      </c>
      <c r="T112">
        <v>2607.73</v>
      </c>
      <c r="U112">
        <v>1893.21</v>
      </c>
      <c r="V112" t="s">
        <v>102</v>
      </c>
      <c r="W112" t="s">
        <v>68</v>
      </c>
      <c r="X112" t="str">
        <f t="shared" si="7"/>
        <v>EXCLUDE: Cancelled order; REFUND: Summarize separately</v>
      </c>
      <c r="Y112" t="str">
        <f t="shared" si="5"/>
        <v>Exclude</v>
      </c>
    </row>
    <row r="113" spans="1:25">
      <c r="A113" t="s">
        <v>444</v>
      </c>
      <c r="B113" s="3">
        <v>45835</v>
      </c>
      <c r="C113" s="3">
        <v>45838</v>
      </c>
      <c r="D113" s="6">
        <f t="shared" si="6"/>
        <v>3</v>
      </c>
      <c r="E113" t="s">
        <v>445</v>
      </c>
      <c r="F113" t="s">
        <v>79</v>
      </c>
      <c r="G113" s="5" t="s">
        <v>90</v>
      </c>
      <c r="H113" t="s">
        <v>38</v>
      </c>
      <c r="I113" t="s">
        <v>145</v>
      </c>
      <c r="J113" t="s">
        <v>146</v>
      </c>
      <c r="K113" t="s">
        <v>74</v>
      </c>
      <c r="L113" t="s">
        <v>75</v>
      </c>
      <c r="M113" t="s">
        <v>446</v>
      </c>
      <c r="N113" t="s">
        <v>50</v>
      </c>
      <c r="O113">
        <v>1</v>
      </c>
      <c r="P113">
        <v>1708.44</v>
      </c>
      <c r="Q113" s="6">
        <v>0.05</v>
      </c>
      <c r="R113" s="8">
        <f t="shared" si="4"/>
        <v>0.05</v>
      </c>
      <c r="S113">
        <v>1623.02</v>
      </c>
      <c r="T113">
        <v>1077.46</v>
      </c>
      <c r="U113">
        <v>545.55999999999995</v>
      </c>
      <c r="V113" t="s">
        <v>111</v>
      </c>
      <c r="W113" t="s">
        <v>68</v>
      </c>
      <c r="X113" t="str">
        <f t="shared" si="7"/>
        <v>EXCLUDE: Cancelled order</v>
      </c>
      <c r="Y113" t="str">
        <f t="shared" si="5"/>
        <v>Exclude</v>
      </c>
    </row>
    <row r="114" spans="1:25">
      <c r="A114" t="s">
        <v>447</v>
      </c>
      <c r="B114" s="3">
        <v>45301</v>
      </c>
      <c r="C114" s="3">
        <v>45305</v>
      </c>
      <c r="D114" s="6">
        <f t="shared" si="6"/>
        <v>4</v>
      </c>
      <c r="E114" t="s">
        <v>448</v>
      </c>
      <c r="F114" t="s">
        <v>132</v>
      </c>
      <c r="G114" s="5" t="s">
        <v>24</v>
      </c>
      <c r="H114" t="s">
        <v>2806</v>
      </c>
      <c r="I114" t="s">
        <v>180</v>
      </c>
      <c r="J114" t="s">
        <v>181</v>
      </c>
      <c r="K114" t="s">
        <v>74</v>
      </c>
      <c r="L114" t="s">
        <v>75</v>
      </c>
      <c r="M114" t="s">
        <v>449</v>
      </c>
      <c r="N114" t="s">
        <v>59</v>
      </c>
      <c r="O114">
        <v>3</v>
      </c>
      <c r="P114">
        <v>3829.48</v>
      </c>
      <c r="Q114" s="6">
        <v>0.05</v>
      </c>
      <c r="R114" s="8">
        <f t="shared" si="4"/>
        <v>0.05</v>
      </c>
      <c r="S114">
        <v>10914.02</v>
      </c>
      <c r="T114">
        <v>6548.74</v>
      </c>
      <c r="U114">
        <v>4365.28</v>
      </c>
      <c r="V114" t="s">
        <v>32</v>
      </c>
      <c r="W114" t="s">
        <v>33</v>
      </c>
      <c r="X114" t="str">
        <f t="shared" si="7"/>
        <v/>
      </c>
      <c r="Y114" t="str">
        <f t="shared" si="5"/>
        <v>Exclude</v>
      </c>
    </row>
    <row r="115" spans="1:25">
      <c r="A115" t="s">
        <v>450</v>
      </c>
      <c r="B115" s="3">
        <v>45334</v>
      </c>
      <c r="C115" s="3">
        <v>45334</v>
      </c>
      <c r="D115" s="6">
        <f t="shared" si="6"/>
        <v>0</v>
      </c>
      <c r="E115" t="s">
        <v>361</v>
      </c>
      <c r="F115" t="s">
        <v>47</v>
      </c>
      <c r="G115" s="5" t="s">
        <v>95</v>
      </c>
      <c r="H115" t="s">
        <v>54</v>
      </c>
      <c r="I115" t="s">
        <v>248</v>
      </c>
      <c r="J115" t="s">
        <v>249</v>
      </c>
      <c r="K115" t="s">
        <v>41</v>
      </c>
      <c r="L115" t="s">
        <v>42</v>
      </c>
      <c r="M115" t="s">
        <v>451</v>
      </c>
      <c r="N115" t="s">
        <v>59</v>
      </c>
      <c r="O115">
        <v>3</v>
      </c>
      <c r="P115">
        <v>1089.1500000000001</v>
      </c>
      <c r="Q115" s="6">
        <v>0.25</v>
      </c>
      <c r="R115" s="8">
        <f t="shared" si="4"/>
        <v>0.25</v>
      </c>
      <c r="S115">
        <v>2450.59</v>
      </c>
      <c r="T115">
        <v>1639.89</v>
      </c>
      <c r="U115">
        <v>810.7</v>
      </c>
      <c r="V115" t="s">
        <v>32</v>
      </c>
      <c r="W115" t="s">
        <v>33</v>
      </c>
      <c r="X115" t="str">
        <f t="shared" si="7"/>
        <v/>
      </c>
      <c r="Y115" t="str">
        <f t="shared" si="5"/>
        <v>Exclude</v>
      </c>
    </row>
    <row r="116" spans="1:25">
      <c r="A116" t="s">
        <v>452</v>
      </c>
      <c r="B116" s="3">
        <v>45560</v>
      </c>
      <c r="C116" s="3">
        <v>45565</v>
      </c>
      <c r="D116" s="6">
        <f t="shared" si="6"/>
        <v>5</v>
      </c>
      <c r="E116" t="s">
        <v>453</v>
      </c>
      <c r="F116" t="s">
        <v>79</v>
      </c>
      <c r="G116" s="5" t="s">
        <v>37</v>
      </c>
      <c r="H116" t="s">
        <v>25</v>
      </c>
      <c r="I116" t="s">
        <v>26</v>
      </c>
      <c r="J116" t="s">
        <v>27</v>
      </c>
      <c r="K116" t="s">
        <v>74</v>
      </c>
      <c r="L116" t="s">
        <v>75</v>
      </c>
      <c r="M116" t="s">
        <v>454</v>
      </c>
      <c r="N116" t="s">
        <v>31</v>
      </c>
      <c r="O116">
        <v>1</v>
      </c>
      <c r="P116">
        <v>4388.3999999999996</v>
      </c>
      <c r="Q116" s="6">
        <v>0.1</v>
      </c>
      <c r="R116" s="8">
        <f t="shared" si="4"/>
        <v>0.1</v>
      </c>
      <c r="S116">
        <v>3949.56</v>
      </c>
      <c r="T116">
        <v>3186.73</v>
      </c>
      <c r="U116">
        <v>762.83</v>
      </c>
      <c r="V116" t="s">
        <v>111</v>
      </c>
      <c r="W116" t="s">
        <v>68</v>
      </c>
      <c r="X116" t="str">
        <f t="shared" si="7"/>
        <v>EXCLUDE: Cancelled order</v>
      </c>
      <c r="Y116" t="str">
        <f t="shared" si="5"/>
        <v>Exclude</v>
      </c>
    </row>
    <row r="117" spans="1:25">
      <c r="A117" t="s">
        <v>455</v>
      </c>
      <c r="B117" s="3">
        <v>45653</v>
      </c>
      <c r="C117" s="3">
        <v>45658</v>
      </c>
      <c r="D117" s="6">
        <f t="shared" si="6"/>
        <v>5</v>
      </c>
      <c r="E117" t="s">
        <v>456</v>
      </c>
      <c r="F117" t="s">
        <v>265</v>
      </c>
      <c r="G117" s="5" t="s">
        <v>90</v>
      </c>
      <c r="H117" t="s">
        <v>54</v>
      </c>
      <c r="I117" t="s">
        <v>248</v>
      </c>
      <c r="J117" t="s">
        <v>249</v>
      </c>
      <c r="K117" t="s">
        <v>28</v>
      </c>
      <c r="L117" t="s">
        <v>153</v>
      </c>
      <c r="M117" t="s">
        <v>457</v>
      </c>
      <c r="N117" t="s">
        <v>44</v>
      </c>
      <c r="O117">
        <v>2</v>
      </c>
      <c r="P117">
        <v>446.34</v>
      </c>
      <c r="Q117" s="6">
        <v>0.15</v>
      </c>
      <c r="R117" s="8">
        <f t="shared" si="4"/>
        <v>0.15</v>
      </c>
      <c r="S117">
        <v>758.78</v>
      </c>
      <c r="T117">
        <v>490.74</v>
      </c>
      <c r="U117">
        <v>268.04000000000002</v>
      </c>
      <c r="V117" t="s">
        <v>32</v>
      </c>
      <c r="W117" t="s">
        <v>68</v>
      </c>
      <c r="X117" t="str">
        <f t="shared" si="7"/>
        <v>EXCLUDE: Cancelled order</v>
      </c>
      <c r="Y117" t="str">
        <f t="shared" si="5"/>
        <v>Exclude</v>
      </c>
    </row>
    <row r="118" spans="1:25">
      <c r="A118" t="s">
        <v>458</v>
      </c>
      <c r="B118" s="3">
        <v>45703</v>
      </c>
      <c r="C118" s="3">
        <v>45707</v>
      </c>
      <c r="D118" s="6">
        <f t="shared" si="6"/>
        <v>4</v>
      </c>
      <c r="E118" t="s">
        <v>459</v>
      </c>
      <c r="F118" t="s">
        <v>62</v>
      </c>
      <c r="G118" s="5" t="s">
        <v>37</v>
      </c>
      <c r="H118" t="s">
        <v>2806</v>
      </c>
      <c r="I118" t="s">
        <v>72</v>
      </c>
      <c r="J118" t="s">
        <v>73</v>
      </c>
      <c r="K118" t="s">
        <v>28</v>
      </c>
      <c r="L118" t="s">
        <v>153</v>
      </c>
      <c r="M118" t="s">
        <v>460</v>
      </c>
      <c r="N118" t="s">
        <v>50</v>
      </c>
      <c r="O118">
        <v>9</v>
      </c>
      <c r="P118">
        <v>531.99</v>
      </c>
      <c r="Q118" s="6">
        <v>0.25</v>
      </c>
      <c r="R118" s="8">
        <f t="shared" si="4"/>
        <v>0.25</v>
      </c>
      <c r="S118">
        <v>3590.93</v>
      </c>
      <c r="T118">
        <v>3061.39</v>
      </c>
      <c r="U118">
        <v>529.54</v>
      </c>
      <c r="V118" t="s">
        <v>155</v>
      </c>
      <c r="W118" t="s">
        <v>68</v>
      </c>
      <c r="X118" t="str">
        <f t="shared" si="7"/>
        <v>EXCLUDE: Cancelled order; EXCLUDE: Failed payment</v>
      </c>
      <c r="Y118" t="str">
        <f t="shared" si="5"/>
        <v>Exclude</v>
      </c>
    </row>
    <row r="119" spans="1:25">
      <c r="A119" t="s">
        <v>461</v>
      </c>
      <c r="B119" s="3">
        <v>45337</v>
      </c>
      <c r="C119" s="3">
        <v>45339</v>
      </c>
      <c r="D119" s="6">
        <f t="shared" si="6"/>
        <v>2</v>
      </c>
      <c r="E119" t="s">
        <v>462</v>
      </c>
      <c r="F119" t="s">
        <v>36</v>
      </c>
      <c r="G119" s="5" t="s">
        <v>95</v>
      </c>
      <c r="H119" t="s">
        <v>54</v>
      </c>
      <c r="I119" t="s">
        <v>248</v>
      </c>
      <c r="J119" t="s">
        <v>249</v>
      </c>
      <c r="K119" t="s">
        <v>74</v>
      </c>
      <c r="L119" t="s">
        <v>275</v>
      </c>
      <c r="M119" t="s">
        <v>463</v>
      </c>
      <c r="N119" t="s">
        <v>59</v>
      </c>
      <c r="O119">
        <v>9</v>
      </c>
      <c r="P119">
        <v>3324.55</v>
      </c>
      <c r="Q119" s="6" t="s">
        <v>464</v>
      </c>
      <c r="R119" s="8" t="str">
        <f t="shared" si="4"/>
        <v>70%</v>
      </c>
      <c r="S119">
        <v>25432.81</v>
      </c>
      <c r="T119">
        <v>20370.16</v>
      </c>
      <c r="U119">
        <v>5062.6499999999996</v>
      </c>
      <c r="V119" t="s">
        <v>32</v>
      </c>
      <c r="W119" t="s">
        <v>33</v>
      </c>
      <c r="X119" t="str">
        <f t="shared" si="7"/>
        <v>INVALID: Discount above range</v>
      </c>
      <c r="Y119" t="str">
        <f t="shared" si="5"/>
        <v>Exclude</v>
      </c>
    </row>
    <row r="120" spans="1:25">
      <c r="A120" t="s">
        <v>465</v>
      </c>
      <c r="B120" s="3">
        <v>45571</v>
      </c>
      <c r="C120" s="3">
        <v>45461</v>
      </c>
      <c r="D120" s="6">
        <f t="shared" si="6"/>
        <v>-110</v>
      </c>
      <c r="E120" t="s">
        <v>466</v>
      </c>
      <c r="F120" t="s">
        <v>71</v>
      </c>
      <c r="G120" s="5" t="s">
        <v>95</v>
      </c>
      <c r="H120" t="s">
        <v>54</v>
      </c>
      <c r="I120" t="s">
        <v>84</v>
      </c>
      <c r="J120" t="s">
        <v>85</v>
      </c>
      <c r="K120" t="s">
        <v>74</v>
      </c>
      <c r="L120" t="s">
        <v>80</v>
      </c>
      <c r="M120" t="s">
        <v>467</v>
      </c>
      <c r="N120" t="s">
        <v>44</v>
      </c>
      <c r="O120">
        <v>5</v>
      </c>
      <c r="P120">
        <v>1580.27</v>
      </c>
      <c r="Q120" s="6">
        <v>0.2</v>
      </c>
      <c r="R120" s="8">
        <f t="shared" si="4"/>
        <v>0.2</v>
      </c>
      <c r="S120">
        <v>6321.08</v>
      </c>
      <c r="T120">
        <v>4407.22</v>
      </c>
      <c r="U120">
        <v>1913.86</v>
      </c>
      <c r="V120" t="s">
        <v>32</v>
      </c>
      <c r="W120" t="s">
        <v>33</v>
      </c>
      <c r="X120" t="str">
        <f t="shared" si="7"/>
        <v>INVALID: Ship date before order date</v>
      </c>
      <c r="Y120" t="str">
        <f t="shared" si="5"/>
        <v>Exclude</v>
      </c>
    </row>
    <row r="121" spans="1:25">
      <c r="A121" t="s">
        <v>468</v>
      </c>
      <c r="B121" s="3">
        <v>45455</v>
      </c>
      <c r="C121" s="3">
        <v>45462</v>
      </c>
      <c r="D121" s="6">
        <f t="shared" si="6"/>
        <v>7</v>
      </c>
      <c r="E121" t="s">
        <v>469</v>
      </c>
      <c r="F121" t="s">
        <v>89</v>
      </c>
      <c r="G121" s="5" t="s">
        <v>37</v>
      </c>
      <c r="H121" t="s">
        <v>54</v>
      </c>
      <c r="I121" t="s">
        <v>185</v>
      </c>
      <c r="J121" t="s">
        <v>186</v>
      </c>
      <c r="K121" t="s">
        <v>41</v>
      </c>
      <c r="L121" t="s">
        <v>66</v>
      </c>
      <c r="M121" t="s">
        <v>470</v>
      </c>
      <c r="N121" t="s">
        <v>59</v>
      </c>
      <c r="O121">
        <v>8</v>
      </c>
      <c r="P121">
        <v>314.05</v>
      </c>
      <c r="Q121" s="6">
        <v>0.25</v>
      </c>
      <c r="R121" s="8">
        <f t="shared" si="4"/>
        <v>0.25</v>
      </c>
      <c r="S121">
        <v>1884.3</v>
      </c>
      <c r="T121">
        <v>1517.69</v>
      </c>
      <c r="U121">
        <v>366.61</v>
      </c>
      <c r="V121" t="s">
        <v>102</v>
      </c>
      <c r="W121" t="s">
        <v>103</v>
      </c>
      <c r="X121" t="str">
        <f t="shared" si="7"/>
        <v>REFUND: Summarize separately</v>
      </c>
      <c r="Y121" t="str">
        <f t="shared" si="5"/>
        <v>Exclude</v>
      </c>
    </row>
    <row r="122" spans="1:25">
      <c r="A122" t="s">
        <v>471</v>
      </c>
      <c r="B122" s="3">
        <v>45514</v>
      </c>
      <c r="C122" s="3">
        <v>45522</v>
      </c>
      <c r="D122" s="6">
        <f t="shared" si="6"/>
        <v>8</v>
      </c>
      <c r="E122" t="s">
        <v>472</v>
      </c>
      <c r="F122" t="s">
        <v>132</v>
      </c>
      <c r="G122" s="5" t="s">
        <v>37</v>
      </c>
      <c r="H122" t="s">
        <v>38</v>
      </c>
      <c r="I122" t="s">
        <v>145</v>
      </c>
      <c r="J122" t="s">
        <v>146</v>
      </c>
      <c r="K122" t="s">
        <v>74</v>
      </c>
      <c r="L122" t="s">
        <v>171</v>
      </c>
      <c r="M122" t="s">
        <v>473</v>
      </c>
      <c r="N122" t="s">
        <v>59</v>
      </c>
      <c r="O122">
        <v>1</v>
      </c>
      <c r="P122">
        <v>1823.67</v>
      </c>
      <c r="Q122" s="6">
        <v>0.2</v>
      </c>
      <c r="R122" s="8">
        <f t="shared" si="4"/>
        <v>0.2</v>
      </c>
      <c r="S122">
        <v>1458.94</v>
      </c>
      <c r="T122">
        <v>893.2</v>
      </c>
      <c r="U122">
        <v>565.74</v>
      </c>
      <c r="V122" t="s">
        <v>32</v>
      </c>
      <c r="W122" t="s">
        <v>103</v>
      </c>
      <c r="X122" t="str">
        <f t="shared" si="7"/>
        <v/>
      </c>
      <c r="Y122" t="str">
        <f t="shared" si="5"/>
        <v>Exclude</v>
      </c>
    </row>
    <row r="123" spans="1:25">
      <c r="A123" t="s">
        <v>474</v>
      </c>
      <c r="B123" s="3">
        <v>45891</v>
      </c>
      <c r="C123" s="3">
        <v>45895</v>
      </c>
      <c r="D123" s="6">
        <f t="shared" si="6"/>
        <v>4</v>
      </c>
      <c r="E123" t="s">
        <v>475</v>
      </c>
      <c r="F123" t="s">
        <v>265</v>
      </c>
      <c r="G123" s="5" t="s">
        <v>37</v>
      </c>
      <c r="H123" t="s">
        <v>54</v>
      </c>
      <c r="I123" t="s">
        <v>84</v>
      </c>
      <c r="J123" t="s">
        <v>85</v>
      </c>
      <c r="K123" t="s">
        <v>74</v>
      </c>
      <c r="L123" t="s">
        <v>275</v>
      </c>
      <c r="M123" t="s">
        <v>476</v>
      </c>
      <c r="N123" t="s">
        <v>31</v>
      </c>
      <c r="O123">
        <v>5</v>
      </c>
      <c r="P123">
        <v>3482.92</v>
      </c>
      <c r="Q123" s="6">
        <v>0</v>
      </c>
      <c r="R123" s="8">
        <f t="shared" si="4"/>
        <v>0</v>
      </c>
      <c r="S123">
        <v>17414.599999999999</v>
      </c>
      <c r="T123">
        <v>11760.91</v>
      </c>
      <c r="U123">
        <v>5653.69</v>
      </c>
      <c r="V123" t="s">
        <v>102</v>
      </c>
      <c r="W123" t="s">
        <v>68</v>
      </c>
      <c r="X123" t="str">
        <f t="shared" si="7"/>
        <v>EXCLUDE: Cancelled order; REFUND: Summarize separately</v>
      </c>
      <c r="Y123" t="str">
        <f t="shared" si="5"/>
        <v>Exclude</v>
      </c>
    </row>
    <row r="124" spans="1:25">
      <c r="A124" t="s">
        <v>477</v>
      </c>
      <c r="B124" s="3">
        <v>45626</v>
      </c>
      <c r="C124" s="3">
        <v>45630</v>
      </c>
      <c r="D124" s="6">
        <f t="shared" si="6"/>
        <v>4</v>
      </c>
      <c r="E124" t="s">
        <v>478</v>
      </c>
      <c r="F124" t="s">
        <v>62</v>
      </c>
      <c r="G124" s="5" t="s">
        <v>37</v>
      </c>
      <c r="H124" t="s">
        <v>38</v>
      </c>
      <c r="I124" t="s">
        <v>166</v>
      </c>
      <c r="J124" t="s">
        <v>167</v>
      </c>
      <c r="K124" t="s">
        <v>41</v>
      </c>
      <c r="L124" t="s">
        <v>66</v>
      </c>
      <c r="M124" t="s">
        <v>479</v>
      </c>
      <c r="N124" t="s">
        <v>31</v>
      </c>
      <c r="O124">
        <v>3</v>
      </c>
      <c r="P124">
        <v>170.35</v>
      </c>
      <c r="Q124" s="6">
        <v>0</v>
      </c>
      <c r="R124" s="8">
        <f t="shared" si="4"/>
        <v>0</v>
      </c>
      <c r="S124">
        <v>511.05</v>
      </c>
      <c r="T124">
        <v>367.18</v>
      </c>
      <c r="U124">
        <v>143.87</v>
      </c>
      <c r="V124" t="s">
        <v>32</v>
      </c>
      <c r="W124" t="s">
        <v>33</v>
      </c>
      <c r="X124" t="str">
        <f t="shared" si="7"/>
        <v/>
      </c>
      <c r="Y124" t="str">
        <f t="shared" si="5"/>
        <v>Exclude</v>
      </c>
    </row>
    <row r="125" spans="1:25">
      <c r="A125" t="s">
        <v>480</v>
      </c>
      <c r="B125" s="3">
        <v>45436</v>
      </c>
      <c r="C125" s="3">
        <v>45437</v>
      </c>
      <c r="D125" s="6">
        <f t="shared" si="6"/>
        <v>1</v>
      </c>
      <c r="E125" t="s">
        <v>481</v>
      </c>
      <c r="F125" t="s">
        <v>132</v>
      </c>
      <c r="G125" s="5" t="s">
        <v>37</v>
      </c>
      <c r="H125" t="s">
        <v>25</v>
      </c>
      <c r="I125" t="s">
        <v>122</v>
      </c>
      <c r="J125" t="s">
        <v>123</v>
      </c>
      <c r="K125" t="s">
        <v>74</v>
      </c>
      <c r="L125" t="s">
        <v>80</v>
      </c>
      <c r="M125" t="s">
        <v>482</v>
      </c>
      <c r="N125" t="s">
        <v>44</v>
      </c>
      <c r="O125">
        <v>1</v>
      </c>
      <c r="P125">
        <v>634.13</v>
      </c>
      <c r="Q125" s="6">
        <v>0</v>
      </c>
      <c r="R125" s="8">
        <f t="shared" si="4"/>
        <v>0</v>
      </c>
      <c r="S125">
        <v>634.13</v>
      </c>
      <c r="T125">
        <v>453.35</v>
      </c>
      <c r="U125">
        <v>180.78</v>
      </c>
      <c r="V125" t="s">
        <v>102</v>
      </c>
      <c r="W125" t="s">
        <v>68</v>
      </c>
      <c r="X125" t="str">
        <f t="shared" si="7"/>
        <v>EXCLUDE: Cancelled order; REFUND: Summarize separately</v>
      </c>
      <c r="Y125" t="str">
        <f t="shared" si="5"/>
        <v>Exclude</v>
      </c>
    </row>
    <row r="126" spans="1:25">
      <c r="A126" t="s">
        <v>483</v>
      </c>
      <c r="B126" s="3">
        <v>45494</v>
      </c>
      <c r="C126" s="3">
        <v>45497</v>
      </c>
      <c r="D126" s="6">
        <f t="shared" si="6"/>
        <v>3</v>
      </c>
      <c r="E126" t="s">
        <v>484</v>
      </c>
      <c r="F126" t="s">
        <v>47</v>
      </c>
      <c r="G126" s="5" t="s">
        <v>90</v>
      </c>
      <c r="H126" t="s">
        <v>54</v>
      </c>
      <c r="I126" t="s">
        <v>175</v>
      </c>
      <c r="J126" t="s">
        <v>176</v>
      </c>
      <c r="K126" t="s">
        <v>74</v>
      </c>
      <c r="L126" t="s">
        <v>80</v>
      </c>
      <c r="M126" t="s">
        <v>485</v>
      </c>
      <c r="N126" t="s">
        <v>59</v>
      </c>
      <c r="O126">
        <v>9</v>
      </c>
      <c r="P126">
        <v>465.06</v>
      </c>
      <c r="Q126" s="6">
        <v>-0.15</v>
      </c>
      <c r="R126" s="8">
        <f t="shared" si="4"/>
        <v>-0.15</v>
      </c>
      <c r="S126">
        <v>4185.54</v>
      </c>
      <c r="T126">
        <v>3443.74</v>
      </c>
      <c r="U126">
        <v>741.8</v>
      </c>
      <c r="V126" t="s">
        <v>32</v>
      </c>
      <c r="W126" t="s">
        <v>33</v>
      </c>
      <c r="X126" t="str">
        <f t="shared" si="7"/>
        <v>INVALID: Negative discount</v>
      </c>
      <c r="Y126" t="str">
        <f t="shared" si="5"/>
        <v>Exclude</v>
      </c>
    </row>
    <row r="127" spans="1:25">
      <c r="A127" t="s">
        <v>486</v>
      </c>
      <c r="B127" s="3">
        <v>45855</v>
      </c>
      <c r="C127" s="3">
        <v>45856</v>
      </c>
      <c r="D127" s="6">
        <f t="shared" si="6"/>
        <v>1</v>
      </c>
      <c r="E127" t="s">
        <v>487</v>
      </c>
      <c r="F127" t="s">
        <v>79</v>
      </c>
      <c r="G127" s="5" t="s">
        <v>37</v>
      </c>
      <c r="H127" t="s">
        <v>63</v>
      </c>
      <c r="I127" t="s">
        <v>26</v>
      </c>
      <c r="J127" t="s">
        <v>109</v>
      </c>
      <c r="K127" t="s">
        <v>41</v>
      </c>
      <c r="L127" t="s">
        <v>42</v>
      </c>
      <c r="M127" t="s">
        <v>488</v>
      </c>
      <c r="N127" t="s">
        <v>44</v>
      </c>
      <c r="O127">
        <v>6</v>
      </c>
      <c r="P127">
        <v>3235.27</v>
      </c>
      <c r="Q127" s="6">
        <v>0.25</v>
      </c>
      <c r="R127" s="8">
        <f t="shared" si="4"/>
        <v>0.25</v>
      </c>
      <c r="S127">
        <v>14558.72</v>
      </c>
      <c r="T127">
        <v>9591.48</v>
      </c>
      <c r="U127">
        <v>4967.24</v>
      </c>
      <c r="V127" t="s">
        <v>102</v>
      </c>
      <c r="W127" t="s">
        <v>103</v>
      </c>
      <c r="X127" t="str">
        <f t="shared" si="7"/>
        <v>REFUND: Summarize separately</v>
      </c>
      <c r="Y127" t="str">
        <f t="shared" si="5"/>
        <v>Exclude</v>
      </c>
    </row>
    <row r="128" spans="1:25">
      <c r="A128" t="s">
        <v>489</v>
      </c>
      <c r="B128" s="3">
        <v>45924</v>
      </c>
      <c r="C128" s="3">
        <v>45926</v>
      </c>
      <c r="D128" s="6">
        <f t="shared" si="6"/>
        <v>2</v>
      </c>
      <c r="E128" t="s">
        <v>490</v>
      </c>
      <c r="F128" t="s">
        <v>114</v>
      </c>
      <c r="G128" s="5" t="s">
        <v>90</v>
      </c>
      <c r="H128" t="s">
        <v>25</v>
      </c>
      <c r="I128" t="s">
        <v>351</v>
      </c>
      <c r="J128" t="s">
        <v>352</v>
      </c>
      <c r="K128" t="s">
        <v>74</v>
      </c>
      <c r="L128" t="s">
        <v>80</v>
      </c>
      <c r="M128" t="s">
        <v>491</v>
      </c>
      <c r="N128" t="s">
        <v>59</v>
      </c>
      <c r="O128">
        <v>3</v>
      </c>
      <c r="P128">
        <v>1593.86</v>
      </c>
      <c r="Q128" s="6">
        <v>0.1</v>
      </c>
      <c r="R128" s="8">
        <f t="shared" si="4"/>
        <v>0.1</v>
      </c>
      <c r="S128">
        <v>4303.42</v>
      </c>
      <c r="T128">
        <v>2568.5700000000002</v>
      </c>
      <c r="U128">
        <v>1734.85</v>
      </c>
      <c r="V128" t="s">
        <v>32</v>
      </c>
      <c r="W128" t="s">
        <v>33</v>
      </c>
      <c r="X128" t="str">
        <f t="shared" si="7"/>
        <v/>
      </c>
      <c r="Y128" t="str">
        <f t="shared" si="5"/>
        <v>Exclude</v>
      </c>
    </row>
    <row r="129" spans="1:25">
      <c r="A129" t="s">
        <v>492</v>
      </c>
      <c r="B129" s="3">
        <v>45687</v>
      </c>
      <c r="C129" s="3">
        <v>45683</v>
      </c>
      <c r="D129" s="6">
        <f t="shared" si="6"/>
        <v>-4</v>
      </c>
      <c r="E129" t="s">
        <v>493</v>
      </c>
      <c r="F129" t="s">
        <v>114</v>
      </c>
      <c r="G129" s="5" t="s">
        <v>90</v>
      </c>
      <c r="H129" t="s">
        <v>63</v>
      </c>
      <c r="I129" t="s">
        <v>72</v>
      </c>
      <c r="J129" t="s">
        <v>73</v>
      </c>
      <c r="K129" t="s">
        <v>28</v>
      </c>
      <c r="L129" t="s">
        <v>124</v>
      </c>
      <c r="M129" t="s">
        <v>494</v>
      </c>
      <c r="N129" t="s">
        <v>31</v>
      </c>
      <c r="O129">
        <v>2</v>
      </c>
      <c r="P129">
        <v>3039.3</v>
      </c>
      <c r="Q129" s="6">
        <v>0.05</v>
      </c>
      <c r="R129" s="8">
        <f t="shared" si="4"/>
        <v>0.05</v>
      </c>
      <c r="S129">
        <v>5774.67</v>
      </c>
      <c r="T129">
        <v>3518.36</v>
      </c>
      <c r="U129">
        <v>2256.31</v>
      </c>
      <c r="V129" t="s">
        <v>32</v>
      </c>
      <c r="W129" t="s">
        <v>33</v>
      </c>
      <c r="X129" t="str">
        <f t="shared" si="7"/>
        <v>INVALID: Ship date before order date</v>
      </c>
      <c r="Y129" t="str">
        <f t="shared" si="5"/>
        <v>Exclude</v>
      </c>
    </row>
    <row r="130" spans="1:25">
      <c r="A130" t="s">
        <v>495</v>
      </c>
      <c r="B130" s="3">
        <v>45639</v>
      </c>
      <c r="C130" s="3">
        <v>45642</v>
      </c>
      <c r="D130" s="6">
        <f t="shared" si="6"/>
        <v>3</v>
      </c>
      <c r="E130" t="s">
        <v>496</v>
      </c>
      <c r="F130" t="s">
        <v>79</v>
      </c>
      <c r="G130" s="5" t="s">
        <v>37</v>
      </c>
      <c r="H130" t="s">
        <v>38</v>
      </c>
      <c r="I130" t="s">
        <v>39</v>
      </c>
      <c r="J130" t="s">
        <v>40</v>
      </c>
      <c r="K130" t="s">
        <v>41</v>
      </c>
      <c r="L130" t="s">
        <v>57</v>
      </c>
      <c r="M130" t="s">
        <v>497</v>
      </c>
      <c r="N130" t="s">
        <v>59</v>
      </c>
      <c r="O130">
        <v>5</v>
      </c>
      <c r="P130">
        <v>923.45</v>
      </c>
      <c r="Q130" s="6">
        <v>0.05</v>
      </c>
      <c r="R130" s="8">
        <f t="shared" ref="R130:R193" si="8">IF(ISBLANK(Q130),IF(AND(ISNUMBER(O130),O130&gt;0,ISNUMBER(P130),ISNUMBER(S130),ISNUMBER(T130),ISNUMBER(U130)),0,""),Q130)</f>
        <v>0.05</v>
      </c>
      <c r="S130">
        <v>4386.3900000000003</v>
      </c>
      <c r="T130">
        <v>3366.88</v>
      </c>
      <c r="U130">
        <v>1019.51</v>
      </c>
      <c r="V130" t="s">
        <v>32</v>
      </c>
      <c r="W130" t="s">
        <v>103</v>
      </c>
      <c r="X130" t="str">
        <f t="shared" si="7"/>
        <v/>
      </c>
      <c r="Y130" t="str">
        <f t="shared" ref="Y130:Y193" si="9">IF(AND(U130="Completed",T130="Paid",ISERROR(SEARCH("INVALID",W130))),"Include","Exclude")</f>
        <v>Exclude</v>
      </c>
    </row>
    <row r="131" spans="1:25">
      <c r="A131" t="s">
        <v>498</v>
      </c>
      <c r="B131" s="3">
        <v>45492</v>
      </c>
      <c r="C131" s="3">
        <v>45498</v>
      </c>
      <c r="D131" s="6">
        <f t="shared" ref="D131:D194" si="10">IF(OR(B131="",C131=""),"",C131-B131)</f>
        <v>6</v>
      </c>
      <c r="E131" t="s">
        <v>499</v>
      </c>
      <c r="F131" t="s">
        <v>47</v>
      </c>
      <c r="G131" s="5" t="s">
        <v>37</v>
      </c>
      <c r="H131" t="s">
        <v>63</v>
      </c>
      <c r="I131" t="s">
        <v>190</v>
      </c>
      <c r="J131" t="s">
        <v>191</v>
      </c>
      <c r="K131" t="s">
        <v>28</v>
      </c>
      <c r="L131" t="s">
        <v>153</v>
      </c>
      <c r="M131" t="s">
        <v>500</v>
      </c>
      <c r="N131" t="s">
        <v>59</v>
      </c>
      <c r="O131">
        <v>7</v>
      </c>
      <c r="P131">
        <v>2741.29</v>
      </c>
      <c r="Q131" s="6">
        <v>0.05</v>
      </c>
      <c r="R131" s="8">
        <f t="shared" si="8"/>
        <v>0.05</v>
      </c>
      <c r="S131">
        <v>18229.580000000002</v>
      </c>
      <c r="T131">
        <v>15139.15</v>
      </c>
      <c r="U131">
        <v>3090.43</v>
      </c>
      <c r="V131" t="s">
        <v>32</v>
      </c>
      <c r="W131" t="s">
        <v>33</v>
      </c>
      <c r="X131" t="str">
        <f t="shared" ref="X131:X194" si="11">_xlfn.TEXTJOIN("; ",TRUE,IF(R131&lt;0,"INVALID: Negative discount",""),IF(R131&gt;50%,"INVALID: Discount above range",""),IF(D131&lt;0,"INVALID: Ship date before order date",""),IF(W131="Cancelled","EXCLUDE: Cancelled order",""),IF(V131="Failed","EXCLUDE: Failed payment",""),IF(V131="Refunded","REFUND: Summarize separately",""))</f>
        <v/>
      </c>
      <c r="Y131" t="str">
        <f t="shared" si="9"/>
        <v>Exclude</v>
      </c>
    </row>
    <row r="132" spans="1:25">
      <c r="A132" t="s">
        <v>501</v>
      </c>
      <c r="B132" s="3">
        <v>45318</v>
      </c>
      <c r="C132" s="3">
        <v>45324</v>
      </c>
      <c r="D132" s="6">
        <f t="shared" si="10"/>
        <v>6</v>
      </c>
      <c r="E132" t="s">
        <v>502</v>
      </c>
      <c r="F132" t="s">
        <v>53</v>
      </c>
      <c r="G132" s="5" t="s">
        <v>24</v>
      </c>
      <c r="H132" t="s">
        <v>63</v>
      </c>
      <c r="I132" t="s">
        <v>180</v>
      </c>
      <c r="J132" t="s">
        <v>181</v>
      </c>
      <c r="K132" t="s">
        <v>28</v>
      </c>
      <c r="L132" t="s">
        <v>91</v>
      </c>
      <c r="M132" t="s">
        <v>503</v>
      </c>
      <c r="N132" t="s">
        <v>44</v>
      </c>
      <c r="O132">
        <v>5</v>
      </c>
      <c r="P132">
        <v>218.42</v>
      </c>
      <c r="Q132" s="6">
        <v>0.2</v>
      </c>
      <c r="R132" s="8">
        <f t="shared" si="8"/>
        <v>0.2</v>
      </c>
      <c r="S132">
        <v>873.68</v>
      </c>
      <c r="T132">
        <v>661.72</v>
      </c>
      <c r="U132">
        <v>211.96</v>
      </c>
      <c r="V132" t="s">
        <v>111</v>
      </c>
      <c r="W132" t="s">
        <v>68</v>
      </c>
      <c r="X132" t="str">
        <f t="shared" si="11"/>
        <v>EXCLUDE: Cancelled order</v>
      </c>
      <c r="Y132" t="str">
        <f t="shared" si="9"/>
        <v>Exclude</v>
      </c>
    </row>
    <row r="133" spans="1:25">
      <c r="A133" t="s">
        <v>504</v>
      </c>
      <c r="B133" s="3">
        <v>45929</v>
      </c>
      <c r="C133" s="3">
        <v>45757</v>
      </c>
      <c r="D133" s="6">
        <f t="shared" si="10"/>
        <v>-172</v>
      </c>
      <c r="E133" t="s">
        <v>505</v>
      </c>
      <c r="F133" t="s">
        <v>62</v>
      </c>
      <c r="G133" s="5" t="s">
        <v>95</v>
      </c>
      <c r="H133" t="s">
        <v>38</v>
      </c>
      <c r="I133" t="s">
        <v>229</v>
      </c>
      <c r="J133" t="s">
        <v>230</v>
      </c>
      <c r="K133" t="s">
        <v>28</v>
      </c>
      <c r="L133" t="s">
        <v>29</v>
      </c>
      <c r="M133" t="s">
        <v>506</v>
      </c>
      <c r="N133" t="s">
        <v>44</v>
      </c>
      <c r="O133">
        <v>9</v>
      </c>
      <c r="P133">
        <v>373.91</v>
      </c>
      <c r="Q133" s="6">
        <v>0.2</v>
      </c>
      <c r="R133" s="8">
        <f t="shared" si="8"/>
        <v>0.2</v>
      </c>
      <c r="S133">
        <v>2692.15</v>
      </c>
      <c r="T133">
        <v>2044.49</v>
      </c>
      <c r="U133">
        <v>647.66</v>
      </c>
      <c r="V133" t="s">
        <v>32</v>
      </c>
      <c r="W133" t="s">
        <v>33</v>
      </c>
      <c r="X133" t="str">
        <f t="shared" si="11"/>
        <v>INVALID: Ship date before order date</v>
      </c>
      <c r="Y133" t="str">
        <f t="shared" si="9"/>
        <v>Exclude</v>
      </c>
    </row>
    <row r="134" spans="1:25">
      <c r="A134" t="s">
        <v>507</v>
      </c>
      <c r="B134" s="3">
        <v>45600</v>
      </c>
      <c r="C134" s="3">
        <v>45393</v>
      </c>
      <c r="D134" s="6">
        <f t="shared" si="10"/>
        <v>-207</v>
      </c>
      <c r="E134" t="s">
        <v>508</v>
      </c>
      <c r="F134" t="s">
        <v>265</v>
      </c>
      <c r="G134" s="5" t="s">
        <v>90</v>
      </c>
      <c r="H134" t="s">
        <v>38</v>
      </c>
      <c r="I134" t="s">
        <v>166</v>
      </c>
      <c r="J134" t="s">
        <v>167</v>
      </c>
      <c r="K134" t="s">
        <v>74</v>
      </c>
      <c r="L134" t="s">
        <v>275</v>
      </c>
      <c r="M134" t="s">
        <v>509</v>
      </c>
      <c r="N134" t="s">
        <v>50</v>
      </c>
      <c r="O134">
        <v>2</v>
      </c>
      <c r="P134">
        <v>533.08000000000004</v>
      </c>
      <c r="Q134" s="6">
        <v>0</v>
      </c>
      <c r="R134" s="8">
        <f t="shared" si="8"/>
        <v>0</v>
      </c>
      <c r="S134">
        <v>1066.1600000000001</v>
      </c>
      <c r="T134">
        <v>656.3</v>
      </c>
      <c r="U134">
        <v>409.86</v>
      </c>
      <c r="V134" t="s">
        <v>155</v>
      </c>
      <c r="W134" t="s">
        <v>68</v>
      </c>
      <c r="X134" t="str">
        <f t="shared" si="11"/>
        <v>INVALID: Ship date before order date; EXCLUDE: Cancelled order; EXCLUDE: Failed payment</v>
      </c>
      <c r="Y134" t="str">
        <f t="shared" si="9"/>
        <v>Exclude</v>
      </c>
    </row>
    <row r="135" spans="1:25">
      <c r="A135" t="s">
        <v>510</v>
      </c>
      <c r="B135" s="3">
        <v>45639</v>
      </c>
      <c r="C135" s="3">
        <v>45644</v>
      </c>
      <c r="D135" s="6">
        <f t="shared" si="10"/>
        <v>5</v>
      </c>
      <c r="E135" t="s">
        <v>511</v>
      </c>
      <c r="F135" t="s">
        <v>23</v>
      </c>
      <c r="G135" s="5" t="s">
        <v>24</v>
      </c>
      <c r="H135" t="s">
        <v>63</v>
      </c>
      <c r="I135" t="s">
        <v>190</v>
      </c>
      <c r="J135" t="s">
        <v>191</v>
      </c>
      <c r="K135" t="s">
        <v>74</v>
      </c>
      <c r="L135" t="s">
        <v>171</v>
      </c>
      <c r="M135" t="s">
        <v>512</v>
      </c>
      <c r="N135" t="s">
        <v>31</v>
      </c>
      <c r="O135">
        <v>8</v>
      </c>
      <c r="P135">
        <v>3372.15</v>
      </c>
      <c r="Q135" s="6">
        <v>0.15</v>
      </c>
      <c r="R135" s="8">
        <f t="shared" si="8"/>
        <v>0.15</v>
      </c>
      <c r="S135">
        <v>22930.62</v>
      </c>
      <c r="T135">
        <v>16875.55</v>
      </c>
      <c r="U135">
        <v>6055.07</v>
      </c>
      <c r="V135" t="s">
        <v>32</v>
      </c>
      <c r="W135" t="s">
        <v>33</v>
      </c>
      <c r="X135" t="str">
        <f t="shared" si="11"/>
        <v/>
      </c>
      <c r="Y135" t="str">
        <f t="shared" si="9"/>
        <v>Exclude</v>
      </c>
    </row>
    <row r="136" spans="1:25">
      <c r="A136" t="s">
        <v>513</v>
      </c>
      <c r="B136" s="3">
        <v>45852</v>
      </c>
      <c r="C136" s="3">
        <v>45852</v>
      </c>
      <c r="D136" s="6">
        <f t="shared" si="10"/>
        <v>0</v>
      </c>
      <c r="E136" t="s">
        <v>514</v>
      </c>
      <c r="F136" t="s">
        <v>71</v>
      </c>
      <c r="G136" s="5" t="s">
        <v>95</v>
      </c>
      <c r="H136" t="s">
        <v>38</v>
      </c>
      <c r="I136" t="s">
        <v>99</v>
      </c>
      <c r="J136" t="s">
        <v>100</v>
      </c>
      <c r="K136" t="s">
        <v>41</v>
      </c>
      <c r="L136" t="s">
        <v>158</v>
      </c>
      <c r="M136" t="s">
        <v>515</v>
      </c>
      <c r="N136" t="s">
        <v>2806</v>
      </c>
      <c r="O136">
        <v>5</v>
      </c>
      <c r="P136">
        <v>383.1</v>
      </c>
      <c r="Q136" s="6">
        <v>0.25</v>
      </c>
      <c r="R136" s="8">
        <f t="shared" si="8"/>
        <v>0.25</v>
      </c>
      <c r="S136">
        <v>1436.62</v>
      </c>
      <c r="T136">
        <v>912.52</v>
      </c>
      <c r="U136">
        <v>524.1</v>
      </c>
      <c r="V136" t="s">
        <v>111</v>
      </c>
      <c r="W136" t="s">
        <v>68</v>
      </c>
      <c r="X136" t="str">
        <f t="shared" si="11"/>
        <v>EXCLUDE: Cancelled order</v>
      </c>
      <c r="Y136" t="str">
        <f t="shared" si="9"/>
        <v>Exclude</v>
      </c>
    </row>
    <row r="137" spans="1:25">
      <c r="A137" t="s">
        <v>516</v>
      </c>
      <c r="B137" s="3">
        <v>45893</v>
      </c>
      <c r="C137" s="3">
        <v>45893</v>
      </c>
      <c r="D137" s="6">
        <f t="shared" si="10"/>
        <v>0</v>
      </c>
      <c r="E137" t="s">
        <v>517</v>
      </c>
      <c r="F137" t="s">
        <v>162</v>
      </c>
      <c r="G137" s="5" t="s">
        <v>37</v>
      </c>
      <c r="H137" t="s">
        <v>54</v>
      </c>
      <c r="I137" t="s">
        <v>185</v>
      </c>
      <c r="J137" t="s">
        <v>186</v>
      </c>
      <c r="K137" t="s">
        <v>41</v>
      </c>
      <c r="L137" t="s">
        <v>158</v>
      </c>
      <c r="M137" t="s">
        <v>518</v>
      </c>
      <c r="N137" t="s">
        <v>59</v>
      </c>
      <c r="O137">
        <v>1</v>
      </c>
      <c r="P137">
        <v>3424.78</v>
      </c>
      <c r="Q137" s="6">
        <v>0</v>
      </c>
      <c r="R137" s="8">
        <f t="shared" si="8"/>
        <v>0</v>
      </c>
      <c r="S137">
        <v>3424.78</v>
      </c>
      <c r="T137">
        <v>1951.45</v>
      </c>
      <c r="U137">
        <v>1473.33</v>
      </c>
      <c r="V137" t="s">
        <v>32</v>
      </c>
      <c r="W137" t="s">
        <v>33</v>
      </c>
      <c r="X137" t="str">
        <f t="shared" si="11"/>
        <v/>
      </c>
      <c r="Y137" t="str">
        <f t="shared" si="9"/>
        <v>Exclude</v>
      </c>
    </row>
    <row r="138" spans="1:25">
      <c r="A138" t="s">
        <v>519</v>
      </c>
      <c r="B138" s="3">
        <v>45697</v>
      </c>
      <c r="C138" s="3">
        <v>45703</v>
      </c>
      <c r="D138" s="6">
        <f t="shared" si="10"/>
        <v>6</v>
      </c>
      <c r="E138" t="s">
        <v>520</v>
      </c>
      <c r="F138" t="s">
        <v>36</v>
      </c>
      <c r="G138" s="5" t="s">
        <v>95</v>
      </c>
      <c r="H138" t="s">
        <v>38</v>
      </c>
      <c r="I138" t="s">
        <v>229</v>
      </c>
      <c r="J138" t="s">
        <v>230</v>
      </c>
      <c r="K138" t="s">
        <v>28</v>
      </c>
      <c r="L138" t="s">
        <v>153</v>
      </c>
      <c r="M138" t="s">
        <v>521</v>
      </c>
      <c r="N138" t="s">
        <v>522</v>
      </c>
      <c r="O138">
        <v>9</v>
      </c>
      <c r="P138">
        <v>4330.33</v>
      </c>
      <c r="Q138" s="6">
        <v>0.2</v>
      </c>
      <c r="R138" s="8">
        <f t="shared" si="8"/>
        <v>0.2</v>
      </c>
      <c r="S138">
        <v>31178.38</v>
      </c>
      <c r="T138">
        <v>21421.09</v>
      </c>
      <c r="U138">
        <v>9757.2900000000009</v>
      </c>
      <c r="V138" t="s">
        <v>32</v>
      </c>
      <c r="W138" t="s">
        <v>33</v>
      </c>
      <c r="X138" t="str">
        <f t="shared" si="11"/>
        <v/>
      </c>
      <c r="Y138" t="str">
        <f t="shared" si="9"/>
        <v>Exclude</v>
      </c>
    </row>
    <row r="139" spans="1:25">
      <c r="A139" t="s">
        <v>523</v>
      </c>
      <c r="B139" s="3">
        <v>45901</v>
      </c>
      <c r="C139" s="3">
        <v>45901</v>
      </c>
      <c r="D139" s="6">
        <f t="shared" si="10"/>
        <v>0</v>
      </c>
      <c r="E139" t="s">
        <v>524</v>
      </c>
      <c r="F139" t="s">
        <v>132</v>
      </c>
      <c r="G139" s="5" t="s">
        <v>37</v>
      </c>
      <c r="H139" t="s">
        <v>25</v>
      </c>
      <c r="I139" t="s">
        <v>26</v>
      </c>
      <c r="J139" t="s">
        <v>27</v>
      </c>
      <c r="K139" t="s">
        <v>41</v>
      </c>
      <c r="L139" t="s">
        <v>66</v>
      </c>
      <c r="M139" t="s">
        <v>525</v>
      </c>
      <c r="N139" t="s">
        <v>44</v>
      </c>
      <c r="O139">
        <v>8</v>
      </c>
      <c r="P139">
        <v>2667.07</v>
      </c>
      <c r="Q139" s="6">
        <v>0.1</v>
      </c>
      <c r="R139" s="8">
        <f t="shared" si="8"/>
        <v>0.1</v>
      </c>
      <c r="S139">
        <v>19202.900000000001</v>
      </c>
      <c r="T139">
        <v>15526.62</v>
      </c>
      <c r="U139">
        <v>3676.28</v>
      </c>
      <c r="V139" t="s">
        <v>32</v>
      </c>
      <c r="W139" t="s">
        <v>33</v>
      </c>
      <c r="X139" t="str">
        <f t="shared" si="11"/>
        <v/>
      </c>
      <c r="Y139" t="str">
        <f t="shared" si="9"/>
        <v>Exclude</v>
      </c>
    </row>
    <row r="140" spans="1:25">
      <c r="A140" t="s">
        <v>526</v>
      </c>
      <c r="B140" s="3">
        <v>45311</v>
      </c>
      <c r="C140" s="3">
        <v>45317</v>
      </c>
      <c r="D140" s="6">
        <f t="shared" si="10"/>
        <v>6</v>
      </c>
      <c r="E140" t="s">
        <v>527</v>
      </c>
      <c r="F140" t="s">
        <v>162</v>
      </c>
      <c r="G140" s="5" t="s">
        <v>95</v>
      </c>
      <c r="H140" t="s">
        <v>38</v>
      </c>
      <c r="I140" t="s">
        <v>229</v>
      </c>
      <c r="J140" t="s">
        <v>230</v>
      </c>
      <c r="K140" t="s">
        <v>74</v>
      </c>
      <c r="L140" t="s">
        <v>275</v>
      </c>
      <c r="M140" t="s">
        <v>528</v>
      </c>
      <c r="N140" t="s">
        <v>59</v>
      </c>
      <c r="O140">
        <v>8</v>
      </c>
      <c r="P140">
        <v>4003.05</v>
      </c>
      <c r="Q140" s="6">
        <v>0.25</v>
      </c>
      <c r="R140" s="8">
        <f t="shared" si="8"/>
        <v>0.25</v>
      </c>
      <c r="S140">
        <v>24018.3</v>
      </c>
      <c r="T140">
        <v>14070.78</v>
      </c>
      <c r="U140">
        <v>9947.52</v>
      </c>
      <c r="V140" t="s">
        <v>32</v>
      </c>
      <c r="W140" t="s">
        <v>33</v>
      </c>
      <c r="X140" t="str">
        <f t="shared" si="11"/>
        <v/>
      </c>
      <c r="Y140" t="str">
        <f t="shared" si="9"/>
        <v>Exclude</v>
      </c>
    </row>
    <row r="141" spans="1:25">
      <c r="A141" t="s">
        <v>529</v>
      </c>
      <c r="B141" s="3">
        <v>45691</v>
      </c>
      <c r="C141" s="3">
        <v>45723</v>
      </c>
      <c r="D141" s="6">
        <f t="shared" si="10"/>
        <v>32</v>
      </c>
      <c r="E141" t="s">
        <v>530</v>
      </c>
      <c r="F141" t="s">
        <v>79</v>
      </c>
      <c r="G141" s="5" t="s">
        <v>95</v>
      </c>
      <c r="H141" t="s">
        <v>54</v>
      </c>
      <c r="I141" t="s">
        <v>175</v>
      </c>
      <c r="J141" t="s">
        <v>176</v>
      </c>
      <c r="K141" t="s">
        <v>28</v>
      </c>
      <c r="L141" t="s">
        <v>91</v>
      </c>
      <c r="M141" t="s">
        <v>531</v>
      </c>
      <c r="N141" t="s">
        <v>59</v>
      </c>
      <c r="O141">
        <v>8</v>
      </c>
      <c r="P141">
        <v>1287.6300000000001</v>
      </c>
      <c r="Q141" s="6">
        <v>0</v>
      </c>
      <c r="R141" s="8">
        <f t="shared" si="8"/>
        <v>0</v>
      </c>
      <c r="S141">
        <v>10301.040000000001</v>
      </c>
      <c r="T141">
        <v>6564.06</v>
      </c>
      <c r="U141">
        <v>3736.98</v>
      </c>
      <c r="V141" t="s">
        <v>32</v>
      </c>
      <c r="W141" t="s">
        <v>33</v>
      </c>
      <c r="X141" t="str">
        <f t="shared" si="11"/>
        <v/>
      </c>
      <c r="Y141" t="str">
        <f t="shared" si="9"/>
        <v>Exclude</v>
      </c>
    </row>
    <row r="142" spans="1:25">
      <c r="A142" t="s">
        <v>532</v>
      </c>
      <c r="B142" s="3">
        <v>45443</v>
      </c>
      <c r="C142" s="3">
        <v>45297</v>
      </c>
      <c r="D142" s="6">
        <f t="shared" si="10"/>
        <v>-146</v>
      </c>
      <c r="E142" t="s">
        <v>533</v>
      </c>
      <c r="F142" t="s">
        <v>36</v>
      </c>
      <c r="G142" s="5" t="s">
        <v>90</v>
      </c>
      <c r="H142" t="s">
        <v>54</v>
      </c>
      <c r="I142" t="s">
        <v>175</v>
      </c>
      <c r="J142" t="s">
        <v>176</v>
      </c>
      <c r="K142" t="s">
        <v>41</v>
      </c>
      <c r="L142" t="s">
        <v>158</v>
      </c>
      <c r="M142" t="s">
        <v>534</v>
      </c>
      <c r="N142" t="s">
        <v>44</v>
      </c>
      <c r="O142">
        <v>3</v>
      </c>
      <c r="P142">
        <v>2914.55</v>
      </c>
      <c r="Q142" s="6">
        <v>0</v>
      </c>
      <c r="R142" s="8">
        <f t="shared" si="8"/>
        <v>0</v>
      </c>
      <c r="S142">
        <v>8743.65</v>
      </c>
      <c r="T142">
        <v>6603.76</v>
      </c>
      <c r="U142">
        <v>2139.89</v>
      </c>
      <c r="V142" t="s">
        <v>32</v>
      </c>
      <c r="W142" t="s">
        <v>33</v>
      </c>
      <c r="X142" t="str">
        <f t="shared" si="11"/>
        <v>INVALID: Ship date before order date</v>
      </c>
      <c r="Y142" t="str">
        <f t="shared" si="9"/>
        <v>Exclude</v>
      </c>
    </row>
    <row r="143" spans="1:25">
      <c r="A143" t="s">
        <v>535</v>
      </c>
      <c r="B143" s="3">
        <v>45374</v>
      </c>
      <c r="C143" s="3">
        <v>45380</v>
      </c>
      <c r="D143" s="6">
        <f t="shared" si="10"/>
        <v>6</v>
      </c>
      <c r="E143" t="s">
        <v>536</v>
      </c>
      <c r="F143" t="s">
        <v>114</v>
      </c>
      <c r="G143" s="5" t="s">
        <v>90</v>
      </c>
      <c r="H143" t="s">
        <v>25</v>
      </c>
      <c r="I143" t="s">
        <v>351</v>
      </c>
      <c r="J143" t="s">
        <v>352</v>
      </c>
      <c r="K143" t="s">
        <v>41</v>
      </c>
      <c r="L143" t="s">
        <v>158</v>
      </c>
      <c r="M143" t="s">
        <v>537</v>
      </c>
      <c r="N143" t="s">
        <v>44</v>
      </c>
      <c r="O143">
        <v>7</v>
      </c>
      <c r="P143">
        <v>634.29</v>
      </c>
      <c r="Q143" s="6">
        <v>0.1</v>
      </c>
      <c r="R143" s="8">
        <f t="shared" si="8"/>
        <v>0.1</v>
      </c>
      <c r="S143">
        <v>3996.03</v>
      </c>
      <c r="T143">
        <v>2859.51</v>
      </c>
      <c r="U143">
        <v>1136.52</v>
      </c>
      <c r="V143" t="s">
        <v>32</v>
      </c>
      <c r="W143" t="s">
        <v>103</v>
      </c>
      <c r="X143" t="str">
        <f t="shared" si="11"/>
        <v/>
      </c>
      <c r="Y143" t="str">
        <f t="shared" si="9"/>
        <v>Exclude</v>
      </c>
    </row>
    <row r="144" spans="1:25">
      <c r="A144" t="s">
        <v>538</v>
      </c>
      <c r="B144" s="3">
        <v>45381</v>
      </c>
      <c r="C144" s="3">
        <v>45377</v>
      </c>
      <c r="D144" s="6">
        <f t="shared" si="10"/>
        <v>-4</v>
      </c>
      <c r="E144" t="s">
        <v>539</v>
      </c>
      <c r="F144" t="s">
        <v>89</v>
      </c>
      <c r="G144" s="5" t="s">
        <v>95</v>
      </c>
      <c r="H144" t="s">
        <v>25</v>
      </c>
      <c r="I144" t="s">
        <v>26</v>
      </c>
      <c r="J144" t="s">
        <v>27</v>
      </c>
      <c r="K144" t="s">
        <v>74</v>
      </c>
      <c r="L144" t="s">
        <v>171</v>
      </c>
      <c r="M144" t="s">
        <v>540</v>
      </c>
      <c r="N144" t="s">
        <v>31</v>
      </c>
      <c r="O144">
        <v>5</v>
      </c>
      <c r="P144">
        <v>907.54</v>
      </c>
      <c r="Q144" s="6">
        <v>0.15</v>
      </c>
      <c r="R144" s="8">
        <f t="shared" si="8"/>
        <v>0.15</v>
      </c>
      <c r="S144">
        <v>3857.04</v>
      </c>
      <c r="T144">
        <v>2769.26</v>
      </c>
      <c r="U144">
        <v>1087.78</v>
      </c>
      <c r="V144" t="s">
        <v>32</v>
      </c>
      <c r="W144" t="s">
        <v>33</v>
      </c>
      <c r="X144" t="str">
        <f t="shared" si="11"/>
        <v>INVALID: Ship date before order date</v>
      </c>
      <c r="Y144" t="str">
        <f t="shared" si="9"/>
        <v>Exclude</v>
      </c>
    </row>
    <row r="145" spans="1:25">
      <c r="A145" t="s">
        <v>541</v>
      </c>
      <c r="B145" s="3">
        <v>45375</v>
      </c>
      <c r="C145" s="3">
        <v>45377</v>
      </c>
      <c r="D145" s="6">
        <f t="shared" si="10"/>
        <v>2</v>
      </c>
      <c r="E145" t="s">
        <v>542</v>
      </c>
      <c r="F145" t="s">
        <v>114</v>
      </c>
      <c r="G145" s="5" t="s">
        <v>24</v>
      </c>
      <c r="H145" t="s">
        <v>63</v>
      </c>
      <c r="I145" t="s">
        <v>180</v>
      </c>
      <c r="J145" t="s">
        <v>181</v>
      </c>
      <c r="K145" t="s">
        <v>28</v>
      </c>
      <c r="L145" t="s">
        <v>29</v>
      </c>
      <c r="M145" t="s">
        <v>543</v>
      </c>
      <c r="N145" t="s">
        <v>31</v>
      </c>
      <c r="O145">
        <v>1</v>
      </c>
      <c r="P145">
        <v>3409.5</v>
      </c>
      <c r="Q145" s="6">
        <v>0.1</v>
      </c>
      <c r="R145" s="8">
        <f t="shared" si="8"/>
        <v>0.1</v>
      </c>
      <c r="S145">
        <v>3068.55</v>
      </c>
      <c r="T145">
        <v>1916.16</v>
      </c>
      <c r="U145">
        <v>1152.3900000000001</v>
      </c>
      <c r="V145" t="s">
        <v>32</v>
      </c>
      <c r="W145" t="s">
        <v>103</v>
      </c>
      <c r="X145" t="str">
        <f t="shared" si="11"/>
        <v/>
      </c>
      <c r="Y145" t="str">
        <f t="shared" si="9"/>
        <v>Exclude</v>
      </c>
    </row>
    <row r="146" spans="1:25">
      <c r="A146" t="s">
        <v>544</v>
      </c>
      <c r="B146" s="3">
        <v>45450</v>
      </c>
      <c r="C146" s="3">
        <v>45458</v>
      </c>
      <c r="D146" s="6">
        <f t="shared" si="10"/>
        <v>8</v>
      </c>
      <c r="E146" t="s">
        <v>545</v>
      </c>
      <c r="F146" t="s">
        <v>265</v>
      </c>
      <c r="G146" s="5" t="s">
        <v>37</v>
      </c>
      <c r="H146" t="s">
        <v>54</v>
      </c>
      <c r="I146" t="s">
        <v>55</v>
      </c>
      <c r="J146" t="s">
        <v>56</v>
      </c>
      <c r="K146" t="s">
        <v>74</v>
      </c>
      <c r="L146" t="s">
        <v>75</v>
      </c>
      <c r="M146" t="s">
        <v>546</v>
      </c>
      <c r="N146" t="s">
        <v>50</v>
      </c>
      <c r="O146">
        <v>7</v>
      </c>
      <c r="P146">
        <v>2147.9899999999998</v>
      </c>
      <c r="Q146" s="6">
        <v>0.25</v>
      </c>
      <c r="R146" s="8">
        <f t="shared" si="8"/>
        <v>0.25</v>
      </c>
      <c r="S146">
        <v>11276.95</v>
      </c>
      <c r="T146">
        <v>6908.76</v>
      </c>
      <c r="U146">
        <v>4368.1899999999996</v>
      </c>
      <c r="V146" t="s">
        <v>102</v>
      </c>
      <c r="W146" t="s">
        <v>103</v>
      </c>
      <c r="X146" t="str">
        <f t="shared" si="11"/>
        <v>REFUND: Summarize separately</v>
      </c>
      <c r="Y146" t="str">
        <f t="shared" si="9"/>
        <v>Exclude</v>
      </c>
    </row>
    <row r="147" spans="1:25">
      <c r="A147" t="s">
        <v>547</v>
      </c>
      <c r="B147" s="3">
        <v>45758</v>
      </c>
      <c r="C147" s="3">
        <v>45760</v>
      </c>
      <c r="D147" s="6">
        <f t="shared" si="10"/>
        <v>2</v>
      </c>
      <c r="E147" t="s">
        <v>548</v>
      </c>
      <c r="F147" t="s">
        <v>36</v>
      </c>
      <c r="G147" s="5" t="s">
        <v>37</v>
      </c>
      <c r="H147" t="s">
        <v>63</v>
      </c>
      <c r="I147" t="s">
        <v>190</v>
      </c>
      <c r="J147" t="s">
        <v>191</v>
      </c>
      <c r="K147" t="s">
        <v>28</v>
      </c>
      <c r="L147" t="s">
        <v>29</v>
      </c>
      <c r="M147" t="s">
        <v>549</v>
      </c>
      <c r="N147" t="s">
        <v>59</v>
      </c>
      <c r="O147">
        <v>4</v>
      </c>
      <c r="P147">
        <v>4182.1499999999996</v>
      </c>
      <c r="Q147" s="6">
        <v>0.1</v>
      </c>
      <c r="R147" s="8">
        <f t="shared" si="8"/>
        <v>0.1</v>
      </c>
      <c r="S147">
        <v>15055.74</v>
      </c>
      <c r="T147">
        <v>9808.83</v>
      </c>
      <c r="U147">
        <v>5246.91</v>
      </c>
      <c r="V147" t="s">
        <v>32</v>
      </c>
      <c r="W147" t="s">
        <v>33</v>
      </c>
      <c r="X147" t="str">
        <f t="shared" si="11"/>
        <v/>
      </c>
      <c r="Y147" t="str">
        <f t="shared" si="9"/>
        <v>Exclude</v>
      </c>
    </row>
    <row r="148" spans="1:25">
      <c r="A148" t="s">
        <v>550</v>
      </c>
      <c r="B148" s="3">
        <v>45868</v>
      </c>
      <c r="C148" s="3">
        <v>45665</v>
      </c>
      <c r="D148" s="6">
        <f t="shared" si="10"/>
        <v>-203</v>
      </c>
      <c r="E148" t="s">
        <v>551</v>
      </c>
      <c r="F148" t="s">
        <v>132</v>
      </c>
      <c r="G148" s="5" t="s">
        <v>37</v>
      </c>
      <c r="H148" t="s">
        <v>54</v>
      </c>
      <c r="I148" t="s">
        <v>248</v>
      </c>
      <c r="J148" t="s">
        <v>249</v>
      </c>
      <c r="K148" t="s">
        <v>28</v>
      </c>
      <c r="L148" t="s">
        <v>124</v>
      </c>
      <c r="M148" t="s">
        <v>552</v>
      </c>
      <c r="N148" t="s">
        <v>44</v>
      </c>
      <c r="O148">
        <v>9</v>
      </c>
      <c r="P148">
        <v>3165.43</v>
      </c>
      <c r="Q148" s="6">
        <v>0.1</v>
      </c>
      <c r="R148" s="8">
        <f t="shared" si="8"/>
        <v>0.1</v>
      </c>
      <c r="S148">
        <v>25639.98</v>
      </c>
      <c r="T148">
        <v>21635.08</v>
      </c>
      <c r="U148">
        <v>4004.9</v>
      </c>
      <c r="V148" t="s">
        <v>32</v>
      </c>
      <c r="W148" t="s">
        <v>33</v>
      </c>
      <c r="X148" t="str">
        <f t="shared" si="11"/>
        <v>INVALID: Ship date before order date</v>
      </c>
      <c r="Y148" t="str">
        <f t="shared" si="9"/>
        <v>Exclude</v>
      </c>
    </row>
    <row r="149" spans="1:25">
      <c r="A149" t="s">
        <v>553</v>
      </c>
      <c r="B149" s="3">
        <v>45649</v>
      </c>
      <c r="C149" s="3">
        <v>45656</v>
      </c>
      <c r="D149" s="6">
        <f t="shared" si="10"/>
        <v>7</v>
      </c>
      <c r="E149" t="s">
        <v>554</v>
      </c>
      <c r="F149" t="s">
        <v>114</v>
      </c>
      <c r="G149" s="5" t="s">
        <v>95</v>
      </c>
      <c r="H149" t="s">
        <v>63</v>
      </c>
      <c r="I149" t="s">
        <v>190</v>
      </c>
      <c r="J149" t="s">
        <v>191</v>
      </c>
      <c r="K149" t="s">
        <v>41</v>
      </c>
      <c r="L149" t="s">
        <v>57</v>
      </c>
      <c r="M149" t="s">
        <v>555</v>
      </c>
      <c r="N149" t="s">
        <v>50</v>
      </c>
      <c r="O149">
        <v>8</v>
      </c>
      <c r="P149">
        <v>386.1</v>
      </c>
      <c r="Q149" s="6">
        <v>0.1</v>
      </c>
      <c r="R149" s="8">
        <f t="shared" si="8"/>
        <v>0.1</v>
      </c>
      <c r="S149">
        <v>2779.92</v>
      </c>
      <c r="T149">
        <v>1744.05</v>
      </c>
      <c r="U149">
        <v>1035.8699999999999</v>
      </c>
      <c r="V149" t="s">
        <v>32</v>
      </c>
      <c r="W149" t="s">
        <v>33</v>
      </c>
      <c r="X149" t="str">
        <f t="shared" si="11"/>
        <v/>
      </c>
      <c r="Y149" t="str">
        <f t="shared" si="9"/>
        <v>Exclude</v>
      </c>
    </row>
    <row r="150" spans="1:25">
      <c r="A150" t="s">
        <v>556</v>
      </c>
      <c r="B150" s="3">
        <v>45697</v>
      </c>
      <c r="C150" s="3">
        <v>45701</v>
      </c>
      <c r="D150" s="6">
        <f t="shared" si="10"/>
        <v>4</v>
      </c>
      <c r="E150" t="s">
        <v>557</v>
      </c>
      <c r="F150" t="s">
        <v>36</v>
      </c>
      <c r="G150" s="5" t="s">
        <v>95</v>
      </c>
      <c r="H150" t="s">
        <v>63</v>
      </c>
      <c r="I150" t="s">
        <v>72</v>
      </c>
      <c r="J150" t="s">
        <v>73</v>
      </c>
      <c r="K150" t="s">
        <v>74</v>
      </c>
      <c r="L150" t="s">
        <v>171</v>
      </c>
      <c r="M150" t="s">
        <v>558</v>
      </c>
      <c r="N150" t="s">
        <v>2806</v>
      </c>
      <c r="O150">
        <v>8</v>
      </c>
      <c r="P150">
        <v>1696.07</v>
      </c>
      <c r="Q150" s="6">
        <v>0.25</v>
      </c>
      <c r="R150" s="8">
        <f t="shared" si="8"/>
        <v>0.25</v>
      </c>
      <c r="S150">
        <v>10176.42</v>
      </c>
      <c r="T150">
        <v>7604.47</v>
      </c>
      <c r="U150">
        <v>2571.9499999999998</v>
      </c>
      <c r="V150" t="s">
        <v>32</v>
      </c>
      <c r="W150" t="s">
        <v>33</v>
      </c>
      <c r="X150" t="str">
        <f t="shared" si="11"/>
        <v/>
      </c>
      <c r="Y150" t="str">
        <f t="shared" si="9"/>
        <v>Exclude</v>
      </c>
    </row>
    <row r="151" spans="1:25">
      <c r="A151" t="s">
        <v>559</v>
      </c>
      <c r="B151" s="3">
        <v>45321</v>
      </c>
      <c r="C151" s="3">
        <v>45321</v>
      </c>
      <c r="D151" s="6">
        <f t="shared" si="10"/>
        <v>0</v>
      </c>
      <c r="E151" t="s">
        <v>560</v>
      </c>
      <c r="F151" t="s">
        <v>128</v>
      </c>
      <c r="G151" s="5" t="s">
        <v>37</v>
      </c>
      <c r="H151" t="s">
        <v>63</v>
      </c>
      <c r="I151" t="s">
        <v>26</v>
      </c>
      <c r="J151" t="s">
        <v>109</v>
      </c>
      <c r="K151" t="s">
        <v>74</v>
      </c>
      <c r="L151" t="s">
        <v>80</v>
      </c>
      <c r="M151" t="s">
        <v>561</v>
      </c>
      <c r="N151" t="s">
        <v>44</v>
      </c>
      <c r="O151">
        <v>7</v>
      </c>
      <c r="P151">
        <v>2527.61</v>
      </c>
      <c r="Q151" s="6">
        <v>0.25</v>
      </c>
      <c r="R151" s="8">
        <f t="shared" si="8"/>
        <v>0.25</v>
      </c>
      <c r="S151">
        <v>13269.95</v>
      </c>
      <c r="T151">
        <v>8977.1</v>
      </c>
      <c r="U151">
        <v>4292.8500000000004</v>
      </c>
      <c r="V151" t="s">
        <v>32</v>
      </c>
      <c r="W151" t="s">
        <v>33</v>
      </c>
      <c r="X151" t="str">
        <f t="shared" si="11"/>
        <v/>
      </c>
      <c r="Y151" t="str">
        <f t="shared" si="9"/>
        <v>Exclude</v>
      </c>
    </row>
    <row r="152" spans="1:25">
      <c r="A152" t="s">
        <v>562</v>
      </c>
      <c r="B152" s="3">
        <v>45355</v>
      </c>
      <c r="C152" s="3">
        <v>45629</v>
      </c>
      <c r="D152" s="6">
        <f t="shared" si="10"/>
        <v>274</v>
      </c>
      <c r="E152" t="s">
        <v>563</v>
      </c>
      <c r="F152" t="s">
        <v>53</v>
      </c>
      <c r="G152" s="5" t="s">
        <v>24</v>
      </c>
      <c r="H152" t="s">
        <v>2806</v>
      </c>
      <c r="I152" t="s">
        <v>180</v>
      </c>
      <c r="J152" t="s">
        <v>181</v>
      </c>
      <c r="K152" t="s">
        <v>41</v>
      </c>
      <c r="L152" t="s">
        <v>158</v>
      </c>
      <c r="M152" t="s">
        <v>564</v>
      </c>
      <c r="N152" t="s">
        <v>50</v>
      </c>
      <c r="O152">
        <v>1</v>
      </c>
      <c r="P152">
        <v>1554.12</v>
      </c>
      <c r="Q152" s="6">
        <v>0.1</v>
      </c>
      <c r="R152" s="8">
        <f t="shared" si="8"/>
        <v>0.1</v>
      </c>
      <c r="S152">
        <v>1398.71</v>
      </c>
      <c r="T152">
        <v>1056.92</v>
      </c>
      <c r="U152">
        <v>341.79</v>
      </c>
      <c r="V152" t="s">
        <v>32</v>
      </c>
      <c r="W152" t="s">
        <v>33</v>
      </c>
      <c r="X152" t="str">
        <f t="shared" si="11"/>
        <v/>
      </c>
      <c r="Y152" t="str">
        <f t="shared" si="9"/>
        <v>Exclude</v>
      </c>
    </row>
    <row r="153" spans="1:25">
      <c r="A153" t="s">
        <v>565</v>
      </c>
      <c r="B153" s="3">
        <v>45470</v>
      </c>
      <c r="C153" s="3">
        <v>45470</v>
      </c>
      <c r="D153" s="6">
        <f t="shared" si="10"/>
        <v>0</v>
      </c>
      <c r="E153" t="s">
        <v>566</v>
      </c>
      <c r="F153" t="s">
        <v>79</v>
      </c>
      <c r="G153" s="5" t="s">
        <v>95</v>
      </c>
      <c r="H153" t="s">
        <v>2806</v>
      </c>
      <c r="I153" t="s">
        <v>72</v>
      </c>
      <c r="J153" t="s">
        <v>73</v>
      </c>
      <c r="K153" t="s">
        <v>74</v>
      </c>
      <c r="L153" t="s">
        <v>80</v>
      </c>
      <c r="M153" t="s">
        <v>567</v>
      </c>
      <c r="N153" t="s">
        <v>59</v>
      </c>
      <c r="O153">
        <v>2</v>
      </c>
      <c r="P153">
        <v>3859.11</v>
      </c>
      <c r="Q153" s="6">
        <v>0</v>
      </c>
      <c r="R153" s="8">
        <f t="shared" si="8"/>
        <v>0</v>
      </c>
      <c r="S153">
        <v>7718.22</v>
      </c>
      <c r="T153">
        <v>5355.93</v>
      </c>
      <c r="U153">
        <v>2362.29</v>
      </c>
      <c r="V153" t="s">
        <v>111</v>
      </c>
      <c r="W153" t="s">
        <v>103</v>
      </c>
      <c r="X153" t="str">
        <f t="shared" si="11"/>
        <v/>
      </c>
      <c r="Y153" t="str">
        <f t="shared" si="9"/>
        <v>Exclude</v>
      </c>
    </row>
    <row r="154" spans="1:25">
      <c r="A154" t="s">
        <v>568</v>
      </c>
      <c r="B154" s="3">
        <v>45457</v>
      </c>
      <c r="C154" s="3">
        <v>45460</v>
      </c>
      <c r="D154" s="6">
        <f t="shared" si="10"/>
        <v>3</v>
      </c>
      <c r="E154" t="s">
        <v>569</v>
      </c>
      <c r="F154" t="s">
        <v>265</v>
      </c>
      <c r="G154" s="5" t="s">
        <v>37</v>
      </c>
      <c r="H154" t="s">
        <v>54</v>
      </c>
      <c r="I154" t="s">
        <v>185</v>
      </c>
      <c r="J154" t="s">
        <v>186</v>
      </c>
      <c r="K154" t="s">
        <v>41</v>
      </c>
      <c r="L154" t="s">
        <v>42</v>
      </c>
      <c r="M154" t="s">
        <v>570</v>
      </c>
      <c r="N154" t="s">
        <v>31</v>
      </c>
      <c r="O154">
        <v>6</v>
      </c>
      <c r="P154">
        <v>1088.04</v>
      </c>
      <c r="Q154" s="6">
        <v>0.1</v>
      </c>
      <c r="R154" s="8">
        <f t="shared" si="8"/>
        <v>0.1</v>
      </c>
      <c r="S154">
        <v>5875.42</v>
      </c>
      <c r="T154">
        <v>4380.55</v>
      </c>
      <c r="U154">
        <v>1494.87</v>
      </c>
      <c r="V154" t="s">
        <v>111</v>
      </c>
      <c r="W154" t="s">
        <v>103</v>
      </c>
      <c r="X154" t="str">
        <f t="shared" si="11"/>
        <v/>
      </c>
      <c r="Y154" t="str">
        <f t="shared" si="9"/>
        <v>Exclude</v>
      </c>
    </row>
    <row r="155" spans="1:25">
      <c r="A155" t="s">
        <v>571</v>
      </c>
      <c r="B155" s="3">
        <v>45923</v>
      </c>
      <c r="C155" s="3">
        <v>45925</v>
      </c>
      <c r="D155" s="6">
        <f t="shared" si="10"/>
        <v>2</v>
      </c>
      <c r="E155" t="s">
        <v>572</v>
      </c>
      <c r="F155" t="s">
        <v>89</v>
      </c>
      <c r="G155" s="5" t="s">
        <v>24</v>
      </c>
      <c r="H155" t="s">
        <v>38</v>
      </c>
      <c r="I155" t="s">
        <v>39</v>
      </c>
      <c r="J155" t="s">
        <v>40</v>
      </c>
      <c r="K155" t="s">
        <v>28</v>
      </c>
      <c r="L155" t="s">
        <v>91</v>
      </c>
      <c r="M155" t="s">
        <v>573</v>
      </c>
      <c r="N155" t="s">
        <v>59</v>
      </c>
      <c r="O155">
        <v>7</v>
      </c>
      <c r="P155">
        <v>3280.31</v>
      </c>
      <c r="Q155" s="6">
        <v>0</v>
      </c>
      <c r="R155" s="8">
        <f t="shared" si="8"/>
        <v>0</v>
      </c>
      <c r="S155">
        <v>22962.17</v>
      </c>
      <c r="T155">
        <v>15716.5</v>
      </c>
      <c r="U155">
        <v>7245.67</v>
      </c>
      <c r="V155" t="s">
        <v>102</v>
      </c>
      <c r="W155" t="s">
        <v>103</v>
      </c>
      <c r="X155" t="str">
        <f t="shared" si="11"/>
        <v>REFUND: Summarize separately</v>
      </c>
      <c r="Y155" t="str">
        <f t="shared" si="9"/>
        <v>Exclude</v>
      </c>
    </row>
    <row r="156" spans="1:25">
      <c r="A156" t="s">
        <v>574</v>
      </c>
      <c r="B156" s="3">
        <v>45334</v>
      </c>
      <c r="C156" s="3">
        <v>45598</v>
      </c>
      <c r="D156" s="6">
        <f t="shared" si="10"/>
        <v>264</v>
      </c>
      <c r="E156" t="s">
        <v>456</v>
      </c>
      <c r="F156" t="s">
        <v>114</v>
      </c>
      <c r="G156" s="5" t="s">
        <v>24</v>
      </c>
      <c r="H156" t="s">
        <v>54</v>
      </c>
      <c r="I156" t="s">
        <v>248</v>
      </c>
      <c r="J156" t="s">
        <v>249</v>
      </c>
      <c r="K156" t="s">
        <v>41</v>
      </c>
      <c r="L156" t="s">
        <v>158</v>
      </c>
      <c r="M156" t="s">
        <v>575</v>
      </c>
      <c r="N156" t="s">
        <v>44</v>
      </c>
      <c r="O156">
        <v>1</v>
      </c>
      <c r="P156">
        <v>2599.12</v>
      </c>
      <c r="Q156" s="6">
        <v>0.15</v>
      </c>
      <c r="R156" s="8">
        <f t="shared" si="8"/>
        <v>0.15</v>
      </c>
      <c r="S156">
        <v>2209.25</v>
      </c>
      <c r="T156">
        <v>1523.78</v>
      </c>
      <c r="U156">
        <v>685.47</v>
      </c>
      <c r="V156" t="s">
        <v>32</v>
      </c>
      <c r="W156" t="s">
        <v>33</v>
      </c>
      <c r="X156" t="str">
        <f t="shared" si="11"/>
        <v/>
      </c>
      <c r="Y156" t="str">
        <f t="shared" si="9"/>
        <v>Exclude</v>
      </c>
    </row>
    <row r="157" spans="1:25">
      <c r="A157" t="s">
        <v>576</v>
      </c>
      <c r="B157" s="3">
        <v>45683</v>
      </c>
      <c r="C157" s="3">
        <v>45718</v>
      </c>
      <c r="D157" s="6">
        <f t="shared" si="10"/>
        <v>35</v>
      </c>
      <c r="E157" t="s">
        <v>577</v>
      </c>
      <c r="F157" t="s">
        <v>23</v>
      </c>
      <c r="G157" s="5" t="s">
        <v>90</v>
      </c>
      <c r="H157" t="s">
        <v>63</v>
      </c>
      <c r="I157" t="s">
        <v>26</v>
      </c>
      <c r="J157" t="s">
        <v>109</v>
      </c>
      <c r="K157" t="s">
        <v>41</v>
      </c>
      <c r="L157" t="s">
        <v>57</v>
      </c>
      <c r="M157" t="s">
        <v>578</v>
      </c>
      <c r="N157" t="s">
        <v>44</v>
      </c>
      <c r="O157">
        <v>3</v>
      </c>
      <c r="P157">
        <v>2859.32</v>
      </c>
      <c r="Q157" s="6">
        <v>0.1</v>
      </c>
      <c r="R157" s="8">
        <f t="shared" si="8"/>
        <v>0.1</v>
      </c>
      <c r="S157">
        <v>7720.16</v>
      </c>
      <c r="T157">
        <v>5881</v>
      </c>
      <c r="U157">
        <v>1839.16</v>
      </c>
      <c r="V157" t="s">
        <v>102</v>
      </c>
      <c r="W157" t="s">
        <v>103</v>
      </c>
      <c r="X157" t="str">
        <f t="shared" si="11"/>
        <v>REFUND: Summarize separately</v>
      </c>
      <c r="Y157" t="str">
        <f t="shared" si="9"/>
        <v>Exclude</v>
      </c>
    </row>
    <row r="158" spans="1:25">
      <c r="A158" t="s">
        <v>579</v>
      </c>
      <c r="B158" s="3">
        <v>45743</v>
      </c>
      <c r="C158" s="3">
        <v>45743</v>
      </c>
      <c r="D158" s="6">
        <f t="shared" si="10"/>
        <v>0</v>
      </c>
      <c r="E158" t="s">
        <v>580</v>
      </c>
      <c r="F158" t="s">
        <v>71</v>
      </c>
      <c r="G158" s="5" t="s">
        <v>37</v>
      </c>
      <c r="H158" t="s">
        <v>38</v>
      </c>
      <c r="I158" t="s">
        <v>145</v>
      </c>
      <c r="J158" t="s">
        <v>146</v>
      </c>
      <c r="K158" t="s">
        <v>74</v>
      </c>
      <c r="L158" t="s">
        <v>275</v>
      </c>
      <c r="M158" t="s">
        <v>581</v>
      </c>
      <c r="N158" t="s">
        <v>31</v>
      </c>
      <c r="O158">
        <v>7</v>
      </c>
      <c r="P158">
        <v>2305.37</v>
      </c>
      <c r="Q158" s="6">
        <v>0.25</v>
      </c>
      <c r="R158" s="8">
        <f t="shared" si="8"/>
        <v>0.25</v>
      </c>
      <c r="S158">
        <v>12103.19</v>
      </c>
      <c r="T158">
        <v>6717.87</v>
      </c>
      <c r="U158">
        <v>5385.32</v>
      </c>
      <c r="V158" t="s">
        <v>32</v>
      </c>
      <c r="W158" t="s">
        <v>33</v>
      </c>
      <c r="X158" t="str">
        <f t="shared" si="11"/>
        <v/>
      </c>
      <c r="Y158" t="str">
        <f t="shared" si="9"/>
        <v>Exclude</v>
      </c>
    </row>
    <row r="159" spans="1:25">
      <c r="A159" t="s">
        <v>582</v>
      </c>
      <c r="B159" s="3">
        <v>45587</v>
      </c>
      <c r="C159" s="3">
        <v>45589</v>
      </c>
      <c r="D159" s="6">
        <f t="shared" si="10"/>
        <v>2</v>
      </c>
      <c r="E159" t="s">
        <v>583</v>
      </c>
      <c r="F159" t="s">
        <v>141</v>
      </c>
      <c r="G159" s="5" t="s">
        <v>37</v>
      </c>
      <c r="H159" t="s">
        <v>54</v>
      </c>
      <c r="I159" t="s">
        <v>84</v>
      </c>
      <c r="J159" t="s">
        <v>85</v>
      </c>
      <c r="K159" t="s">
        <v>41</v>
      </c>
      <c r="L159" t="s">
        <v>158</v>
      </c>
      <c r="M159" t="s">
        <v>584</v>
      </c>
      <c r="N159" t="s">
        <v>59</v>
      </c>
      <c r="O159">
        <v>3</v>
      </c>
      <c r="P159">
        <v>915.84</v>
      </c>
      <c r="Q159" s="6">
        <v>0.15</v>
      </c>
      <c r="R159" s="8">
        <f t="shared" si="8"/>
        <v>0.15</v>
      </c>
      <c r="S159">
        <v>2335.39</v>
      </c>
      <c r="T159">
        <v>1466.15</v>
      </c>
      <c r="U159">
        <v>869.24</v>
      </c>
      <c r="V159" t="s">
        <v>32</v>
      </c>
      <c r="W159" t="s">
        <v>33</v>
      </c>
      <c r="X159" t="str">
        <f t="shared" si="11"/>
        <v/>
      </c>
      <c r="Y159" t="str">
        <f t="shared" si="9"/>
        <v>Exclude</v>
      </c>
    </row>
    <row r="160" spans="1:25">
      <c r="A160" t="s">
        <v>585</v>
      </c>
      <c r="B160" s="3">
        <v>45544</v>
      </c>
      <c r="C160" s="3">
        <v>45605</v>
      </c>
      <c r="D160" s="6">
        <f t="shared" si="10"/>
        <v>61</v>
      </c>
      <c r="E160" t="s">
        <v>586</v>
      </c>
      <c r="F160" t="s">
        <v>79</v>
      </c>
      <c r="G160" s="5" t="s">
        <v>95</v>
      </c>
      <c r="H160" t="s">
        <v>54</v>
      </c>
      <c r="I160" t="s">
        <v>55</v>
      </c>
      <c r="J160" t="s">
        <v>56</v>
      </c>
      <c r="K160" t="s">
        <v>41</v>
      </c>
      <c r="L160" t="s">
        <v>158</v>
      </c>
      <c r="M160" t="s">
        <v>587</v>
      </c>
      <c r="N160" t="s">
        <v>50</v>
      </c>
      <c r="O160">
        <v>1</v>
      </c>
      <c r="P160">
        <v>4199.54</v>
      </c>
      <c r="Q160" s="6">
        <v>0.05</v>
      </c>
      <c r="R160" s="8">
        <f t="shared" si="8"/>
        <v>0.05</v>
      </c>
      <c r="S160">
        <v>3989.56</v>
      </c>
      <c r="T160">
        <v>2381.38</v>
      </c>
      <c r="U160">
        <v>1608.18</v>
      </c>
      <c r="V160" t="s">
        <v>32</v>
      </c>
      <c r="W160" t="s">
        <v>33</v>
      </c>
      <c r="X160" t="str">
        <f t="shared" si="11"/>
        <v/>
      </c>
      <c r="Y160" t="str">
        <f t="shared" si="9"/>
        <v>Exclude</v>
      </c>
    </row>
    <row r="161" spans="1:25">
      <c r="A161" t="s">
        <v>588</v>
      </c>
      <c r="B161" s="3">
        <v>45687</v>
      </c>
      <c r="C161" s="3">
        <v>45692</v>
      </c>
      <c r="D161" s="6">
        <f t="shared" si="10"/>
        <v>5</v>
      </c>
      <c r="E161" t="s">
        <v>589</v>
      </c>
      <c r="F161" t="s">
        <v>114</v>
      </c>
      <c r="G161" s="5" t="s">
        <v>90</v>
      </c>
      <c r="H161" t="s">
        <v>25</v>
      </c>
      <c r="I161" t="s">
        <v>237</v>
      </c>
      <c r="J161" t="s">
        <v>238</v>
      </c>
      <c r="K161" t="s">
        <v>41</v>
      </c>
      <c r="L161" t="s">
        <v>66</v>
      </c>
      <c r="M161" t="s">
        <v>590</v>
      </c>
      <c r="N161" t="s">
        <v>44</v>
      </c>
      <c r="O161">
        <v>9</v>
      </c>
      <c r="P161">
        <v>4430.5</v>
      </c>
      <c r="Q161" s="6">
        <v>0.15</v>
      </c>
      <c r="R161" s="8">
        <f t="shared" si="8"/>
        <v>0.15</v>
      </c>
      <c r="S161">
        <v>33893.32</v>
      </c>
      <c r="T161">
        <v>25750.35</v>
      </c>
      <c r="U161">
        <v>8142.97</v>
      </c>
      <c r="V161" t="s">
        <v>111</v>
      </c>
      <c r="W161" t="s">
        <v>68</v>
      </c>
      <c r="X161" t="str">
        <f t="shared" si="11"/>
        <v>EXCLUDE: Cancelled order</v>
      </c>
      <c r="Y161" t="str">
        <f t="shared" si="9"/>
        <v>Exclude</v>
      </c>
    </row>
    <row r="162" spans="1:25">
      <c r="A162" t="s">
        <v>591</v>
      </c>
      <c r="B162" s="3">
        <v>45938</v>
      </c>
      <c r="C162" s="3">
        <v>45818</v>
      </c>
      <c r="D162" s="6">
        <f t="shared" si="10"/>
        <v>-120</v>
      </c>
      <c r="E162" t="s">
        <v>592</v>
      </c>
      <c r="F162" t="s">
        <v>71</v>
      </c>
      <c r="G162" s="5" t="s">
        <v>37</v>
      </c>
      <c r="H162" t="s">
        <v>63</v>
      </c>
      <c r="I162" t="s">
        <v>64</v>
      </c>
      <c r="J162" t="s">
        <v>65</v>
      </c>
      <c r="K162" t="s">
        <v>28</v>
      </c>
      <c r="L162" t="s">
        <v>29</v>
      </c>
      <c r="M162" t="s">
        <v>593</v>
      </c>
      <c r="N162" t="s">
        <v>31</v>
      </c>
      <c r="O162">
        <v>4</v>
      </c>
      <c r="P162">
        <v>1260.42</v>
      </c>
      <c r="Q162" s="6">
        <v>0.05</v>
      </c>
      <c r="R162" s="8">
        <f t="shared" si="8"/>
        <v>0.05</v>
      </c>
      <c r="S162">
        <v>4789.6000000000004</v>
      </c>
      <c r="T162">
        <v>4037.64</v>
      </c>
      <c r="U162">
        <v>751.96</v>
      </c>
      <c r="V162" t="s">
        <v>111</v>
      </c>
      <c r="W162" t="s">
        <v>68</v>
      </c>
      <c r="X162" t="str">
        <f t="shared" si="11"/>
        <v>INVALID: Ship date before order date; EXCLUDE: Cancelled order</v>
      </c>
      <c r="Y162" t="str">
        <f t="shared" si="9"/>
        <v>Exclude</v>
      </c>
    </row>
    <row r="163" spans="1:25">
      <c r="A163" t="s">
        <v>594</v>
      </c>
      <c r="B163" s="3">
        <v>45862</v>
      </c>
      <c r="C163" s="3">
        <v>45868</v>
      </c>
      <c r="D163" s="6">
        <f t="shared" si="10"/>
        <v>6</v>
      </c>
      <c r="E163" t="s">
        <v>595</v>
      </c>
      <c r="F163" t="s">
        <v>53</v>
      </c>
      <c r="G163" s="5" t="s">
        <v>24</v>
      </c>
      <c r="H163" t="s">
        <v>63</v>
      </c>
      <c r="I163" t="s">
        <v>26</v>
      </c>
      <c r="J163" t="s">
        <v>109</v>
      </c>
      <c r="K163" t="s">
        <v>28</v>
      </c>
      <c r="L163" t="s">
        <v>153</v>
      </c>
      <c r="M163" t="s">
        <v>596</v>
      </c>
      <c r="N163" t="s">
        <v>59</v>
      </c>
      <c r="O163">
        <v>1</v>
      </c>
      <c r="P163">
        <v>1643.41</v>
      </c>
      <c r="Q163" s="6">
        <v>0</v>
      </c>
      <c r="R163" s="8">
        <f t="shared" si="8"/>
        <v>0</v>
      </c>
      <c r="S163">
        <v>1643.41</v>
      </c>
      <c r="T163">
        <v>907.4</v>
      </c>
      <c r="U163">
        <v>736.01</v>
      </c>
      <c r="V163" t="s">
        <v>111</v>
      </c>
      <c r="W163" t="s">
        <v>68</v>
      </c>
      <c r="X163" t="str">
        <f t="shared" si="11"/>
        <v>EXCLUDE: Cancelled order</v>
      </c>
      <c r="Y163" t="str">
        <f t="shared" si="9"/>
        <v>Exclude</v>
      </c>
    </row>
    <row r="164" spans="1:25">
      <c r="A164" t="s">
        <v>597</v>
      </c>
      <c r="B164" s="3">
        <v>45360</v>
      </c>
      <c r="C164" s="3">
        <v>45365</v>
      </c>
      <c r="D164" s="6">
        <f t="shared" si="10"/>
        <v>5</v>
      </c>
      <c r="E164" t="s">
        <v>598</v>
      </c>
      <c r="F164" t="s">
        <v>79</v>
      </c>
      <c r="G164" s="5" t="s">
        <v>37</v>
      </c>
      <c r="H164" t="s">
        <v>63</v>
      </c>
      <c r="I164" t="s">
        <v>190</v>
      </c>
      <c r="J164" t="s">
        <v>191</v>
      </c>
      <c r="K164" t="s">
        <v>41</v>
      </c>
      <c r="L164" t="s">
        <v>57</v>
      </c>
      <c r="M164" t="s">
        <v>599</v>
      </c>
      <c r="N164" t="s">
        <v>31</v>
      </c>
      <c r="O164">
        <v>8</v>
      </c>
      <c r="P164">
        <v>4472.84</v>
      </c>
      <c r="Q164" s="6">
        <v>0</v>
      </c>
      <c r="R164" s="8">
        <f t="shared" si="8"/>
        <v>0</v>
      </c>
      <c r="S164">
        <v>35997.620000000003</v>
      </c>
      <c r="T164">
        <v>26424.41</v>
      </c>
      <c r="U164">
        <v>9358.31</v>
      </c>
      <c r="V164" t="s">
        <v>111</v>
      </c>
      <c r="W164" t="s">
        <v>103</v>
      </c>
      <c r="X164" t="str">
        <f t="shared" si="11"/>
        <v/>
      </c>
      <c r="Y164" t="str">
        <f t="shared" si="9"/>
        <v>Exclude</v>
      </c>
    </row>
    <row r="165" spans="1:25">
      <c r="A165" t="s">
        <v>600</v>
      </c>
      <c r="B165" s="3">
        <v>45921</v>
      </c>
      <c r="C165" s="3">
        <v>45926</v>
      </c>
      <c r="D165" s="6">
        <f t="shared" si="10"/>
        <v>5</v>
      </c>
      <c r="E165" t="s">
        <v>601</v>
      </c>
      <c r="F165" t="s">
        <v>141</v>
      </c>
      <c r="G165" s="5" t="s">
        <v>95</v>
      </c>
      <c r="H165" t="s">
        <v>63</v>
      </c>
      <c r="I165" t="s">
        <v>180</v>
      </c>
      <c r="J165" t="s">
        <v>181</v>
      </c>
      <c r="K165" t="s">
        <v>41</v>
      </c>
      <c r="L165" t="s">
        <v>42</v>
      </c>
      <c r="M165" t="s">
        <v>602</v>
      </c>
      <c r="N165" t="s">
        <v>2806</v>
      </c>
      <c r="O165">
        <v>6</v>
      </c>
      <c r="P165">
        <v>2903.58</v>
      </c>
      <c r="Q165" s="6">
        <v>0.1</v>
      </c>
      <c r="R165" s="8">
        <f t="shared" si="8"/>
        <v>0.1</v>
      </c>
      <c r="S165">
        <v>15679.33</v>
      </c>
      <c r="T165">
        <v>12477.82</v>
      </c>
      <c r="U165">
        <v>3201.51</v>
      </c>
      <c r="V165" t="s">
        <v>111</v>
      </c>
      <c r="W165" t="s">
        <v>103</v>
      </c>
      <c r="X165" t="str">
        <f t="shared" si="11"/>
        <v/>
      </c>
      <c r="Y165" t="str">
        <f t="shared" si="9"/>
        <v>Exclude</v>
      </c>
    </row>
    <row r="166" spans="1:25">
      <c r="A166" t="s">
        <v>603</v>
      </c>
      <c r="B166" s="3">
        <v>45909</v>
      </c>
      <c r="C166" s="3">
        <v>45914</v>
      </c>
      <c r="D166" s="6">
        <f t="shared" si="10"/>
        <v>5</v>
      </c>
      <c r="E166" t="s">
        <v>604</v>
      </c>
      <c r="F166" t="s">
        <v>118</v>
      </c>
      <c r="G166" s="5" t="s">
        <v>37</v>
      </c>
      <c r="H166" t="s">
        <v>38</v>
      </c>
      <c r="I166" t="s">
        <v>99</v>
      </c>
      <c r="J166" t="s">
        <v>100</v>
      </c>
      <c r="K166" t="s">
        <v>41</v>
      </c>
      <c r="L166" t="s">
        <v>158</v>
      </c>
      <c r="M166" t="s">
        <v>605</v>
      </c>
      <c r="N166" t="s">
        <v>31</v>
      </c>
      <c r="O166">
        <v>1</v>
      </c>
      <c r="P166">
        <v>3154.42</v>
      </c>
      <c r="Q166" s="6">
        <v>0.25</v>
      </c>
      <c r="R166" s="8">
        <f t="shared" si="8"/>
        <v>0.25</v>
      </c>
      <c r="S166">
        <v>2365.8200000000002</v>
      </c>
      <c r="T166">
        <v>1547.99</v>
      </c>
      <c r="U166">
        <v>817.83</v>
      </c>
      <c r="V166" t="s">
        <v>32</v>
      </c>
      <c r="W166" t="s">
        <v>33</v>
      </c>
      <c r="X166" t="str">
        <f t="shared" si="11"/>
        <v/>
      </c>
      <c r="Y166" t="str">
        <f t="shared" si="9"/>
        <v>Exclude</v>
      </c>
    </row>
    <row r="167" spans="1:25">
      <c r="A167" t="s">
        <v>606</v>
      </c>
      <c r="B167" s="3">
        <v>45618</v>
      </c>
      <c r="C167" s="3">
        <v>45625</v>
      </c>
      <c r="D167" s="6">
        <f t="shared" si="10"/>
        <v>7</v>
      </c>
      <c r="E167" t="s">
        <v>607</v>
      </c>
      <c r="F167" t="s">
        <v>36</v>
      </c>
      <c r="G167" s="5" t="s">
        <v>95</v>
      </c>
      <c r="H167" t="s">
        <v>38</v>
      </c>
      <c r="I167" t="s">
        <v>145</v>
      </c>
      <c r="J167" t="s">
        <v>146</v>
      </c>
      <c r="K167" t="s">
        <v>41</v>
      </c>
      <c r="L167" t="s">
        <v>66</v>
      </c>
      <c r="M167" t="s">
        <v>608</v>
      </c>
      <c r="N167" t="s">
        <v>59</v>
      </c>
      <c r="O167">
        <v>4</v>
      </c>
      <c r="P167">
        <v>3422.99</v>
      </c>
      <c r="Q167" s="6">
        <v>0.25</v>
      </c>
      <c r="R167" s="8">
        <f t="shared" si="8"/>
        <v>0.25</v>
      </c>
      <c r="S167">
        <v>10268.969999999999</v>
      </c>
      <c r="T167">
        <v>6470.92</v>
      </c>
      <c r="U167">
        <v>3798.05</v>
      </c>
      <c r="V167" t="s">
        <v>32</v>
      </c>
      <c r="W167" t="s">
        <v>33</v>
      </c>
      <c r="X167" t="str">
        <f t="shared" si="11"/>
        <v/>
      </c>
      <c r="Y167" t="str">
        <f t="shared" si="9"/>
        <v>Exclude</v>
      </c>
    </row>
    <row r="168" spans="1:25">
      <c r="A168" t="s">
        <v>609</v>
      </c>
      <c r="B168" s="3">
        <v>45708</v>
      </c>
      <c r="C168" s="3">
        <v>45714</v>
      </c>
      <c r="D168" s="6">
        <f t="shared" si="10"/>
        <v>6</v>
      </c>
      <c r="E168" t="s">
        <v>610</v>
      </c>
      <c r="F168" t="s">
        <v>23</v>
      </c>
      <c r="G168" s="5" t="s">
        <v>37</v>
      </c>
      <c r="H168" t="s">
        <v>63</v>
      </c>
      <c r="I168" t="s">
        <v>180</v>
      </c>
      <c r="J168" t="s">
        <v>181</v>
      </c>
      <c r="K168" t="s">
        <v>611</v>
      </c>
      <c r="L168" t="s">
        <v>91</v>
      </c>
      <c r="M168" t="s">
        <v>612</v>
      </c>
      <c r="N168" t="s">
        <v>50</v>
      </c>
      <c r="O168">
        <v>1</v>
      </c>
      <c r="P168">
        <v>2557.85</v>
      </c>
      <c r="Q168" s="6">
        <v>0.2</v>
      </c>
      <c r="R168" s="8">
        <f t="shared" si="8"/>
        <v>0.2</v>
      </c>
      <c r="S168">
        <v>2046.28</v>
      </c>
      <c r="T168">
        <v>1449.54</v>
      </c>
      <c r="U168">
        <v>596.74</v>
      </c>
      <c r="V168" t="s">
        <v>32</v>
      </c>
      <c r="W168" t="s">
        <v>33</v>
      </c>
      <c r="X168" t="str">
        <f t="shared" si="11"/>
        <v/>
      </c>
      <c r="Y168" t="str">
        <f t="shared" si="9"/>
        <v>Exclude</v>
      </c>
    </row>
    <row r="169" spans="1:25">
      <c r="A169" t="s">
        <v>613</v>
      </c>
      <c r="B169" s="3">
        <v>45887</v>
      </c>
      <c r="C169" s="3">
        <v>45887</v>
      </c>
      <c r="D169" s="6">
        <f t="shared" si="10"/>
        <v>0</v>
      </c>
      <c r="E169" t="s">
        <v>614</v>
      </c>
      <c r="F169" t="s">
        <v>53</v>
      </c>
      <c r="G169" s="5" t="s">
        <v>95</v>
      </c>
      <c r="H169" t="s">
        <v>54</v>
      </c>
      <c r="I169" t="s">
        <v>175</v>
      </c>
      <c r="J169" t="s">
        <v>176</v>
      </c>
      <c r="K169" t="s">
        <v>28</v>
      </c>
      <c r="L169" t="s">
        <v>124</v>
      </c>
      <c r="M169" t="s">
        <v>615</v>
      </c>
      <c r="N169" t="s">
        <v>50</v>
      </c>
      <c r="O169">
        <v>9</v>
      </c>
      <c r="P169">
        <v>3030.93</v>
      </c>
      <c r="Q169" s="6">
        <v>0.15</v>
      </c>
      <c r="R169" s="8">
        <f t="shared" si="8"/>
        <v>0.15</v>
      </c>
      <c r="S169">
        <v>23186.61</v>
      </c>
      <c r="T169">
        <v>17906.54</v>
      </c>
      <c r="U169">
        <v>5280.07</v>
      </c>
      <c r="V169" t="s">
        <v>32</v>
      </c>
      <c r="W169" t="s">
        <v>103</v>
      </c>
      <c r="X169" t="str">
        <f t="shared" si="11"/>
        <v/>
      </c>
      <c r="Y169" t="str">
        <f t="shared" si="9"/>
        <v>Exclude</v>
      </c>
    </row>
    <row r="170" spans="1:25">
      <c r="A170" t="s">
        <v>616</v>
      </c>
      <c r="B170" s="3">
        <v>45677</v>
      </c>
      <c r="C170" s="3">
        <v>45680</v>
      </c>
      <c r="D170" s="6">
        <f t="shared" si="10"/>
        <v>3</v>
      </c>
      <c r="E170" t="s">
        <v>617</v>
      </c>
      <c r="F170" t="s">
        <v>265</v>
      </c>
      <c r="G170" s="5" t="s">
        <v>24</v>
      </c>
      <c r="H170" t="s">
        <v>63</v>
      </c>
      <c r="I170" t="s">
        <v>64</v>
      </c>
      <c r="J170" t="s">
        <v>65</v>
      </c>
      <c r="K170" t="s">
        <v>74</v>
      </c>
      <c r="L170" t="s">
        <v>75</v>
      </c>
      <c r="M170" t="s">
        <v>618</v>
      </c>
      <c r="N170" t="s">
        <v>44</v>
      </c>
      <c r="O170">
        <v>5</v>
      </c>
      <c r="P170">
        <v>639.27</v>
      </c>
      <c r="Q170" s="6">
        <v>0.2</v>
      </c>
      <c r="R170" s="8">
        <f t="shared" si="8"/>
        <v>0.2</v>
      </c>
      <c r="S170">
        <v>2557.08</v>
      </c>
      <c r="T170">
        <v>2025.69</v>
      </c>
      <c r="U170">
        <v>531.39</v>
      </c>
      <c r="V170" t="s">
        <v>32</v>
      </c>
      <c r="W170" t="s">
        <v>68</v>
      </c>
      <c r="X170" t="str">
        <f t="shared" si="11"/>
        <v>EXCLUDE: Cancelled order</v>
      </c>
      <c r="Y170" t="str">
        <f t="shared" si="9"/>
        <v>Exclude</v>
      </c>
    </row>
    <row r="171" spans="1:25">
      <c r="A171" t="s">
        <v>619</v>
      </c>
      <c r="B171" s="3">
        <v>45913</v>
      </c>
      <c r="C171" s="3">
        <v>45913</v>
      </c>
      <c r="D171" s="6">
        <f t="shared" si="10"/>
        <v>0</v>
      </c>
      <c r="E171" t="s">
        <v>620</v>
      </c>
      <c r="F171" t="s">
        <v>162</v>
      </c>
      <c r="G171" s="5" t="s">
        <v>24</v>
      </c>
      <c r="H171" t="s">
        <v>38</v>
      </c>
      <c r="I171" t="s">
        <v>166</v>
      </c>
      <c r="J171" t="s">
        <v>167</v>
      </c>
      <c r="K171" t="s">
        <v>28</v>
      </c>
      <c r="L171" t="s">
        <v>48</v>
      </c>
      <c r="M171" t="s">
        <v>621</v>
      </c>
      <c r="N171" t="s">
        <v>59</v>
      </c>
      <c r="O171">
        <v>8</v>
      </c>
      <c r="P171">
        <v>733.9</v>
      </c>
      <c r="Q171" s="6">
        <v>0.05</v>
      </c>
      <c r="R171" s="8">
        <f t="shared" si="8"/>
        <v>0.05</v>
      </c>
      <c r="S171">
        <v>5577.64</v>
      </c>
      <c r="T171">
        <v>3541.29</v>
      </c>
      <c r="U171">
        <v>2036.35</v>
      </c>
      <c r="V171" t="s">
        <v>111</v>
      </c>
      <c r="W171" t="s">
        <v>103</v>
      </c>
      <c r="X171" t="str">
        <f t="shared" si="11"/>
        <v/>
      </c>
      <c r="Y171" t="str">
        <f t="shared" si="9"/>
        <v>Exclude</v>
      </c>
    </row>
    <row r="172" spans="1:25">
      <c r="A172" t="s">
        <v>622</v>
      </c>
      <c r="B172" s="3">
        <v>45907</v>
      </c>
      <c r="C172" s="3">
        <v>45915</v>
      </c>
      <c r="D172" s="6">
        <f t="shared" si="10"/>
        <v>8</v>
      </c>
      <c r="E172" t="s">
        <v>623</v>
      </c>
      <c r="F172" t="s">
        <v>141</v>
      </c>
      <c r="G172" s="5" t="s">
        <v>90</v>
      </c>
      <c r="H172" t="s">
        <v>38</v>
      </c>
      <c r="I172" t="s">
        <v>145</v>
      </c>
      <c r="J172" t="s">
        <v>146</v>
      </c>
      <c r="K172" t="s">
        <v>74</v>
      </c>
      <c r="L172" t="s">
        <v>80</v>
      </c>
      <c r="M172" t="s">
        <v>624</v>
      </c>
      <c r="N172" t="s">
        <v>59</v>
      </c>
      <c r="O172">
        <v>3</v>
      </c>
      <c r="P172">
        <v>1711.32</v>
      </c>
      <c r="Q172" s="6">
        <v>0</v>
      </c>
      <c r="R172" s="8">
        <f t="shared" si="8"/>
        <v>0</v>
      </c>
      <c r="S172">
        <v>5133.96</v>
      </c>
      <c r="T172">
        <v>3930</v>
      </c>
      <c r="U172">
        <v>1203.96</v>
      </c>
      <c r="V172" t="s">
        <v>32</v>
      </c>
      <c r="W172" t="s">
        <v>33</v>
      </c>
      <c r="X172" t="str">
        <f t="shared" si="11"/>
        <v/>
      </c>
      <c r="Y172" t="str">
        <f t="shared" si="9"/>
        <v>Exclude</v>
      </c>
    </row>
    <row r="173" spans="1:25">
      <c r="A173" t="s">
        <v>625</v>
      </c>
      <c r="B173" s="3">
        <v>45711</v>
      </c>
      <c r="C173" s="3">
        <v>45713</v>
      </c>
      <c r="D173" s="6">
        <f t="shared" si="10"/>
        <v>2</v>
      </c>
      <c r="E173" t="s">
        <v>626</v>
      </c>
      <c r="F173" t="s">
        <v>23</v>
      </c>
      <c r="G173" s="5" t="s">
        <v>90</v>
      </c>
      <c r="H173" t="s">
        <v>38</v>
      </c>
      <c r="I173" t="s">
        <v>145</v>
      </c>
      <c r="J173" t="s">
        <v>146</v>
      </c>
      <c r="K173" t="s">
        <v>28</v>
      </c>
      <c r="L173" t="s">
        <v>91</v>
      </c>
      <c r="M173" t="s">
        <v>627</v>
      </c>
      <c r="N173" t="s">
        <v>44</v>
      </c>
      <c r="O173">
        <v>5</v>
      </c>
      <c r="P173">
        <v>4246.2700000000004</v>
      </c>
      <c r="Q173" s="6">
        <v>0.25</v>
      </c>
      <c r="R173" s="8">
        <f t="shared" si="8"/>
        <v>0.25</v>
      </c>
      <c r="S173">
        <v>15923.51</v>
      </c>
      <c r="T173">
        <v>11291.8</v>
      </c>
      <c r="U173">
        <v>4631.71</v>
      </c>
      <c r="V173" t="s">
        <v>32</v>
      </c>
      <c r="W173" t="s">
        <v>33</v>
      </c>
      <c r="X173" t="str">
        <f t="shared" si="11"/>
        <v/>
      </c>
      <c r="Y173" t="str">
        <f t="shared" si="9"/>
        <v>Exclude</v>
      </c>
    </row>
    <row r="174" spans="1:25">
      <c r="A174" t="s">
        <v>628</v>
      </c>
      <c r="B174" s="3">
        <v>45871</v>
      </c>
      <c r="C174" s="3">
        <v>45879</v>
      </c>
      <c r="D174" s="6">
        <f t="shared" si="10"/>
        <v>8</v>
      </c>
      <c r="E174" t="s">
        <v>629</v>
      </c>
      <c r="F174" t="s">
        <v>23</v>
      </c>
      <c r="G174" s="5" t="s">
        <v>90</v>
      </c>
      <c r="H174" t="s">
        <v>25</v>
      </c>
      <c r="I174" t="s">
        <v>351</v>
      </c>
      <c r="J174" t="s">
        <v>352</v>
      </c>
      <c r="K174" t="s">
        <v>41</v>
      </c>
      <c r="L174" t="s">
        <v>57</v>
      </c>
      <c r="M174" t="s">
        <v>630</v>
      </c>
      <c r="N174" t="s">
        <v>44</v>
      </c>
      <c r="O174">
        <v>9</v>
      </c>
      <c r="P174">
        <v>2962.62</v>
      </c>
      <c r="Q174" s="6">
        <v>0.1</v>
      </c>
      <c r="R174" s="8">
        <f t="shared" si="8"/>
        <v>0.1</v>
      </c>
      <c r="S174">
        <v>23997.22</v>
      </c>
      <c r="T174">
        <v>16134.63</v>
      </c>
      <c r="U174">
        <v>7862.59</v>
      </c>
      <c r="V174" t="s">
        <v>102</v>
      </c>
      <c r="W174" t="s">
        <v>103</v>
      </c>
      <c r="X174" t="str">
        <f t="shared" si="11"/>
        <v>REFUND: Summarize separately</v>
      </c>
      <c r="Y174" t="str">
        <f t="shared" si="9"/>
        <v>Exclude</v>
      </c>
    </row>
    <row r="175" spans="1:25">
      <c r="A175" t="s">
        <v>631</v>
      </c>
      <c r="B175" s="3">
        <v>45414</v>
      </c>
      <c r="C175" s="3">
        <v>45509</v>
      </c>
      <c r="D175" s="6">
        <f t="shared" si="10"/>
        <v>95</v>
      </c>
      <c r="E175" t="s">
        <v>632</v>
      </c>
      <c r="F175" t="s">
        <v>114</v>
      </c>
      <c r="G175" s="5" t="s">
        <v>95</v>
      </c>
      <c r="H175" t="s">
        <v>25</v>
      </c>
      <c r="I175" t="s">
        <v>122</v>
      </c>
      <c r="J175" t="s">
        <v>123</v>
      </c>
      <c r="K175" t="s">
        <v>74</v>
      </c>
      <c r="L175" t="s">
        <v>80</v>
      </c>
      <c r="M175" t="s">
        <v>633</v>
      </c>
      <c r="N175" t="s">
        <v>31</v>
      </c>
      <c r="O175">
        <v>1</v>
      </c>
      <c r="P175">
        <v>2312.25</v>
      </c>
      <c r="Q175" s="6">
        <v>0.25</v>
      </c>
      <c r="R175" s="8">
        <f t="shared" si="8"/>
        <v>0.25</v>
      </c>
      <c r="S175">
        <v>1734.19</v>
      </c>
      <c r="T175">
        <v>1386.07</v>
      </c>
      <c r="U175">
        <v>348.12</v>
      </c>
      <c r="V175" t="s">
        <v>32</v>
      </c>
      <c r="W175" t="s">
        <v>33</v>
      </c>
      <c r="X175" t="str">
        <f t="shared" si="11"/>
        <v/>
      </c>
      <c r="Y175" t="str">
        <f t="shared" si="9"/>
        <v>Exclude</v>
      </c>
    </row>
    <row r="176" spans="1:25">
      <c r="A176" t="s">
        <v>634</v>
      </c>
      <c r="B176" s="3">
        <v>45928</v>
      </c>
      <c r="C176" s="3">
        <v>45934</v>
      </c>
      <c r="D176" s="6">
        <f t="shared" si="10"/>
        <v>6</v>
      </c>
      <c r="E176" t="s">
        <v>635</v>
      </c>
      <c r="F176" t="s">
        <v>23</v>
      </c>
      <c r="G176" s="5" t="s">
        <v>37</v>
      </c>
      <c r="H176" t="s">
        <v>54</v>
      </c>
      <c r="I176" t="s">
        <v>175</v>
      </c>
      <c r="J176" t="s">
        <v>176</v>
      </c>
      <c r="K176" t="s">
        <v>41</v>
      </c>
      <c r="L176" t="s">
        <v>158</v>
      </c>
      <c r="M176" t="s">
        <v>636</v>
      </c>
      <c r="N176" t="s">
        <v>50</v>
      </c>
      <c r="O176">
        <v>6</v>
      </c>
      <c r="P176">
        <v>1620.53</v>
      </c>
      <c r="Q176" s="6">
        <v>0.15</v>
      </c>
      <c r="R176" s="8">
        <f t="shared" si="8"/>
        <v>0.15</v>
      </c>
      <c r="S176">
        <v>8264.7000000000007</v>
      </c>
      <c r="T176">
        <v>4768.75</v>
      </c>
      <c r="U176">
        <v>3495.95</v>
      </c>
      <c r="V176" t="s">
        <v>111</v>
      </c>
      <c r="W176" t="s">
        <v>103</v>
      </c>
      <c r="X176" t="str">
        <f t="shared" si="11"/>
        <v/>
      </c>
      <c r="Y176" t="str">
        <f t="shared" si="9"/>
        <v>Exclude</v>
      </c>
    </row>
    <row r="177" spans="1:25">
      <c r="A177" t="s">
        <v>637</v>
      </c>
      <c r="B177" s="3">
        <v>45318</v>
      </c>
      <c r="C177" s="3">
        <v>45353</v>
      </c>
      <c r="D177" s="6">
        <f t="shared" si="10"/>
        <v>35</v>
      </c>
      <c r="E177" t="s">
        <v>638</v>
      </c>
      <c r="F177" t="s">
        <v>53</v>
      </c>
      <c r="G177" s="5" t="s">
        <v>37</v>
      </c>
      <c r="H177" t="s">
        <v>38</v>
      </c>
      <c r="I177" t="s">
        <v>145</v>
      </c>
      <c r="J177" t="s">
        <v>146</v>
      </c>
      <c r="K177" t="s">
        <v>74</v>
      </c>
      <c r="L177" t="s">
        <v>275</v>
      </c>
      <c r="M177" t="s">
        <v>639</v>
      </c>
      <c r="N177" t="s">
        <v>44</v>
      </c>
      <c r="O177">
        <v>7</v>
      </c>
      <c r="P177">
        <v>2673.42</v>
      </c>
      <c r="Q177" s="6">
        <v>0.15</v>
      </c>
      <c r="R177" s="8">
        <f t="shared" si="8"/>
        <v>0.15</v>
      </c>
      <c r="S177">
        <v>15906.85</v>
      </c>
      <c r="T177">
        <v>11014.46</v>
      </c>
      <c r="U177">
        <v>4892.3900000000003</v>
      </c>
      <c r="V177" t="s">
        <v>32</v>
      </c>
      <c r="W177" t="s">
        <v>103</v>
      </c>
      <c r="X177" t="str">
        <f t="shared" si="11"/>
        <v/>
      </c>
      <c r="Y177" t="str">
        <f t="shared" si="9"/>
        <v>Exclude</v>
      </c>
    </row>
    <row r="178" spans="1:25">
      <c r="A178" t="s">
        <v>640</v>
      </c>
      <c r="B178" s="3">
        <v>45734</v>
      </c>
      <c r="C178" s="3">
        <v>45742</v>
      </c>
      <c r="D178" s="6">
        <f t="shared" si="10"/>
        <v>8</v>
      </c>
      <c r="E178" t="s">
        <v>641</v>
      </c>
      <c r="F178" t="s">
        <v>71</v>
      </c>
      <c r="G178" s="5" t="s">
        <v>90</v>
      </c>
      <c r="H178" t="s">
        <v>38</v>
      </c>
      <c r="I178" t="s">
        <v>229</v>
      </c>
      <c r="J178" t="s">
        <v>230</v>
      </c>
      <c r="K178" t="s">
        <v>41</v>
      </c>
      <c r="L178" t="s">
        <v>158</v>
      </c>
      <c r="M178" t="s">
        <v>642</v>
      </c>
      <c r="N178" t="s">
        <v>59</v>
      </c>
      <c r="O178">
        <v>8</v>
      </c>
      <c r="P178">
        <v>3563.09</v>
      </c>
      <c r="Q178" s="6">
        <v>0.15</v>
      </c>
      <c r="R178" s="8">
        <f t="shared" si="8"/>
        <v>0.15</v>
      </c>
      <c r="S178">
        <v>24229.01</v>
      </c>
      <c r="T178">
        <v>13910.64</v>
      </c>
      <c r="U178">
        <v>10318.370000000001</v>
      </c>
      <c r="V178" t="s">
        <v>32</v>
      </c>
      <c r="W178" t="s">
        <v>33</v>
      </c>
      <c r="X178" t="str">
        <f t="shared" si="11"/>
        <v/>
      </c>
      <c r="Y178" t="str">
        <f t="shared" si="9"/>
        <v>Exclude</v>
      </c>
    </row>
    <row r="179" spans="1:25">
      <c r="A179" t="s">
        <v>643</v>
      </c>
      <c r="B179" s="3">
        <v>45444</v>
      </c>
      <c r="C179" s="3">
        <v>45357</v>
      </c>
      <c r="D179" s="6">
        <f t="shared" si="10"/>
        <v>-87</v>
      </c>
      <c r="E179" t="s">
        <v>644</v>
      </c>
      <c r="F179" t="s">
        <v>132</v>
      </c>
      <c r="G179" s="5" t="s">
        <v>95</v>
      </c>
      <c r="H179" t="s">
        <v>2806</v>
      </c>
      <c r="I179" t="s">
        <v>145</v>
      </c>
      <c r="J179" t="s">
        <v>146</v>
      </c>
      <c r="K179" t="s">
        <v>28</v>
      </c>
      <c r="L179" t="s">
        <v>48</v>
      </c>
      <c r="M179" t="s">
        <v>645</v>
      </c>
      <c r="N179" t="s">
        <v>44</v>
      </c>
      <c r="O179">
        <v>8</v>
      </c>
      <c r="P179">
        <v>3879.95</v>
      </c>
      <c r="Q179" s="6">
        <v>0</v>
      </c>
      <c r="R179" s="8">
        <f t="shared" si="8"/>
        <v>0</v>
      </c>
      <c r="S179">
        <v>31039.599999999999</v>
      </c>
      <c r="T179">
        <v>20866.72</v>
      </c>
      <c r="U179">
        <v>10172.879999999999</v>
      </c>
      <c r="V179" t="s">
        <v>32</v>
      </c>
      <c r="W179" t="s">
        <v>33</v>
      </c>
      <c r="X179" t="str">
        <f t="shared" si="11"/>
        <v>INVALID: Ship date before order date</v>
      </c>
      <c r="Y179" t="str">
        <f t="shared" si="9"/>
        <v>Exclude</v>
      </c>
    </row>
    <row r="180" spans="1:25">
      <c r="A180" t="s">
        <v>646</v>
      </c>
      <c r="B180" s="3">
        <v>45565</v>
      </c>
      <c r="C180" s="3">
        <v>45565</v>
      </c>
      <c r="D180" s="6">
        <f t="shared" si="10"/>
        <v>0</v>
      </c>
      <c r="E180" t="s">
        <v>647</v>
      </c>
      <c r="F180" t="s">
        <v>47</v>
      </c>
      <c r="G180" s="5" t="s">
        <v>90</v>
      </c>
      <c r="H180" t="s">
        <v>54</v>
      </c>
      <c r="I180" t="s">
        <v>55</v>
      </c>
      <c r="J180" t="s">
        <v>56</v>
      </c>
      <c r="K180" t="s">
        <v>28</v>
      </c>
      <c r="L180" t="s">
        <v>48</v>
      </c>
      <c r="M180" t="s">
        <v>648</v>
      </c>
      <c r="N180" t="s">
        <v>59</v>
      </c>
      <c r="O180">
        <v>4</v>
      </c>
      <c r="P180">
        <v>3281.74</v>
      </c>
      <c r="Q180" s="6">
        <v>0</v>
      </c>
      <c r="R180" s="8">
        <f t="shared" si="8"/>
        <v>0</v>
      </c>
      <c r="S180">
        <v>13126.96</v>
      </c>
      <c r="T180">
        <v>10732.44</v>
      </c>
      <c r="U180">
        <v>2394.52</v>
      </c>
      <c r="V180" t="s">
        <v>32</v>
      </c>
      <c r="W180" t="s">
        <v>33</v>
      </c>
      <c r="X180" t="str">
        <f t="shared" si="11"/>
        <v/>
      </c>
      <c r="Y180" t="str">
        <f t="shared" si="9"/>
        <v>Exclude</v>
      </c>
    </row>
    <row r="181" spans="1:25">
      <c r="A181" t="s">
        <v>649</v>
      </c>
      <c r="B181" s="3">
        <v>45366</v>
      </c>
      <c r="C181" s="3">
        <v>45370</v>
      </c>
      <c r="D181" s="6">
        <f t="shared" si="10"/>
        <v>4</v>
      </c>
      <c r="E181" t="s">
        <v>650</v>
      </c>
      <c r="F181" t="s">
        <v>62</v>
      </c>
      <c r="G181" s="5" t="s">
        <v>37</v>
      </c>
      <c r="H181" t="s">
        <v>54</v>
      </c>
      <c r="I181" t="s">
        <v>248</v>
      </c>
      <c r="J181" t="s">
        <v>249</v>
      </c>
      <c r="K181" t="s">
        <v>41</v>
      </c>
      <c r="L181" t="s">
        <v>57</v>
      </c>
      <c r="M181" t="s">
        <v>651</v>
      </c>
      <c r="N181" t="s">
        <v>59</v>
      </c>
      <c r="O181">
        <v>4</v>
      </c>
      <c r="P181">
        <v>3186.3</v>
      </c>
      <c r="Q181" s="6">
        <v>0.25</v>
      </c>
      <c r="R181" s="8">
        <f t="shared" si="8"/>
        <v>0.25</v>
      </c>
      <c r="S181">
        <v>9558.9</v>
      </c>
      <c r="T181">
        <v>5516.76</v>
      </c>
      <c r="U181">
        <v>4042.14</v>
      </c>
      <c r="V181" t="s">
        <v>102</v>
      </c>
      <c r="W181" t="s">
        <v>103</v>
      </c>
      <c r="X181" t="str">
        <f t="shared" si="11"/>
        <v>REFUND: Summarize separately</v>
      </c>
      <c r="Y181" t="str">
        <f t="shared" si="9"/>
        <v>Exclude</v>
      </c>
    </row>
    <row r="182" spans="1:25">
      <c r="A182" t="s">
        <v>652</v>
      </c>
      <c r="B182" s="3">
        <v>45530</v>
      </c>
      <c r="C182" s="3">
        <v>45530</v>
      </c>
      <c r="D182" s="6">
        <f t="shared" si="10"/>
        <v>0</v>
      </c>
      <c r="E182" t="s">
        <v>653</v>
      </c>
      <c r="F182" t="s">
        <v>36</v>
      </c>
      <c r="G182" s="5" t="s">
        <v>95</v>
      </c>
      <c r="H182" t="s">
        <v>25</v>
      </c>
      <c r="I182" t="s">
        <v>136</v>
      </c>
      <c r="J182" t="s">
        <v>137</v>
      </c>
      <c r="K182" t="s">
        <v>611</v>
      </c>
      <c r="L182" t="s">
        <v>153</v>
      </c>
      <c r="M182" t="s">
        <v>654</v>
      </c>
      <c r="N182" t="s">
        <v>50</v>
      </c>
      <c r="O182">
        <v>7</v>
      </c>
      <c r="P182">
        <v>844.59</v>
      </c>
      <c r="Q182" s="6">
        <v>0.1</v>
      </c>
      <c r="R182" s="8">
        <f t="shared" si="8"/>
        <v>0.1</v>
      </c>
      <c r="S182">
        <v>5320.92</v>
      </c>
      <c r="T182">
        <v>3041.5</v>
      </c>
      <c r="U182">
        <v>2279.42</v>
      </c>
      <c r="V182" t="s">
        <v>32</v>
      </c>
      <c r="W182" t="s">
        <v>33</v>
      </c>
      <c r="X182" t="str">
        <f t="shared" si="11"/>
        <v/>
      </c>
      <c r="Y182" t="str">
        <f t="shared" si="9"/>
        <v>Exclude</v>
      </c>
    </row>
    <row r="183" spans="1:25">
      <c r="A183" t="s">
        <v>655</v>
      </c>
      <c r="B183" s="3">
        <v>45909</v>
      </c>
      <c r="C183" s="3">
        <v>45910</v>
      </c>
      <c r="D183" s="6">
        <f t="shared" si="10"/>
        <v>1</v>
      </c>
      <c r="E183" t="s">
        <v>656</v>
      </c>
      <c r="F183" t="s">
        <v>114</v>
      </c>
      <c r="G183" s="5" t="s">
        <v>95</v>
      </c>
      <c r="H183" t="s">
        <v>54</v>
      </c>
      <c r="I183" t="s">
        <v>248</v>
      </c>
      <c r="J183" t="s">
        <v>249</v>
      </c>
      <c r="K183" t="s">
        <v>28</v>
      </c>
      <c r="L183" t="s">
        <v>48</v>
      </c>
      <c r="M183" t="s">
        <v>657</v>
      </c>
      <c r="N183" t="s">
        <v>31</v>
      </c>
      <c r="O183">
        <v>4</v>
      </c>
      <c r="P183">
        <v>2551.4499999999998</v>
      </c>
      <c r="Q183" s="6">
        <v>0</v>
      </c>
      <c r="R183" s="8">
        <f t="shared" si="8"/>
        <v>0</v>
      </c>
      <c r="S183">
        <v>10205.799999999999</v>
      </c>
      <c r="T183">
        <v>5986.31</v>
      </c>
      <c r="U183">
        <v>4219.49</v>
      </c>
      <c r="V183" t="s">
        <v>32</v>
      </c>
      <c r="W183" t="s">
        <v>33</v>
      </c>
      <c r="X183" t="str">
        <f t="shared" si="11"/>
        <v/>
      </c>
      <c r="Y183" t="str">
        <f t="shared" si="9"/>
        <v>Exclude</v>
      </c>
    </row>
    <row r="184" spans="1:25">
      <c r="A184" t="s">
        <v>658</v>
      </c>
      <c r="B184" s="3">
        <v>45581</v>
      </c>
      <c r="C184" s="3">
        <v>45581</v>
      </c>
      <c r="D184" s="6">
        <f t="shared" si="10"/>
        <v>0</v>
      </c>
      <c r="E184" t="s">
        <v>659</v>
      </c>
      <c r="F184" t="s">
        <v>62</v>
      </c>
      <c r="G184" s="5" t="s">
        <v>95</v>
      </c>
      <c r="H184" t="s">
        <v>38</v>
      </c>
      <c r="I184" t="s">
        <v>145</v>
      </c>
      <c r="J184" t="s">
        <v>146</v>
      </c>
      <c r="K184" t="s">
        <v>74</v>
      </c>
      <c r="L184" t="s">
        <v>275</v>
      </c>
      <c r="M184" t="s">
        <v>660</v>
      </c>
      <c r="N184" t="s">
        <v>59</v>
      </c>
      <c r="O184">
        <v>7</v>
      </c>
      <c r="P184">
        <v>775.77</v>
      </c>
      <c r="Q184" s="6">
        <v>0</v>
      </c>
      <c r="R184" s="8">
        <f t="shared" si="8"/>
        <v>0</v>
      </c>
      <c r="S184">
        <v>5430.39</v>
      </c>
      <c r="T184">
        <v>3707.66</v>
      </c>
      <c r="U184">
        <v>1722.73</v>
      </c>
      <c r="V184" t="s">
        <v>32</v>
      </c>
      <c r="W184" t="s">
        <v>33</v>
      </c>
      <c r="X184" t="str">
        <f t="shared" si="11"/>
        <v/>
      </c>
      <c r="Y184" t="str">
        <f t="shared" si="9"/>
        <v>Exclude</v>
      </c>
    </row>
    <row r="185" spans="1:25">
      <c r="A185" t="s">
        <v>661</v>
      </c>
      <c r="B185" s="3">
        <v>45832</v>
      </c>
      <c r="C185" s="3">
        <v>45835</v>
      </c>
      <c r="D185" s="6">
        <f t="shared" si="10"/>
        <v>3</v>
      </c>
      <c r="E185" t="s">
        <v>662</v>
      </c>
      <c r="F185" t="s">
        <v>71</v>
      </c>
      <c r="G185" s="5" t="s">
        <v>95</v>
      </c>
      <c r="H185" t="s">
        <v>54</v>
      </c>
      <c r="I185" t="s">
        <v>55</v>
      </c>
      <c r="J185" t="s">
        <v>56</v>
      </c>
      <c r="K185" t="s">
        <v>74</v>
      </c>
      <c r="L185" t="s">
        <v>80</v>
      </c>
      <c r="M185" t="s">
        <v>663</v>
      </c>
      <c r="N185" t="s">
        <v>59</v>
      </c>
      <c r="O185">
        <v>7</v>
      </c>
      <c r="P185">
        <v>2304.86</v>
      </c>
      <c r="Q185" s="6">
        <v>0.2</v>
      </c>
      <c r="R185" s="8">
        <f t="shared" si="8"/>
        <v>0.2</v>
      </c>
      <c r="S185">
        <v>12907.22</v>
      </c>
      <c r="T185">
        <v>8327.89</v>
      </c>
      <c r="U185">
        <v>4579.33</v>
      </c>
      <c r="V185" t="s">
        <v>32</v>
      </c>
      <c r="W185" t="s">
        <v>103</v>
      </c>
      <c r="X185" t="str">
        <f t="shared" si="11"/>
        <v/>
      </c>
      <c r="Y185" t="str">
        <f t="shared" si="9"/>
        <v>Exclude</v>
      </c>
    </row>
    <row r="186" spans="1:25">
      <c r="A186" t="s">
        <v>664</v>
      </c>
      <c r="B186" s="3">
        <v>45384</v>
      </c>
      <c r="C186" s="3">
        <v>45447</v>
      </c>
      <c r="D186" s="6">
        <f t="shared" si="10"/>
        <v>63</v>
      </c>
      <c r="E186" t="s">
        <v>665</v>
      </c>
      <c r="F186" t="s">
        <v>71</v>
      </c>
      <c r="G186" s="5" t="s">
        <v>90</v>
      </c>
      <c r="H186" t="s">
        <v>63</v>
      </c>
      <c r="I186" t="s">
        <v>72</v>
      </c>
      <c r="J186" t="s">
        <v>73</v>
      </c>
      <c r="K186" t="s">
        <v>41</v>
      </c>
      <c r="L186" t="s">
        <v>158</v>
      </c>
      <c r="M186" t="s">
        <v>666</v>
      </c>
      <c r="N186" t="s">
        <v>59</v>
      </c>
      <c r="O186">
        <v>2</v>
      </c>
      <c r="P186">
        <v>888.98</v>
      </c>
      <c r="Q186" s="6">
        <v>0</v>
      </c>
      <c r="R186" s="8">
        <f t="shared" si="8"/>
        <v>0</v>
      </c>
      <c r="S186">
        <v>1777.96</v>
      </c>
      <c r="T186">
        <v>1021.16</v>
      </c>
      <c r="U186">
        <v>756.8</v>
      </c>
      <c r="V186" t="s">
        <v>102</v>
      </c>
      <c r="W186" t="s">
        <v>103</v>
      </c>
      <c r="X186" t="str">
        <f t="shared" si="11"/>
        <v>REFUND: Summarize separately</v>
      </c>
      <c r="Y186" t="str">
        <f t="shared" si="9"/>
        <v>Exclude</v>
      </c>
    </row>
    <row r="187" spans="1:25">
      <c r="A187" t="s">
        <v>667</v>
      </c>
      <c r="B187" s="3">
        <v>45423</v>
      </c>
      <c r="C187" s="3">
        <v>45609</v>
      </c>
      <c r="D187" s="6">
        <f t="shared" si="10"/>
        <v>186</v>
      </c>
      <c r="E187" t="s">
        <v>668</v>
      </c>
      <c r="F187" t="s">
        <v>53</v>
      </c>
      <c r="G187" s="5" t="s">
        <v>24</v>
      </c>
      <c r="H187" t="s">
        <v>2806</v>
      </c>
      <c r="I187" t="s">
        <v>122</v>
      </c>
      <c r="J187" t="s">
        <v>123</v>
      </c>
      <c r="K187" t="s">
        <v>28</v>
      </c>
      <c r="L187" t="s">
        <v>91</v>
      </c>
      <c r="M187" t="s">
        <v>669</v>
      </c>
      <c r="N187" t="s">
        <v>31</v>
      </c>
      <c r="O187">
        <v>2</v>
      </c>
      <c r="P187">
        <v>1003.17</v>
      </c>
      <c r="Q187" s="6">
        <v>0.2</v>
      </c>
      <c r="R187" s="8">
        <f t="shared" si="8"/>
        <v>0.2</v>
      </c>
      <c r="S187">
        <v>1605.07</v>
      </c>
      <c r="T187">
        <v>1337.28</v>
      </c>
      <c r="U187">
        <v>267.79000000000002</v>
      </c>
      <c r="V187" t="s">
        <v>32</v>
      </c>
      <c r="W187" t="s">
        <v>33</v>
      </c>
      <c r="X187" t="str">
        <f t="shared" si="11"/>
        <v/>
      </c>
      <c r="Y187" t="str">
        <f t="shared" si="9"/>
        <v>Exclude</v>
      </c>
    </row>
    <row r="188" spans="1:25">
      <c r="A188" t="s">
        <v>670</v>
      </c>
      <c r="B188" s="3">
        <v>45492</v>
      </c>
      <c r="C188" s="3">
        <v>45493</v>
      </c>
      <c r="D188" s="6">
        <f t="shared" si="10"/>
        <v>1</v>
      </c>
      <c r="E188" t="s">
        <v>264</v>
      </c>
      <c r="F188" t="s">
        <v>71</v>
      </c>
      <c r="G188" s="5" t="s">
        <v>24</v>
      </c>
      <c r="H188" t="s">
        <v>54</v>
      </c>
      <c r="I188" t="s">
        <v>248</v>
      </c>
      <c r="J188" t="s">
        <v>249</v>
      </c>
      <c r="K188" t="s">
        <v>41</v>
      </c>
      <c r="L188" t="s">
        <v>42</v>
      </c>
      <c r="M188" t="s">
        <v>671</v>
      </c>
      <c r="N188" t="s">
        <v>50</v>
      </c>
      <c r="O188">
        <v>7</v>
      </c>
      <c r="P188">
        <v>3608.43</v>
      </c>
      <c r="Q188" s="6">
        <v>0.05</v>
      </c>
      <c r="R188" s="8">
        <f t="shared" si="8"/>
        <v>0.05</v>
      </c>
      <c r="S188">
        <v>23996.06</v>
      </c>
      <c r="T188">
        <v>20167.28</v>
      </c>
      <c r="U188">
        <v>3828.78</v>
      </c>
      <c r="V188" t="s">
        <v>32</v>
      </c>
      <c r="W188" t="s">
        <v>33</v>
      </c>
      <c r="X188" t="str">
        <f t="shared" si="11"/>
        <v/>
      </c>
      <c r="Y188" t="str">
        <f t="shared" si="9"/>
        <v>Exclude</v>
      </c>
    </row>
    <row r="189" spans="1:25">
      <c r="A189" t="s">
        <v>672</v>
      </c>
      <c r="B189" s="3">
        <v>45778</v>
      </c>
      <c r="C189" s="3">
        <v>45693</v>
      </c>
      <c r="D189" s="6">
        <f t="shared" si="10"/>
        <v>-85</v>
      </c>
      <c r="E189" t="s">
        <v>673</v>
      </c>
      <c r="F189" t="s">
        <v>36</v>
      </c>
      <c r="G189" s="5" t="s">
        <v>24</v>
      </c>
      <c r="H189" t="s">
        <v>63</v>
      </c>
      <c r="I189" t="s">
        <v>72</v>
      </c>
      <c r="J189" t="s">
        <v>73</v>
      </c>
      <c r="K189" t="s">
        <v>41</v>
      </c>
      <c r="L189" t="s">
        <v>66</v>
      </c>
      <c r="M189" t="s">
        <v>674</v>
      </c>
      <c r="N189" t="s">
        <v>44</v>
      </c>
      <c r="O189">
        <v>3</v>
      </c>
      <c r="P189">
        <v>2905.74</v>
      </c>
      <c r="Q189" s="6">
        <v>0</v>
      </c>
      <c r="R189" s="8">
        <f t="shared" si="8"/>
        <v>0</v>
      </c>
      <c r="S189">
        <v>8717.2199999999993</v>
      </c>
      <c r="T189">
        <v>6215.96</v>
      </c>
      <c r="U189">
        <v>2501.2600000000002</v>
      </c>
      <c r="V189" t="s">
        <v>32</v>
      </c>
      <c r="W189" t="s">
        <v>103</v>
      </c>
      <c r="X189" t="str">
        <f t="shared" si="11"/>
        <v>INVALID: Ship date before order date</v>
      </c>
      <c r="Y189" t="str">
        <f t="shared" si="9"/>
        <v>Exclude</v>
      </c>
    </row>
    <row r="190" spans="1:25">
      <c r="A190" t="s">
        <v>675</v>
      </c>
      <c r="B190" s="3">
        <v>45798</v>
      </c>
      <c r="C190" s="3">
        <v>45805</v>
      </c>
      <c r="D190" s="6">
        <f t="shared" si="10"/>
        <v>7</v>
      </c>
      <c r="E190" t="s">
        <v>676</v>
      </c>
      <c r="F190" t="s">
        <v>114</v>
      </c>
      <c r="G190" s="5" t="s">
        <v>90</v>
      </c>
      <c r="H190" t="s">
        <v>38</v>
      </c>
      <c r="I190" t="s">
        <v>99</v>
      </c>
      <c r="J190" t="s">
        <v>100</v>
      </c>
      <c r="K190" t="s">
        <v>41</v>
      </c>
      <c r="L190" t="s">
        <v>158</v>
      </c>
      <c r="M190" t="s">
        <v>677</v>
      </c>
      <c r="N190" t="s">
        <v>44</v>
      </c>
      <c r="O190">
        <v>2</v>
      </c>
      <c r="P190">
        <v>3559.57</v>
      </c>
      <c r="Q190" s="6">
        <v>0.1</v>
      </c>
      <c r="R190" s="8">
        <f t="shared" si="8"/>
        <v>0.1</v>
      </c>
      <c r="S190">
        <v>6553.95</v>
      </c>
      <c r="T190">
        <v>4923.09</v>
      </c>
      <c r="U190">
        <v>1484.14</v>
      </c>
      <c r="V190" t="s">
        <v>32</v>
      </c>
      <c r="W190" t="s">
        <v>33</v>
      </c>
      <c r="X190" t="str">
        <f t="shared" si="11"/>
        <v/>
      </c>
      <c r="Y190" t="str">
        <f t="shared" si="9"/>
        <v>Exclude</v>
      </c>
    </row>
    <row r="191" spans="1:25">
      <c r="A191" t="s">
        <v>678</v>
      </c>
      <c r="B191" s="3">
        <v>45783</v>
      </c>
      <c r="C191" s="3">
        <v>45843</v>
      </c>
      <c r="D191" s="6">
        <f t="shared" si="10"/>
        <v>60</v>
      </c>
      <c r="E191" t="s">
        <v>679</v>
      </c>
      <c r="F191" t="s">
        <v>53</v>
      </c>
      <c r="G191" s="5" t="s">
        <v>24</v>
      </c>
      <c r="H191" t="s">
        <v>63</v>
      </c>
      <c r="I191" t="s">
        <v>26</v>
      </c>
      <c r="J191" t="s">
        <v>109</v>
      </c>
      <c r="K191" t="s">
        <v>41</v>
      </c>
      <c r="L191" t="s">
        <v>158</v>
      </c>
      <c r="M191" t="s">
        <v>680</v>
      </c>
      <c r="N191" t="s">
        <v>50</v>
      </c>
      <c r="O191">
        <v>9</v>
      </c>
      <c r="P191">
        <v>3318.24</v>
      </c>
      <c r="Q191" s="6">
        <v>0</v>
      </c>
      <c r="R191" s="8">
        <f t="shared" si="8"/>
        <v>0</v>
      </c>
      <c r="S191">
        <v>25384.54</v>
      </c>
      <c r="T191">
        <v>16872.39</v>
      </c>
      <c r="U191">
        <v>8512.15</v>
      </c>
      <c r="V191" t="s">
        <v>32</v>
      </c>
      <c r="W191" t="s">
        <v>681</v>
      </c>
      <c r="X191" t="str">
        <f t="shared" si="11"/>
        <v/>
      </c>
      <c r="Y191" t="str">
        <f t="shared" si="9"/>
        <v>Exclude</v>
      </c>
    </row>
    <row r="192" spans="1:25">
      <c r="A192" t="s">
        <v>682</v>
      </c>
      <c r="B192" s="3">
        <v>45767</v>
      </c>
      <c r="C192" s="3">
        <v>45768</v>
      </c>
      <c r="D192" s="6">
        <f t="shared" si="10"/>
        <v>1</v>
      </c>
      <c r="E192" t="s">
        <v>683</v>
      </c>
      <c r="F192" t="s">
        <v>89</v>
      </c>
      <c r="G192" s="5" t="s">
        <v>24</v>
      </c>
      <c r="H192" t="s">
        <v>54</v>
      </c>
      <c r="I192" t="s">
        <v>248</v>
      </c>
      <c r="J192" t="s">
        <v>249</v>
      </c>
      <c r="K192" t="s">
        <v>28</v>
      </c>
      <c r="L192" t="s">
        <v>124</v>
      </c>
      <c r="M192" t="s">
        <v>684</v>
      </c>
      <c r="N192" t="s">
        <v>50</v>
      </c>
      <c r="O192">
        <v>3</v>
      </c>
      <c r="P192">
        <v>540.09</v>
      </c>
      <c r="Q192" s="6">
        <v>0.1</v>
      </c>
      <c r="R192" s="8">
        <f t="shared" si="8"/>
        <v>0.1</v>
      </c>
      <c r="S192">
        <v>1458.24</v>
      </c>
      <c r="T192">
        <v>943.32</v>
      </c>
      <c r="U192">
        <v>514.91999999999996</v>
      </c>
      <c r="V192" t="s">
        <v>32</v>
      </c>
      <c r="W192" t="s">
        <v>33</v>
      </c>
      <c r="X192" t="str">
        <f t="shared" si="11"/>
        <v/>
      </c>
      <c r="Y192" t="str">
        <f t="shared" si="9"/>
        <v>Exclude</v>
      </c>
    </row>
    <row r="193" spans="1:25">
      <c r="A193" t="s">
        <v>685</v>
      </c>
      <c r="B193" s="3">
        <v>45584</v>
      </c>
      <c r="C193" s="3">
        <v>45589</v>
      </c>
      <c r="D193" s="6">
        <f t="shared" si="10"/>
        <v>5</v>
      </c>
      <c r="E193" t="s">
        <v>686</v>
      </c>
      <c r="F193" t="s">
        <v>132</v>
      </c>
      <c r="G193" s="5" t="s">
        <v>37</v>
      </c>
      <c r="H193" t="s">
        <v>54</v>
      </c>
      <c r="I193" t="s">
        <v>248</v>
      </c>
      <c r="J193" t="s">
        <v>249</v>
      </c>
      <c r="K193" t="s">
        <v>41</v>
      </c>
      <c r="L193" t="s">
        <v>158</v>
      </c>
      <c r="M193" t="s">
        <v>687</v>
      </c>
      <c r="N193" t="s">
        <v>31</v>
      </c>
      <c r="O193">
        <v>6</v>
      </c>
      <c r="P193">
        <v>4308.3999999999996</v>
      </c>
      <c r="Q193" s="6">
        <v>0.65</v>
      </c>
      <c r="R193" s="8">
        <f t="shared" si="8"/>
        <v>0.65</v>
      </c>
      <c r="S193">
        <v>25850.400000000001</v>
      </c>
      <c r="T193">
        <v>19397.68</v>
      </c>
      <c r="U193">
        <v>6452.72</v>
      </c>
      <c r="V193" t="s">
        <v>32</v>
      </c>
      <c r="W193" t="s">
        <v>33</v>
      </c>
      <c r="X193" t="str">
        <f t="shared" si="11"/>
        <v>INVALID: Discount above range</v>
      </c>
      <c r="Y193" t="str">
        <f t="shared" si="9"/>
        <v>Exclude</v>
      </c>
    </row>
    <row r="194" spans="1:25">
      <c r="A194" t="s">
        <v>688</v>
      </c>
      <c r="B194" s="3">
        <v>45635</v>
      </c>
      <c r="C194" s="3">
        <v>45642</v>
      </c>
      <c r="D194" s="6">
        <f t="shared" si="10"/>
        <v>7</v>
      </c>
      <c r="E194" t="s">
        <v>689</v>
      </c>
      <c r="F194" t="s">
        <v>47</v>
      </c>
      <c r="G194" s="5" t="s">
        <v>95</v>
      </c>
      <c r="H194" t="s">
        <v>63</v>
      </c>
      <c r="I194" t="s">
        <v>180</v>
      </c>
      <c r="J194" t="s">
        <v>181</v>
      </c>
      <c r="K194" t="s">
        <v>41</v>
      </c>
      <c r="L194" t="s">
        <v>66</v>
      </c>
      <c r="M194" t="s">
        <v>690</v>
      </c>
      <c r="N194" t="s">
        <v>50</v>
      </c>
      <c r="O194">
        <v>4</v>
      </c>
      <c r="P194">
        <v>2191.0300000000002</v>
      </c>
      <c r="Q194" s="6">
        <v>0</v>
      </c>
      <c r="R194" s="8">
        <f t="shared" ref="R194:R257" si="12">IF(ISBLANK(Q194),IF(AND(ISNUMBER(O194),O194&gt;0,ISNUMBER(P194),ISNUMBER(S194),ISNUMBER(T194),ISNUMBER(U194)),0,""),Q194)</f>
        <v>0</v>
      </c>
      <c r="S194">
        <v>8764.1200000000008</v>
      </c>
      <c r="T194">
        <v>7220.05</v>
      </c>
      <c r="U194">
        <v>1544.07</v>
      </c>
      <c r="V194" t="s">
        <v>32</v>
      </c>
      <c r="W194" t="s">
        <v>33</v>
      </c>
      <c r="X194" t="str">
        <f t="shared" si="11"/>
        <v/>
      </c>
      <c r="Y194" t="str">
        <f t="shared" ref="Y194:Y257" si="13">IF(AND(U194="Completed",T194="Paid",ISERROR(SEARCH("INVALID",W194))),"Include","Exclude")</f>
        <v>Exclude</v>
      </c>
    </row>
    <row r="195" spans="1:25">
      <c r="A195" t="s">
        <v>691</v>
      </c>
      <c r="B195" s="3">
        <v>45466</v>
      </c>
      <c r="C195" s="3">
        <v>45471</v>
      </c>
      <c r="D195" s="6">
        <f t="shared" ref="D195:D258" si="14">IF(OR(B195="",C195=""),"",C195-B195)</f>
        <v>5</v>
      </c>
      <c r="E195" t="s">
        <v>692</v>
      </c>
      <c r="F195" t="s">
        <v>114</v>
      </c>
      <c r="G195" s="5" t="s">
        <v>37</v>
      </c>
      <c r="H195" t="s">
        <v>25</v>
      </c>
      <c r="I195" t="s">
        <v>122</v>
      </c>
      <c r="J195" t="s">
        <v>123</v>
      </c>
      <c r="K195" t="s">
        <v>74</v>
      </c>
      <c r="L195" t="s">
        <v>80</v>
      </c>
      <c r="M195" t="s">
        <v>693</v>
      </c>
      <c r="N195" t="s">
        <v>44</v>
      </c>
      <c r="O195">
        <v>6</v>
      </c>
      <c r="P195">
        <v>1956.63</v>
      </c>
      <c r="Q195" s="6">
        <v>0.2</v>
      </c>
      <c r="R195" s="8">
        <f t="shared" si="12"/>
        <v>0.2</v>
      </c>
      <c r="S195">
        <v>9391.82</v>
      </c>
      <c r="T195">
        <v>6013.22</v>
      </c>
      <c r="U195">
        <v>3378.6</v>
      </c>
      <c r="V195" t="s">
        <v>102</v>
      </c>
      <c r="W195" t="s">
        <v>103</v>
      </c>
      <c r="X195" t="str">
        <f t="shared" ref="X195:X258" si="15">_xlfn.TEXTJOIN("; ",TRUE,IF(R195&lt;0,"INVALID: Negative discount",""),IF(R195&gt;50%,"INVALID: Discount above range",""),IF(D195&lt;0,"INVALID: Ship date before order date",""),IF(W195="Cancelled","EXCLUDE: Cancelled order",""),IF(V195="Failed","EXCLUDE: Failed payment",""),IF(V195="Refunded","REFUND: Summarize separately",""))</f>
        <v>REFUND: Summarize separately</v>
      </c>
      <c r="Y195" t="str">
        <f t="shared" si="13"/>
        <v>Exclude</v>
      </c>
    </row>
    <row r="196" spans="1:25">
      <c r="A196" t="s">
        <v>694</v>
      </c>
      <c r="B196" s="3">
        <v>45685</v>
      </c>
      <c r="C196" s="3">
        <v>45688</v>
      </c>
      <c r="D196" s="6">
        <f t="shared" si="14"/>
        <v>3</v>
      </c>
      <c r="E196" t="s">
        <v>695</v>
      </c>
      <c r="F196" t="s">
        <v>114</v>
      </c>
      <c r="G196" s="5" t="s">
        <v>24</v>
      </c>
      <c r="H196" t="s">
        <v>63</v>
      </c>
      <c r="I196" t="s">
        <v>64</v>
      </c>
      <c r="J196" t="s">
        <v>65</v>
      </c>
      <c r="K196" t="s">
        <v>41</v>
      </c>
      <c r="L196" t="s">
        <v>57</v>
      </c>
      <c r="M196" t="s">
        <v>696</v>
      </c>
      <c r="N196" t="s">
        <v>50</v>
      </c>
      <c r="O196">
        <v>9</v>
      </c>
      <c r="P196">
        <v>858.39</v>
      </c>
      <c r="Q196" s="6">
        <v>0.05</v>
      </c>
      <c r="R196" s="8">
        <f t="shared" si="12"/>
        <v>0.05</v>
      </c>
      <c r="S196">
        <v>7339.23</v>
      </c>
      <c r="T196">
        <v>5434.12</v>
      </c>
      <c r="U196">
        <v>1905.11</v>
      </c>
      <c r="V196" t="s">
        <v>111</v>
      </c>
      <c r="W196" t="s">
        <v>103</v>
      </c>
      <c r="X196" t="str">
        <f t="shared" si="15"/>
        <v/>
      </c>
      <c r="Y196" t="str">
        <f t="shared" si="13"/>
        <v>Exclude</v>
      </c>
    </row>
    <row r="197" spans="1:25">
      <c r="A197" t="s">
        <v>697</v>
      </c>
      <c r="B197" s="3">
        <v>45860</v>
      </c>
      <c r="C197" s="3">
        <v>45862</v>
      </c>
      <c r="D197" s="6">
        <f t="shared" si="14"/>
        <v>2</v>
      </c>
      <c r="E197" t="s">
        <v>698</v>
      </c>
      <c r="F197" t="s">
        <v>79</v>
      </c>
      <c r="G197" s="5" t="s">
        <v>95</v>
      </c>
      <c r="H197" t="s">
        <v>54</v>
      </c>
      <c r="I197" t="s">
        <v>84</v>
      </c>
      <c r="J197" t="s">
        <v>85</v>
      </c>
      <c r="K197" t="s">
        <v>41</v>
      </c>
      <c r="L197" t="s">
        <v>57</v>
      </c>
      <c r="M197" t="s">
        <v>699</v>
      </c>
      <c r="N197" t="s">
        <v>44</v>
      </c>
      <c r="O197">
        <v>5</v>
      </c>
      <c r="P197">
        <v>1922.83</v>
      </c>
      <c r="Q197" s="6">
        <v>0</v>
      </c>
      <c r="R197" s="8">
        <f t="shared" si="12"/>
        <v>0</v>
      </c>
      <c r="S197">
        <v>9614.15</v>
      </c>
      <c r="T197">
        <v>7576.84</v>
      </c>
      <c r="U197">
        <v>2037.31</v>
      </c>
      <c r="V197" t="s">
        <v>32</v>
      </c>
      <c r="W197" t="s">
        <v>33</v>
      </c>
      <c r="X197" t="str">
        <f t="shared" si="15"/>
        <v/>
      </c>
      <c r="Y197" t="str">
        <f t="shared" si="13"/>
        <v>Exclude</v>
      </c>
    </row>
    <row r="198" spans="1:25">
      <c r="A198" t="s">
        <v>700</v>
      </c>
      <c r="B198" s="3">
        <v>45313</v>
      </c>
      <c r="C198" s="3">
        <v>45316</v>
      </c>
      <c r="D198" s="6">
        <f t="shared" si="14"/>
        <v>3</v>
      </c>
      <c r="E198" t="s">
        <v>701</v>
      </c>
      <c r="F198" t="s">
        <v>265</v>
      </c>
      <c r="G198" s="5" t="s">
        <v>95</v>
      </c>
      <c r="H198" t="s">
        <v>25</v>
      </c>
      <c r="I198" t="s">
        <v>136</v>
      </c>
      <c r="J198" t="s">
        <v>137</v>
      </c>
      <c r="K198" t="s">
        <v>28</v>
      </c>
      <c r="L198" t="s">
        <v>124</v>
      </c>
      <c r="M198" t="s">
        <v>702</v>
      </c>
      <c r="N198" t="s">
        <v>50</v>
      </c>
      <c r="O198">
        <v>3</v>
      </c>
      <c r="P198">
        <v>1212.03</v>
      </c>
      <c r="Q198" s="6">
        <v>0.1</v>
      </c>
      <c r="R198" s="8">
        <f t="shared" si="12"/>
        <v>0.1</v>
      </c>
      <c r="S198">
        <v>3272.48</v>
      </c>
      <c r="T198">
        <v>2517.44</v>
      </c>
      <c r="U198">
        <v>755.04</v>
      </c>
      <c r="V198" t="s">
        <v>32</v>
      </c>
      <c r="W198" t="s">
        <v>33</v>
      </c>
      <c r="X198" t="str">
        <f t="shared" si="15"/>
        <v/>
      </c>
      <c r="Y198" t="str">
        <f t="shared" si="13"/>
        <v>Exclude</v>
      </c>
    </row>
    <row r="199" spans="1:25">
      <c r="A199" t="s">
        <v>703</v>
      </c>
      <c r="B199" s="3">
        <v>45747</v>
      </c>
      <c r="C199" s="3">
        <v>45754</v>
      </c>
      <c r="D199" s="6">
        <f t="shared" si="14"/>
        <v>7</v>
      </c>
      <c r="E199" t="s">
        <v>391</v>
      </c>
      <c r="F199" t="s">
        <v>118</v>
      </c>
      <c r="G199" s="5" t="s">
        <v>37</v>
      </c>
      <c r="H199" t="s">
        <v>38</v>
      </c>
      <c r="I199" t="s">
        <v>145</v>
      </c>
      <c r="J199" t="s">
        <v>146</v>
      </c>
      <c r="K199" t="s">
        <v>28</v>
      </c>
      <c r="L199" t="s">
        <v>124</v>
      </c>
      <c r="M199" t="s">
        <v>704</v>
      </c>
      <c r="N199" t="s">
        <v>31</v>
      </c>
      <c r="O199">
        <v>5</v>
      </c>
      <c r="P199">
        <v>4096.4399999999996</v>
      </c>
      <c r="Q199" s="6">
        <v>0.15</v>
      </c>
      <c r="R199" s="8">
        <f t="shared" si="12"/>
        <v>0.15</v>
      </c>
      <c r="S199">
        <v>17409.87</v>
      </c>
      <c r="T199">
        <v>14076.25</v>
      </c>
      <c r="U199">
        <v>3333.62</v>
      </c>
      <c r="V199" t="s">
        <v>32</v>
      </c>
      <c r="W199" t="s">
        <v>33</v>
      </c>
      <c r="X199" t="str">
        <f t="shared" si="15"/>
        <v/>
      </c>
      <c r="Y199" t="str">
        <f t="shared" si="13"/>
        <v>Exclude</v>
      </c>
    </row>
    <row r="200" spans="1:25">
      <c r="A200" t="s">
        <v>705</v>
      </c>
      <c r="B200" s="3">
        <v>45448</v>
      </c>
      <c r="C200" s="3">
        <v>45449</v>
      </c>
      <c r="D200" s="6">
        <f t="shared" si="14"/>
        <v>1</v>
      </c>
      <c r="E200" t="s">
        <v>706</v>
      </c>
      <c r="F200" t="s">
        <v>132</v>
      </c>
      <c r="G200" s="5" t="s">
        <v>24</v>
      </c>
      <c r="H200" t="s">
        <v>63</v>
      </c>
      <c r="I200" t="s">
        <v>180</v>
      </c>
      <c r="J200" t="s">
        <v>181</v>
      </c>
      <c r="K200" t="s">
        <v>28</v>
      </c>
      <c r="L200" t="s">
        <v>48</v>
      </c>
      <c r="M200" t="s">
        <v>707</v>
      </c>
      <c r="N200" t="s">
        <v>31</v>
      </c>
      <c r="O200">
        <v>1</v>
      </c>
      <c r="P200">
        <v>1184.58</v>
      </c>
      <c r="Q200" s="6">
        <v>0.05</v>
      </c>
      <c r="R200" s="8">
        <f t="shared" si="12"/>
        <v>0.05</v>
      </c>
      <c r="S200">
        <v>1125.3499999999999</v>
      </c>
      <c r="T200">
        <v>676.97</v>
      </c>
      <c r="U200">
        <v>448.38</v>
      </c>
      <c r="V200" t="s">
        <v>155</v>
      </c>
      <c r="W200" t="s">
        <v>68</v>
      </c>
      <c r="X200" t="str">
        <f t="shared" si="15"/>
        <v>EXCLUDE: Cancelled order; EXCLUDE: Failed payment</v>
      </c>
      <c r="Y200" t="str">
        <f t="shared" si="13"/>
        <v>Exclude</v>
      </c>
    </row>
    <row r="201" spans="1:25">
      <c r="A201" t="s">
        <v>708</v>
      </c>
      <c r="B201" s="3">
        <v>45629</v>
      </c>
      <c r="C201" s="3">
        <v>45363</v>
      </c>
      <c r="D201" s="6">
        <f t="shared" si="14"/>
        <v>-266</v>
      </c>
      <c r="E201" t="s">
        <v>709</v>
      </c>
      <c r="F201" t="s">
        <v>118</v>
      </c>
      <c r="G201" s="5" t="s">
        <v>95</v>
      </c>
      <c r="H201" t="s">
        <v>38</v>
      </c>
      <c r="I201" t="s">
        <v>145</v>
      </c>
      <c r="J201" t="s">
        <v>146</v>
      </c>
      <c r="K201" t="s">
        <v>74</v>
      </c>
      <c r="L201" t="s">
        <v>275</v>
      </c>
      <c r="M201" t="s">
        <v>710</v>
      </c>
      <c r="N201" t="s">
        <v>2806</v>
      </c>
      <c r="O201">
        <v>6</v>
      </c>
      <c r="P201">
        <v>2185.58</v>
      </c>
      <c r="Q201" s="6">
        <v>0.25</v>
      </c>
      <c r="R201" s="8">
        <f t="shared" si="12"/>
        <v>0.25</v>
      </c>
      <c r="S201">
        <v>9835.11</v>
      </c>
      <c r="T201">
        <v>5437.64</v>
      </c>
      <c r="U201">
        <v>4397.47</v>
      </c>
      <c r="V201" t="s">
        <v>32</v>
      </c>
      <c r="W201" t="s">
        <v>33</v>
      </c>
      <c r="X201" t="str">
        <f t="shared" si="15"/>
        <v>INVALID: Ship date before order date</v>
      </c>
      <c r="Y201" t="str">
        <f t="shared" si="13"/>
        <v>Exclude</v>
      </c>
    </row>
    <row r="202" spans="1:25">
      <c r="A202" t="s">
        <v>711</v>
      </c>
      <c r="B202" s="3">
        <v>45835</v>
      </c>
      <c r="C202" s="3">
        <v>45784</v>
      </c>
      <c r="D202" s="6">
        <f t="shared" si="14"/>
        <v>-51</v>
      </c>
      <c r="E202" t="s">
        <v>712</v>
      </c>
      <c r="F202" t="s">
        <v>114</v>
      </c>
      <c r="G202" s="5" t="s">
        <v>37</v>
      </c>
      <c r="H202" t="s">
        <v>25</v>
      </c>
      <c r="I202" t="s">
        <v>26</v>
      </c>
      <c r="J202" t="s">
        <v>27</v>
      </c>
      <c r="K202" t="s">
        <v>74</v>
      </c>
      <c r="L202" t="s">
        <v>80</v>
      </c>
      <c r="M202" t="s">
        <v>713</v>
      </c>
      <c r="N202" t="s">
        <v>50</v>
      </c>
      <c r="O202">
        <v>5</v>
      </c>
      <c r="P202">
        <v>2868.44</v>
      </c>
      <c r="Q202" s="6">
        <v>0.1</v>
      </c>
      <c r="R202" s="8">
        <f t="shared" si="12"/>
        <v>0.1</v>
      </c>
      <c r="S202">
        <v>12907.98</v>
      </c>
      <c r="T202">
        <v>9197.08</v>
      </c>
      <c r="U202">
        <v>3710.9</v>
      </c>
      <c r="V202" t="s">
        <v>111</v>
      </c>
      <c r="W202" t="s">
        <v>68</v>
      </c>
      <c r="X202" t="str">
        <f t="shared" si="15"/>
        <v>INVALID: Ship date before order date; EXCLUDE: Cancelled order</v>
      </c>
      <c r="Y202" t="str">
        <f t="shared" si="13"/>
        <v>Exclude</v>
      </c>
    </row>
    <row r="203" spans="1:25">
      <c r="A203" t="s">
        <v>714</v>
      </c>
      <c r="B203" s="3">
        <v>45864</v>
      </c>
      <c r="C203" s="3">
        <v>45724</v>
      </c>
      <c r="D203" s="6">
        <f t="shared" si="14"/>
        <v>-140</v>
      </c>
      <c r="E203" t="s">
        <v>715</v>
      </c>
      <c r="F203" t="s">
        <v>71</v>
      </c>
      <c r="G203" s="5" t="s">
        <v>24</v>
      </c>
      <c r="H203" t="s">
        <v>63</v>
      </c>
      <c r="I203" t="s">
        <v>72</v>
      </c>
      <c r="J203" t="s">
        <v>73</v>
      </c>
      <c r="K203" t="s">
        <v>28</v>
      </c>
      <c r="L203" t="s">
        <v>91</v>
      </c>
      <c r="M203" t="s">
        <v>716</v>
      </c>
      <c r="N203" t="s">
        <v>31</v>
      </c>
      <c r="O203">
        <v>2</v>
      </c>
      <c r="P203">
        <v>2503.5300000000002</v>
      </c>
      <c r="Q203" s="6">
        <v>-0.16</v>
      </c>
      <c r="R203" s="8">
        <f t="shared" si="12"/>
        <v>-0.16</v>
      </c>
      <c r="S203">
        <v>4756.71</v>
      </c>
      <c r="T203">
        <v>2954.86</v>
      </c>
      <c r="U203">
        <v>1801.85</v>
      </c>
      <c r="V203" t="s">
        <v>102</v>
      </c>
      <c r="W203" t="s">
        <v>68</v>
      </c>
      <c r="X203" t="str">
        <f t="shared" si="15"/>
        <v>INVALID: Negative discount; INVALID: Ship date before order date; EXCLUDE: Cancelled order; REFUND: Summarize separately</v>
      </c>
      <c r="Y203" t="str">
        <f t="shared" si="13"/>
        <v>Exclude</v>
      </c>
    </row>
    <row r="204" spans="1:25">
      <c r="A204" t="s">
        <v>717</v>
      </c>
      <c r="B204" s="3">
        <v>45744</v>
      </c>
      <c r="C204" s="3">
        <v>45744</v>
      </c>
      <c r="D204" s="6">
        <f t="shared" si="14"/>
        <v>0</v>
      </c>
      <c r="E204" t="s">
        <v>718</v>
      </c>
      <c r="F204" t="s">
        <v>132</v>
      </c>
      <c r="G204" s="5" t="s">
        <v>90</v>
      </c>
      <c r="H204" t="s">
        <v>63</v>
      </c>
      <c r="I204" t="s">
        <v>190</v>
      </c>
      <c r="J204" t="s">
        <v>191</v>
      </c>
      <c r="K204" t="s">
        <v>74</v>
      </c>
      <c r="L204" t="s">
        <v>75</v>
      </c>
      <c r="M204" t="s">
        <v>719</v>
      </c>
      <c r="N204" t="s">
        <v>59</v>
      </c>
      <c r="O204">
        <v>8</v>
      </c>
      <c r="P204">
        <v>1740.94</v>
      </c>
      <c r="Q204" s="6">
        <v>0.05</v>
      </c>
      <c r="R204" s="8">
        <f t="shared" si="12"/>
        <v>0.05</v>
      </c>
      <c r="S204">
        <v>13231.14</v>
      </c>
      <c r="T204">
        <v>11290.06</v>
      </c>
      <c r="U204">
        <v>1941.08</v>
      </c>
      <c r="V204" t="s">
        <v>32</v>
      </c>
      <c r="W204" t="s">
        <v>33</v>
      </c>
      <c r="X204" t="str">
        <f t="shared" si="15"/>
        <v/>
      </c>
      <c r="Y204" t="str">
        <f t="shared" si="13"/>
        <v>Exclude</v>
      </c>
    </row>
    <row r="205" spans="1:25">
      <c r="A205" t="s">
        <v>720</v>
      </c>
      <c r="B205" s="3">
        <v>45379</v>
      </c>
      <c r="C205" s="3">
        <v>45381</v>
      </c>
      <c r="D205" s="6">
        <f t="shared" si="14"/>
        <v>2</v>
      </c>
      <c r="E205" t="s">
        <v>721</v>
      </c>
      <c r="F205" t="s">
        <v>132</v>
      </c>
      <c r="G205" s="5" t="s">
        <v>90</v>
      </c>
      <c r="H205" t="s">
        <v>63</v>
      </c>
      <c r="I205" t="s">
        <v>26</v>
      </c>
      <c r="J205" t="s">
        <v>109</v>
      </c>
      <c r="K205" t="s">
        <v>74</v>
      </c>
      <c r="L205" t="s">
        <v>75</v>
      </c>
      <c r="M205" t="s">
        <v>722</v>
      </c>
      <c r="N205" t="s">
        <v>31</v>
      </c>
      <c r="O205">
        <v>1</v>
      </c>
      <c r="P205">
        <v>570.34</v>
      </c>
      <c r="Q205" s="6">
        <v>0.15</v>
      </c>
      <c r="R205" s="8">
        <f t="shared" si="12"/>
        <v>0.15</v>
      </c>
      <c r="S205">
        <v>484.79</v>
      </c>
      <c r="T205">
        <v>333.54</v>
      </c>
      <c r="U205">
        <v>151.25</v>
      </c>
      <c r="V205" t="s">
        <v>32</v>
      </c>
      <c r="W205" t="s">
        <v>33</v>
      </c>
      <c r="X205" t="str">
        <f t="shared" si="15"/>
        <v/>
      </c>
      <c r="Y205" t="str">
        <f t="shared" si="13"/>
        <v>Exclude</v>
      </c>
    </row>
    <row r="206" spans="1:25">
      <c r="A206" t="s">
        <v>723</v>
      </c>
      <c r="B206" s="3">
        <v>45858</v>
      </c>
      <c r="C206" s="3">
        <v>45861</v>
      </c>
      <c r="D206" s="6">
        <f t="shared" si="14"/>
        <v>3</v>
      </c>
      <c r="E206" t="s">
        <v>724</v>
      </c>
      <c r="F206" t="s">
        <v>36</v>
      </c>
      <c r="G206" s="5" t="s">
        <v>95</v>
      </c>
      <c r="H206" t="s">
        <v>38</v>
      </c>
      <c r="I206" t="s">
        <v>99</v>
      </c>
      <c r="J206" t="s">
        <v>100</v>
      </c>
      <c r="K206" t="s">
        <v>41</v>
      </c>
      <c r="L206" t="s">
        <v>42</v>
      </c>
      <c r="M206" t="s">
        <v>725</v>
      </c>
      <c r="N206" t="s">
        <v>31</v>
      </c>
      <c r="O206">
        <v>4</v>
      </c>
      <c r="P206">
        <v>477.69</v>
      </c>
      <c r="Q206" s="6">
        <v>0.15</v>
      </c>
      <c r="R206" s="8">
        <f t="shared" si="12"/>
        <v>0.15</v>
      </c>
      <c r="S206">
        <v>1624.15</v>
      </c>
      <c r="T206">
        <v>1217.99</v>
      </c>
      <c r="U206">
        <v>406.16</v>
      </c>
      <c r="V206" t="s">
        <v>32</v>
      </c>
      <c r="W206" t="s">
        <v>33</v>
      </c>
      <c r="X206" t="str">
        <f t="shared" si="15"/>
        <v/>
      </c>
      <c r="Y206" t="str">
        <f t="shared" si="13"/>
        <v>Exclude</v>
      </c>
    </row>
    <row r="207" spans="1:25">
      <c r="A207" t="s">
        <v>726</v>
      </c>
      <c r="B207" s="3">
        <v>45768</v>
      </c>
      <c r="C207" s="3">
        <v>45773</v>
      </c>
      <c r="D207" s="6">
        <f t="shared" si="14"/>
        <v>5</v>
      </c>
      <c r="E207" t="s">
        <v>727</v>
      </c>
      <c r="F207" t="s">
        <v>62</v>
      </c>
      <c r="G207" s="5" t="s">
        <v>24</v>
      </c>
      <c r="H207" t="s">
        <v>63</v>
      </c>
      <c r="I207" t="s">
        <v>64</v>
      </c>
      <c r="J207" t="s">
        <v>65</v>
      </c>
      <c r="K207" t="s">
        <v>611</v>
      </c>
      <c r="L207" t="s">
        <v>91</v>
      </c>
      <c r="M207" t="s">
        <v>728</v>
      </c>
      <c r="N207" t="s">
        <v>44</v>
      </c>
      <c r="O207">
        <v>6</v>
      </c>
      <c r="P207">
        <v>873.59</v>
      </c>
      <c r="Q207" s="6">
        <v>0.2</v>
      </c>
      <c r="R207" s="8">
        <f t="shared" si="12"/>
        <v>0.2</v>
      </c>
      <c r="S207">
        <v>4193.2299999999996</v>
      </c>
      <c r="T207">
        <v>3329.99</v>
      </c>
      <c r="U207">
        <v>863.24</v>
      </c>
      <c r="V207" t="s">
        <v>32</v>
      </c>
      <c r="W207" t="s">
        <v>33</v>
      </c>
      <c r="X207" t="str">
        <f t="shared" si="15"/>
        <v/>
      </c>
      <c r="Y207" t="str">
        <f t="shared" si="13"/>
        <v>Exclude</v>
      </c>
    </row>
    <row r="208" spans="1:25">
      <c r="A208" t="s">
        <v>729</v>
      </c>
      <c r="B208" s="3">
        <v>45795</v>
      </c>
      <c r="C208" s="3">
        <v>45797</v>
      </c>
      <c r="D208" s="6">
        <f t="shared" si="14"/>
        <v>2</v>
      </c>
      <c r="E208" t="s">
        <v>730</v>
      </c>
      <c r="F208" t="s">
        <v>162</v>
      </c>
      <c r="G208" s="5" t="s">
        <v>37</v>
      </c>
      <c r="H208" t="s">
        <v>25</v>
      </c>
      <c r="I208" t="s">
        <v>136</v>
      </c>
      <c r="J208" t="s">
        <v>137</v>
      </c>
      <c r="K208" t="s">
        <v>41</v>
      </c>
      <c r="L208" t="s">
        <v>57</v>
      </c>
      <c r="M208" t="s">
        <v>731</v>
      </c>
      <c r="N208" t="s">
        <v>50</v>
      </c>
      <c r="O208">
        <v>2</v>
      </c>
      <c r="P208">
        <v>215.13</v>
      </c>
      <c r="Q208" s="6">
        <v>0</v>
      </c>
      <c r="R208" s="8">
        <f t="shared" si="12"/>
        <v>0</v>
      </c>
      <c r="S208">
        <v>430.26</v>
      </c>
      <c r="T208">
        <v>286.38</v>
      </c>
      <c r="U208">
        <v>143.88</v>
      </c>
      <c r="V208" t="s">
        <v>32</v>
      </c>
      <c r="W208" t="s">
        <v>33</v>
      </c>
      <c r="X208" t="str">
        <f t="shared" si="15"/>
        <v/>
      </c>
      <c r="Y208" t="str">
        <f t="shared" si="13"/>
        <v>Exclude</v>
      </c>
    </row>
    <row r="209" spans="1:25">
      <c r="A209" t="s">
        <v>732</v>
      </c>
      <c r="B209" s="3">
        <v>45483</v>
      </c>
      <c r="C209" s="3">
        <v>45489</v>
      </c>
      <c r="D209" s="6">
        <f t="shared" si="14"/>
        <v>6</v>
      </c>
      <c r="E209" t="s">
        <v>733</v>
      </c>
      <c r="F209" t="s">
        <v>128</v>
      </c>
      <c r="G209" s="5" t="s">
        <v>95</v>
      </c>
      <c r="H209" t="s">
        <v>63</v>
      </c>
      <c r="I209" t="s">
        <v>190</v>
      </c>
      <c r="J209" t="s">
        <v>191</v>
      </c>
      <c r="K209" t="s">
        <v>41</v>
      </c>
      <c r="L209" t="s">
        <v>158</v>
      </c>
      <c r="M209" t="s">
        <v>734</v>
      </c>
      <c r="N209" t="s">
        <v>31</v>
      </c>
      <c r="O209">
        <v>2</v>
      </c>
      <c r="P209">
        <v>1095.45</v>
      </c>
      <c r="Q209" s="6">
        <v>0.2</v>
      </c>
      <c r="R209" s="8">
        <f t="shared" si="12"/>
        <v>0.2</v>
      </c>
      <c r="S209">
        <v>1752.72</v>
      </c>
      <c r="T209">
        <v>996.41</v>
      </c>
      <c r="U209">
        <v>756.31</v>
      </c>
      <c r="V209" t="s">
        <v>32</v>
      </c>
      <c r="W209" t="s">
        <v>33</v>
      </c>
      <c r="X209" t="str">
        <f t="shared" si="15"/>
        <v/>
      </c>
      <c r="Y209" t="str">
        <f t="shared" si="13"/>
        <v>Exclude</v>
      </c>
    </row>
    <row r="210" spans="1:25">
      <c r="A210" t="s">
        <v>735</v>
      </c>
      <c r="B210" s="3">
        <v>45837</v>
      </c>
      <c r="C210" s="3">
        <v>45843</v>
      </c>
      <c r="D210" s="6">
        <f t="shared" si="14"/>
        <v>6</v>
      </c>
      <c r="E210" t="s">
        <v>736</v>
      </c>
      <c r="F210" t="s">
        <v>162</v>
      </c>
      <c r="G210" s="5" t="s">
        <v>24</v>
      </c>
      <c r="H210" t="s">
        <v>25</v>
      </c>
      <c r="I210" t="s">
        <v>122</v>
      </c>
      <c r="J210" t="s">
        <v>123</v>
      </c>
      <c r="K210" t="s">
        <v>41</v>
      </c>
      <c r="L210" t="s">
        <v>66</v>
      </c>
      <c r="M210" t="s">
        <v>737</v>
      </c>
      <c r="N210" t="s">
        <v>44</v>
      </c>
      <c r="O210">
        <v>1</v>
      </c>
      <c r="P210">
        <v>999.83</v>
      </c>
      <c r="Q210" s="6">
        <v>0</v>
      </c>
      <c r="R210" s="8">
        <f t="shared" si="12"/>
        <v>0</v>
      </c>
      <c r="S210">
        <v>999.83</v>
      </c>
      <c r="T210">
        <v>634.91</v>
      </c>
      <c r="U210">
        <v>364.92</v>
      </c>
      <c r="V210" t="s">
        <v>32</v>
      </c>
      <c r="W210" t="s">
        <v>33</v>
      </c>
      <c r="X210" t="str">
        <f t="shared" si="15"/>
        <v/>
      </c>
      <c r="Y210" t="str">
        <f t="shared" si="13"/>
        <v>Exclude</v>
      </c>
    </row>
    <row r="211" spans="1:25">
      <c r="A211" t="s">
        <v>738</v>
      </c>
      <c r="B211" s="3">
        <v>45882</v>
      </c>
      <c r="C211" s="3">
        <v>45883</v>
      </c>
      <c r="D211" s="6">
        <f t="shared" si="14"/>
        <v>1</v>
      </c>
      <c r="E211" t="s">
        <v>739</v>
      </c>
      <c r="F211" t="s">
        <v>141</v>
      </c>
      <c r="G211" s="5" t="s">
        <v>37</v>
      </c>
      <c r="H211" t="s">
        <v>54</v>
      </c>
      <c r="I211" t="s">
        <v>84</v>
      </c>
      <c r="J211" t="s">
        <v>85</v>
      </c>
      <c r="K211" t="s">
        <v>28</v>
      </c>
      <c r="L211" t="s">
        <v>29</v>
      </c>
      <c r="M211" t="s">
        <v>740</v>
      </c>
      <c r="N211" t="s">
        <v>50</v>
      </c>
      <c r="O211">
        <v>9</v>
      </c>
      <c r="P211">
        <v>864.98</v>
      </c>
      <c r="Q211" s="6">
        <v>0.1</v>
      </c>
      <c r="R211" s="8">
        <f t="shared" si="12"/>
        <v>0.1</v>
      </c>
      <c r="S211">
        <v>7006.34</v>
      </c>
      <c r="T211">
        <v>4640.88</v>
      </c>
      <c r="U211">
        <v>2365.46</v>
      </c>
      <c r="V211" t="s">
        <v>32</v>
      </c>
      <c r="W211" t="s">
        <v>33</v>
      </c>
      <c r="X211" t="str">
        <f t="shared" si="15"/>
        <v/>
      </c>
      <c r="Y211" t="str">
        <f t="shared" si="13"/>
        <v>Exclude</v>
      </c>
    </row>
    <row r="212" spans="1:25">
      <c r="A212" t="s">
        <v>741</v>
      </c>
      <c r="B212" s="3">
        <v>45366</v>
      </c>
      <c r="C212" s="3">
        <v>45369</v>
      </c>
      <c r="D212" s="6">
        <f t="shared" si="14"/>
        <v>3</v>
      </c>
      <c r="E212" t="s">
        <v>742</v>
      </c>
      <c r="F212" t="s">
        <v>265</v>
      </c>
      <c r="G212" s="5" t="s">
        <v>95</v>
      </c>
      <c r="H212" t="s">
        <v>54</v>
      </c>
      <c r="I212" t="s">
        <v>175</v>
      </c>
      <c r="J212" t="s">
        <v>176</v>
      </c>
      <c r="K212" t="s">
        <v>74</v>
      </c>
      <c r="L212" t="s">
        <v>275</v>
      </c>
      <c r="M212" t="s">
        <v>743</v>
      </c>
      <c r="N212" t="s">
        <v>31</v>
      </c>
      <c r="O212">
        <v>1</v>
      </c>
      <c r="P212">
        <v>4131.3599999999997</v>
      </c>
      <c r="Q212" s="6">
        <v>0</v>
      </c>
      <c r="R212" s="8">
        <f t="shared" si="12"/>
        <v>0</v>
      </c>
      <c r="S212">
        <v>4131.3599999999997</v>
      </c>
      <c r="T212">
        <v>2937.07</v>
      </c>
      <c r="U212">
        <v>1194.29</v>
      </c>
      <c r="V212" t="s">
        <v>155</v>
      </c>
      <c r="W212" t="s">
        <v>103</v>
      </c>
      <c r="X212" t="str">
        <f t="shared" si="15"/>
        <v>EXCLUDE: Failed payment</v>
      </c>
      <c r="Y212" t="str">
        <f t="shared" si="13"/>
        <v>Exclude</v>
      </c>
    </row>
    <row r="213" spans="1:25">
      <c r="A213" t="s">
        <v>744</v>
      </c>
      <c r="B213" s="3">
        <v>45428</v>
      </c>
      <c r="C213" s="3">
        <v>45429</v>
      </c>
      <c r="D213" s="6">
        <f t="shared" si="14"/>
        <v>1</v>
      </c>
      <c r="E213" t="s">
        <v>745</v>
      </c>
      <c r="F213" t="s">
        <v>141</v>
      </c>
      <c r="G213" s="5" t="s">
        <v>90</v>
      </c>
      <c r="H213" t="s">
        <v>38</v>
      </c>
      <c r="I213" t="s">
        <v>99</v>
      </c>
      <c r="J213" t="s">
        <v>100</v>
      </c>
      <c r="K213" t="s">
        <v>74</v>
      </c>
      <c r="L213" t="s">
        <v>80</v>
      </c>
      <c r="M213" t="s">
        <v>746</v>
      </c>
      <c r="N213" t="s">
        <v>31</v>
      </c>
      <c r="O213">
        <v>8</v>
      </c>
      <c r="P213">
        <v>4221.95</v>
      </c>
      <c r="Q213" s="6">
        <v>0.2</v>
      </c>
      <c r="R213" s="8">
        <f t="shared" si="12"/>
        <v>0.2</v>
      </c>
      <c r="S213">
        <v>27020.48</v>
      </c>
      <c r="T213">
        <v>22885.24</v>
      </c>
      <c r="U213">
        <v>4135.24</v>
      </c>
      <c r="V213" t="s">
        <v>32</v>
      </c>
      <c r="W213" t="s">
        <v>33</v>
      </c>
      <c r="X213" t="str">
        <f t="shared" si="15"/>
        <v/>
      </c>
      <c r="Y213" t="str">
        <f t="shared" si="13"/>
        <v>Exclude</v>
      </c>
    </row>
    <row r="214" spans="1:25">
      <c r="A214" t="s">
        <v>747</v>
      </c>
      <c r="B214" s="3">
        <v>45556</v>
      </c>
      <c r="C214" s="3">
        <v>45556</v>
      </c>
      <c r="D214" s="6">
        <f t="shared" si="14"/>
        <v>0</v>
      </c>
      <c r="E214" t="s">
        <v>748</v>
      </c>
      <c r="F214" t="s">
        <v>62</v>
      </c>
      <c r="G214" s="5" t="s">
        <v>37</v>
      </c>
      <c r="H214" t="s">
        <v>38</v>
      </c>
      <c r="I214" t="s">
        <v>39</v>
      </c>
      <c r="J214" t="s">
        <v>40</v>
      </c>
      <c r="K214" t="s">
        <v>74</v>
      </c>
      <c r="L214" t="s">
        <v>171</v>
      </c>
      <c r="M214" t="s">
        <v>749</v>
      </c>
      <c r="N214" t="s">
        <v>44</v>
      </c>
      <c r="O214">
        <v>2</v>
      </c>
      <c r="P214">
        <v>214.5</v>
      </c>
      <c r="Q214" s="6">
        <v>0.15</v>
      </c>
      <c r="R214" s="8">
        <f t="shared" si="12"/>
        <v>0.15</v>
      </c>
      <c r="S214">
        <v>364.65</v>
      </c>
      <c r="T214">
        <v>280.74</v>
      </c>
      <c r="U214">
        <v>83.91</v>
      </c>
      <c r="V214" t="s">
        <v>32</v>
      </c>
      <c r="W214" t="s">
        <v>33</v>
      </c>
      <c r="X214" t="str">
        <f t="shared" si="15"/>
        <v/>
      </c>
      <c r="Y214" t="str">
        <f t="shared" si="13"/>
        <v>Exclude</v>
      </c>
    </row>
    <row r="215" spans="1:25">
      <c r="A215" t="s">
        <v>750</v>
      </c>
      <c r="B215" s="3">
        <v>45427</v>
      </c>
      <c r="C215" s="3">
        <v>45433</v>
      </c>
      <c r="D215" s="6">
        <f t="shared" si="14"/>
        <v>6</v>
      </c>
      <c r="E215" t="s">
        <v>751</v>
      </c>
      <c r="F215" t="s">
        <v>47</v>
      </c>
      <c r="G215" s="5" t="s">
        <v>37</v>
      </c>
      <c r="H215" t="s">
        <v>38</v>
      </c>
      <c r="I215" t="s">
        <v>145</v>
      </c>
      <c r="J215" t="s">
        <v>146</v>
      </c>
      <c r="K215" t="s">
        <v>74</v>
      </c>
      <c r="L215" t="s">
        <v>75</v>
      </c>
      <c r="M215" t="s">
        <v>752</v>
      </c>
      <c r="N215" t="s">
        <v>31</v>
      </c>
      <c r="O215">
        <v>4</v>
      </c>
      <c r="P215">
        <v>4332.7299999999996</v>
      </c>
      <c r="Q215" s="6">
        <v>0.2</v>
      </c>
      <c r="R215" s="8">
        <f t="shared" si="12"/>
        <v>0.2</v>
      </c>
      <c r="S215">
        <v>13864.74</v>
      </c>
      <c r="T215">
        <v>11294.06</v>
      </c>
      <c r="U215">
        <v>2570.6799999999998</v>
      </c>
      <c r="V215" t="s">
        <v>32</v>
      </c>
      <c r="W215" t="s">
        <v>33</v>
      </c>
      <c r="X215" t="str">
        <f t="shared" si="15"/>
        <v/>
      </c>
      <c r="Y215" t="str">
        <f t="shared" si="13"/>
        <v>Exclude</v>
      </c>
    </row>
    <row r="216" spans="1:25">
      <c r="A216" t="s">
        <v>753</v>
      </c>
      <c r="B216" s="3">
        <v>45368</v>
      </c>
      <c r="C216" s="3">
        <v>45374</v>
      </c>
      <c r="D216" s="6">
        <f t="shared" si="14"/>
        <v>6</v>
      </c>
      <c r="E216" t="s">
        <v>754</v>
      </c>
      <c r="F216" t="s">
        <v>118</v>
      </c>
      <c r="G216" s="5" t="s">
        <v>24</v>
      </c>
      <c r="H216" t="s">
        <v>25</v>
      </c>
      <c r="I216" t="s">
        <v>237</v>
      </c>
      <c r="J216" t="s">
        <v>238</v>
      </c>
      <c r="K216" t="s">
        <v>74</v>
      </c>
      <c r="L216" t="s">
        <v>75</v>
      </c>
      <c r="M216" t="s">
        <v>755</v>
      </c>
      <c r="N216" t="s">
        <v>50</v>
      </c>
      <c r="O216">
        <v>3</v>
      </c>
      <c r="P216">
        <v>248.18</v>
      </c>
      <c r="Q216" s="6">
        <v>0.05</v>
      </c>
      <c r="R216" s="8">
        <f t="shared" si="12"/>
        <v>0.05</v>
      </c>
      <c r="S216">
        <v>707.31</v>
      </c>
      <c r="T216">
        <v>569</v>
      </c>
      <c r="U216">
        <v>138.31</v>
      </c>
      <c r="V216" t="s">
        <v>32</v>
      </c>
      <c r="W216" t="s">
        <v>33</v>
      </c>
      <c r="X216" t="str">
        <f t="shared" si="15"/>
        <v/>
      </c>
      <c r="Y216" t="str">
        <f t="shared" si="13"/>
        <v>Exclude</v>
      </c>
    </row>
    <row r="217" spans="1:25">
      <c r="A217" t="s">
        <v>756</v>
      </c>
      <c r="B217" s="3">
        <v>45352</v>
      </c>
      <c r="C217" s="3">
        <v>45385</v>
      </c>
      <c r="D217" s="6">
        <f t="shared" si="14"/>
        <v>33</v>
      </c>
      <c r="E217" t="s">
        <v>757</v>
      </c>
      <c r="F217" t="s">
        <v>36</v>
      </c>
      <c r="G217" s="5" t="s">
        <v>24</v>
      </c>
      <c r="H217" t="s">
        <v>63</v>
      </c>
      <c r="I217" t="s">
        <v>72</v>
      </c>
      <c r="J217" t="s">
        <v>73</v>
      </c>
      <c r="K217" t="s">
        <v>28</v>
      </c>
      <c r="L217" t="s">
        <v>29</v>
      </c>
      <c r="M217" t="s">
        <v>758</v>
      </c>
      <c r="N217" t="s">
        <v>50</v>
      </c>
      <c r="O217">
        <v>8</v>
      </c>
      <c r="P217">
        <v>3202.4</v>
      </c>
      <c r="Q217" s="6">
        <v>0.25</v>
      </c>
      <c r="R217" s="8">
        <f t="shared" si="12"/>
        <v>0.25</v>
      </c>
      <c r="S217">
        <v>19214.400000000001</v>
      </c>
      <c r="T217">
        <v>10916.01</v>
      </c>
      <c r="U217">
        <v>8298.39</v>
      </c>
      <c r="V217" t="s">
        <v>32</v>
      </c>
      <c r="W217" t="s">
        <v>33</v>
      </c>
      <c r="X217" t="str">
        <f t="shared" si="15"/>
        <v/>
      </c>
      <c r="Y217" t="str">
        <f t="shared" si="13"/>
        <v>Exclude</v>
      </c>
    </row>
    <row r="218" spans="1:25">
      <c r="A218" t="s">
        <v>759</v>
      </c>
      <c r="B218" s="3">
        <v>45934</v>
      </c>
      <c r="C218" s="3">
        <v>45762</v>
      </c>
      <c r="D218" s="6">
        <f t="shared" si="14"/>
        <v>-172</v>
      </c>
      <c r="E218" t="s">
        <v>760</v>
      </c>
      <c r="F218" t="s">
        <v>47</v>
      </c>
      <c r="G218" s="5" t="s">
        <v>24</v>
      </c>
      <c r="H218" t="s">
        <v>63</v>
      </c>
      <c r="I218" t="s">
        <v>180</v>
      </c>
      <c r="J218" t="s">
        <v>181</v>
      </c>
      <c r="K218" t="s">
        <v>41</v>
      </c>
      <c r="L218" t="s">
        <v>42</v>
      </c>
      <c r="M218" t="s">
        <v>761</v>
      </c>
      <c r="N218" t="s">
        <v>59</v>
      </c>
      <c r="O218">
        <v>8</v>
      </c>
      <c r="P218">
        <v>1839.87</v>
      </c>
      <c r="Q218" s="6">
        <v>0.25</v>
      </c>
      <c r="R218" s="8">
        <f t="shared" si="12"/>
        <v>0.25</v>
      </c>
      <c r="S218">
        <v>11039.22</v>
      </c>
      <c r="T218">
        <v>7642.91</v>
      </c>
      <c r="U218">
        <v>3396.31</v>
      </c>
      <c r="V218" t="s">
        <v>155</v>
      </c>
      <c r="W218" t="s">
        <v>103</v>
      </c>
      <c r="X218" t="str">
        <f t="shared" si="15"/>
        <v>INVALID: Ship date before order date; EXCLUDE: Failed payment</v>
      </c>
      <c r="Y218" t="str">
        <f t="shared" si="13"/>
        <v>Exclude</v>
      </c>
    </row>
    <row r="219" spans="1:25">
      <c r="A219" t="s">
        <v>762</v>
      </c>
      <c r="B219" s="3">
        <v>45748</v>
      </c>
      <c r="C219" s="3">
        <v>45873</v>
      </c>
      <c r="D219" s="6">
        <f t="shared" si="14"/>
        <v>125</v>
      </c>
      <c r="E219" t="s">
        <v>763</v>
      </c>
      <c r="F219" t="s">
        <v>89</v>
      </c>
      <c r="G219" s="5" t="s">
        <v>24</v>
      </c>
      <c r="H219" t="s">
        <v>38</v>
      </c>
      <c r="I219" t="s">
        <v>39</v>
      </c>
      <c r="J219" t="s">
        <v>40</v>
      </c>
      <c r="K219" t="s">
        <v>41</v>
      </c>
      <c r="L219" t="s">
        <v>158</v>
      </c>
      <c r="M219" t="s">
        <v>764</v>
      </c>
      <c r="N219" t="s">
        <v>31</v>
      </c>
      <c r="O219">
        <v>5</v>
      </c>
      <c r="P219">
        <v>1021.28</v>
      </c>
      <c r="Q219" s="6">
        <v>0.1</v>
      </c>
      <c r="R219" s="8">
        <f t="shared" si="12"/>
        <v>0.1</v>
      </c>
      <c r="S219">
        <v>4595.76</v>
      </c>
      <c r="T219">
        <v>3396.8</v>
      </c>
      <c r="U219">
        <v>1198.96</v>
      </c>
      <c r="V219" t="s">
        <v>102</v>
      </c>
      <c r="W219" t="s">
        <v>68</v>
      </c>
      <c r="X219" t="str">
        <f t="shared" si="15"/>
        <v>EXCLUDE: Cancelled order; REFUND: Summarize separately</v>
      </c>
      <c r="Y219" t="str">
        <f t="shared" si="13"/>
        <v>Exclude</v>
      </c>
    </row>
    <row r="220" spans="1:25">
      <c r="A220" t="s">
        <v>765</v>
      </c>
      <c r="B220" s="3">
        <v>45714</v>
      </c>
      <c r="C220" s="3">
        <v>45715</v>
      </c>
      <c r="D220" s="6">
        <f t="shared" si="14"/>
        <v>1</v>
      </c>
      <c r="E220" t="s">
        <v>766</v>
      </c>
      <c r="F220" t="s">
        <v>114</v>
      </c>
      <c r="G220" s="5" t="s">
        <v>90</v>
      </c>
      <c r="H220" t="s">
        <v>63</v>
      </c>
      <c r="I220" t="s">
        <v>180</v>
      </c>
      <c r="J220" t="s">
        <v>181</v>
      </c>
      <c r="K220" t="s">
        <v>41</v>
      </c>
      <c r="L220" t="s">
        <v>158</v>
      </c>
      <c r="M220" t="s">
        <v>767</v>
      </c>
      <c r="N220" t="s">
        <v>59</v>
      </c>
      <c r="O220">
        <v>5</v>
      </c>
      <c r="P220">
        <v>258.27999999999997</v>
      </c>
      <c r="Q220" s="6">
        <v>0</v>
      </c>
      <c r="R220" s="8">
        <f t="shared" si="12"/>
        <v>0</v>
      </c>
      <c r="S220">
        <v>1291.4000000000001</v>
      </c>
      <c r="T220">
        <v>756.93</v>
      </c>
      <c r="U220">
        <v>534.47</v>
      </c>
      <c r="V220" t="s">
        <v>32</v>
      </c>
      <c r="W220" t="s">
        <v>33</v>
      </c>
      <c r="X220" t="str">
        <f t="shared" si="15"/>
        <v/>
      </c>
      <c r="Y220" t="str">
        <f t="shared" si="13"/>
        <v>Exclude</v>
      </c>
    </row>
    <row r="221" spans="1:25">
      <c r="A221" t="s">
        <v>768</v>
      </c>
      <c r="B221" s="3">
        <v>45461</v>
      </c>
      <c r="C221" s="3">
        <v>45462</v>
      </c>
      <c r="D221" s="6">
        <f t="shared" si="14"/>
        <v>1</v>
      </c>
      <c r="E221" t="s">
        <v>769</v>
      </c>
      <c r="F221" t="s">
        <v>118</v>
      </c>
      <c r="G221" s="5" t="s">
        <v>24</v>
      </c>
      <c r="H221" t="s">
        <v>38</v>
      </c>
      <c r="I221" t="s">
        <v>145</v>
      </c>
      <c r="J221" t="s">
        <v>146</v>
      </c>
      <c r="K221" t="s">
        <v>74</v>
      </c>
      <c r="L221" t="s">
        <v>275</v>
      </c>
      <c r="M221" t="s">
        <v>770</v>
      </c>
      <c r="N221" t="s">
        <v>50</v>
      </c>
      <c r="O221">
        <v>2</v>
      </c>
      <c r="P221">
        <v>121.49</v>
      </c>
      <c r="Q221" s="6" t="s">
        <v>771</v>
      </c>
      <c r="R221" s="8" t="str">
        <f t="shared" si="12"/>
        <v>85%</v>
      </c>
      <c r="S221">
        <v>242.98</v>
      </c>
      <c r="T221">
        <v>161.41999999999999</v>
      </c>
      <c r="U221">
        <v>81.56</v>
      </c>
      <c r="V221" t="s">
        <v>32</v>
      </c>
      <c r="W221" t="s">
        <v>33</v>
      </c>
      <c r="X221" t="str">
        <f t="shared" si="15"/>
        <v>INVALID: Discount above range</v>
      </c>
      <c r="Y221" t="str">
        <f t="shared" si="13"/>
        <v>Exclude</v>
      </c>
    </row>
    <row r="222" spans="1:25">
      <c r="A222" t="s">
        <v>772</v>
      </c>
      <c r="B222" s="3">
        <v>45360</v>
      </c>
      <c r="C222" s="3">
        <v>45360</v>
      </c>
      <c r="D222" s="6">
        <f t="shared" si="14"/>
        <v>0</v>
      </c>
      <c r="E222" t="s">
        <v>773</v>
      </c>
      <c r="F222" t="s">
        <v>132</v>
      </c>
      <c r="G222" s="5" t="s">
        <v>24</v>
      </c>
      <c r="H222" t="s">
        <v>54</v>
      </c>
      <c r="I222" t="s">
        <v>185</v>
      </c>
      <c r="J222" t="s">
        <v>186</v>
      </c>
      <c r="K222" t="s">
        <v>28</v>
      </c>
      <c r="L222" t="s">
        <v>124</v>
      </c>
      <c r="M222" t="s">
        <v>774</v>
      </c>
      <c r="N222" t="s">
        <v>50</v>
      </c>
      <c r="O222">
        <v>4</v>
      </c>
      <c r="P222">
        <v>2810.17</v>
      </c>
      <c r="Q222" s="6">
        <v>0.15</v>
      </c>
      <c r="R222" s="8">
        <f t="shared" si="12"/>
        <v>0.15</v>
      </c>
      <c r="S222">
        <v>9554.58</v>
      </c>
      <c r="T222">
        <v>6068.47</v>
      </c>
      <c r="U222">
        <v>3486.11</v>
      </c>
      <c r="V222" t="s">
        <v>102</v>
      </c>
      <c r="W222" t="s">
        <v>68</v>
      </c>
      <c r="X222" t="str">
        <f t="shared" si="15"/>
        <v>EXCLUDE: Cancelled order; REFUND: Summarize separately</v>
      </c>
      <c r="Y222" t="str">
        <f t="shared" si="13"/>
        <v>Exclude</v>
      </c>
    </row>
    <row r="223" spans="1:25">
      <c r="A223" t="s">
        <v>775</v>
      </c>
      <c r="B223" s="3">
        <v>45669</v>
      </c>
      <c r="C223" s="3">
        <v>45672</v>
      </c>
      <c r="D223" s="6">
        <f t="shared" si="14"/>
        <v>3</v>
      </c>
      <c r="E223" t="s">
        <v>776</v>
      </c>
      <c r="F223" t="s">
        <v>36</v>
      </c>
      <c r="G223" s="5" t="s">
        <v>90</v>
      </c>
      <c r="H223" t="s">
        <v>54</v>
      </c>
      <c r="I223" t="s">
        <v>175</v>
      </c>
      <c r="J223" t="s">
        <v>176</v>
      </c>
      <c r="K223" t="s">
        <v>41</v>
      </c>
      <c r="L223" t="s">
        <v>66</v>
      </c>
      <c r="M223" t="s">
        <v>777</v>
      </c>
      <c r="N223" t="s">
        <v>44</v>
      </c>
      <c r="O223">
        <v>4</v>
      </c>
      <c r="P223">
        <v>1531.53</v>
      </c>
      <c r="Q223" s="6">
        <v>0.2</v>
      </c>
      <c r="R223" s="8">
        <f t="shared" si="12"/>
        <v>0.2</v>
      </c>
      <c r="S223">
        <v>4900.8999999999996</v>
      </c>
      <c r="T223">
        <v>3552.69</v>
      </c>
      <c r="U223">
        <v>1348.21</v>
      </c>
      <c r="V223" t="s">
        <v>32</v>
      </c>
      <c r="W223" t="s">
        <v>33</v>
      </c>
      <c r="X223" t="str">
        <f t="shared" si="15"/>
        <v/>
      </c>
      <c r="Y223" t="str">
        <f t="shared" si="13"/>
        <v>Exclude</v>
      </c>
    </row>
    <row r="224" spans="1:25">
      <c r="A224" t="s">
        <v>778</v>
      </c>
      <c r="B224" s="3">
        <v>45776</v>
      </c>
      <c r="C224" s="3">
        <v>45693</v>
      </c>
      <c r="D224" s="6">
        <f t="shared" si="14"/>
        <v>-83</v>
      </c>
      <c r="E224" t="s">
        <v>779</v>
      </c>
      <c r="F224" t="s">
        <v>71</v>
      </c>
      <c r="G224" s="5" t="s">
        <v>37</v>
      </c>
      <c r="H224" t="s">
        <v>63</v>
      </c>
      <c r="I224" t="s">
        <v>190</v>
      </c>
      <c r="J224" t="s">
        <v>191</v>
      </c>
      <c r="K224" t="s">
        <v>28</v>
      </c>
      <c r="L224" t="s">
        <v>124</v>
      </c>
      <c r="M224" t="s">
        <v>780</v>
      </c>
      <c r="N224" t="s">
        <v>50</v>
      </c>
      <c r="O224">
        <v>6</v>
      </c>
      <c r="P224">
        <v>4308.09</v>
      </c>
      <c r="Q224" s="6">
        <v>0</v>
      </c>
      <c r="R224" s="8">
        <f t="shared" si="12"/>
        <v>0</v>
      </c>
      <c r="S224">
        <v>25848.54</v>
      </c>
      <c r="T224">
        <v>17729.09</v>
      </c>
      <c r="U224">
        <v>8119.45</v>
      </c>
      <c r="V224" t="s">
        <v>32</v>
      </c>
      <c r="W224" t="s">
        <v>33</v>
      </c>
      <c r="X224" t="str">
        <f t="shared" si="15"/>
        <v>INVALID: Ship date before order date</v>
      </c>
      <c r="Y224" t="str">
        <f t="shared" si="13"/>
        <v>Exclude</v>
      </c>
    </row>
    <row r="225" spans="1:25">
      <c r="A225" t="s">
        <v>781</v>
      </c>
      <c r="B225" s="3">
        <v>45707</v>
      </c>
      <c r="C225" s="3">
        <v>45714</v>
      </c>
      <c r="D225" s="6">
        <f t="shared" si="14"/>
        <v>7</v>
      </c>
      <c r="E225" t="s">
        <v>782</v>
      </c>
      <c r="F225" t="s">
        <v>36</v>
      </c>
      <c r="G225" s="5" t="s">
        <v>90</v>
      </c>
      <c r="H225" t="s">
        <v>63</v>
      </c>
      <c r="I225" t="s">
        <v>64</v>
      </c>
      <c r="J225" t="s">
        <v>65</v>
      </c>
      <c r="K225" t="s">
        <v>41</v>
      </c>
      <c r="L225" t="s">
        <v>57</v>
      </c>
      <c r="M225" t="s">
        <v>783</v>
      </c>
      <c r="N225" t="s">
        <v>50</v>
      </c>
      <c r="O225">
        <v>3</v>
      </c>
      <c r="P225">
        <v>490.3</v>
      </c>
      <c r="Q225" s="6">
        <v>0.2</v>
      </c>
      <c r="R225" s="8">
        <f t="shared" si="12"/>
        <v>0.2</v>
      </c>
      <c r="S225">
        <v>1176.72</v>
      </c>
      <c r="T225">
        <v>654.33000000000004</v>
      </c>
      <c r="U225">
        <v>522.39</v>
      </c>
      <c r="V225" t="s">
        <v>111</v>
      </c>
      <c r="W225" t="s">
        <v>103</v>
      </c>
      <c r="X225" t="str">
        <f t="shared" si="15"/>
        <v/>
      </c>
      <c r="Y225" t="str">
        <f t="shared" si="13"/>
        <v>Exclude</v>
      </c>
    </row>
    <row r="226" spans="1:25">
      <c r="A226" t="s">
        <v>784</v>
      </c>
      <c r="B226" s="3">
        <v>45698</v>
      </c>
      <c r="C226" s="3">
        <v>45879</v>
      </c>
      <c r="D226" s="6">
        <f t="shared" si="14"/>
        <v>181</v>
      </c>
      <c r="E226" t="s">
        <v>785</v>
      </c>
      <c r="F226" t="s">
        <v>47</v>
      </c>
      <c r="G226" s="5" t="s">
        <v>37</v>
      </c>
      <c r="H226" t="s">
        <v>25</v>
      </c>
      <c r="I226" t="s">
        <v>122</v>
      </c>
      <c r="J226" t="s">
        <v>123</v>
      </c>
      <c r="K226" t="s">
        <v>41</v>
      </c>
      <c r="L226" t="s">
        <v>57</v>
      </c>
      <c r="M226" t="s">
        <v>786</v>
      </c>
      <c r="N226" t="s">
        <v>59</v>
      </c>
      <c r="O226">
        <v>4</v>
      </c>
      <c r="P226">
        <v>3944.64</v>
      </c>
      <c r="Q226" s="6">
        <v>0.25</v>
      </c>
      <c r="R226" s="8">
        <f t="shared" si="12"/>
        <v>0.25</v>
      </c>
      <c r="S226">
        <v>11833.92</v>
      </c>
      <c r="T226">
        <v>6682.92</v>
      </c>
      <c r="U226">
        <v>5151</v>
      </c>
      <c r="V226" t="s">
        <v>32</v>
      </c>
      <c r="W226" t="s">
        <v>68</v>
      </c>
      <c r="X226" t="str">
        <f t="shared" si="15"/>
        <v>EXCLUDE: Cancelled order</v>
      </c>
      <c r="Y226" t="str">
        <f t="shared" si="13"/>
        <v>Exclude</v>
      </c>
    </row>
    <row r="227" spans="1:25">
      <c r="A227" t="s">
        <v>787</v>
      </c>
      <c r="B227" s="3">
        <v>45537</v>
      </c>
      <c r="C227" s="3">
        <v>45574</v>
      </c>
      <c r="D227" s="6">
        <f t="shared" si="14"/>
        <v>37</v>
      </c>
      <c r="E227" t="s">
        <v>788</v>
      </c>
      <c r="F227" t="s">
        <v>36</v>
      </c>
      <c r="G227" s="5" t="s">
        <v>90</v>
      </c>
      <c r="H227" t="s">
        <v>63</v>
      </c>
      <c r="I227" t="s">
        <v>190</v>
      </c>
      <c r="J227" t="s">
        <v>191</v>
      </c>
      <c r="K227" t="s">
        <v>74</v>
      </c>
      <c r="L227" t="s">
        <v>171</v>
      </c>
      <c r="M227" t="s">
        <v>789</v>
      </c>
      <c r="N227" t="s">
        <v>59</v>
      </c>
      <c r="O227">
        <v>6</v>
      </c>
      <c r="P227">
        <v>1032.47</v>
      </c>
      <c r="Q227" s="6">
        <v>0.15</v>
      </c>
      <c r="R227" s="8">
        <f t="shared" si="12"/>
        <v>0.15</v>
      </c>
      <c r="S227">
        <v>5265.6</v>
      </c>
      <c r="T227">
        <v>4293.1099999999997</v>
      </c>
      <c r="U227">
        <v>787.57</v>
      </c>
      <c r="V227" t="s">
        <v>32</v>
      </c>
      <c r="W227" t="s">
        <v>33</v>
      </c>
      <c r="X227" t="str">
        <f t="shared" si="15"/>
        <v/>
      </c>
      <c r="Y227" t="str">
        <f t="shared" si="13"/>
        <v>Exclude</v>
      </c>
    </row>
    <row r="228" spans="1:25">
      <c r="A228" t="s">
        <v>790</v>
      </c>
      <c r="B228" s="3">
        <v>45757</v>
      </c>
      <c r="C228" s="3">
        <v>45762</v>
      </c>
      <c r="D228" s="6">
        <f t="shared" si="14"/>
        <v>5</v>
      </c>
      <c r="E228" t="s">
        <v>791</v>
      </c>
      <c r="F228" t="s">
        <v>162</v>
      </c>
      <c r="G228" s="5" t="s">
        <v>95</v>
      </c>
      <c r="H228" t="s">
        <v>2806</v>
      </c>
      <c r="I228" t="s">
        <v>185</v>
      </c>
      <c r="J228" t="s">
        <v>186</v>
      </c>
      <c r="K228" t="s">
        <v>74</v>
      </c>
      <c r="L228" t="s">
        <v>80</v>
      </c>
      <c r="M228" t="s">
        <v>792</v>
      </c>
      <c r="N228" t="s">
        <v>44</v>
      </c>
      <c r="O228">
        <v>1</v>
      </c>
      <c r="P228">
        <v>2208.27</v>
      </c>
      <c r="Q228" s="6">
        <v>0.1</v>
      </c>
      <c r="R228" s="8">
        <f t="shared" si="12"/>
        <v>0.1</v>
      </c>
      <c r="S228">
        <v>1987.44</v>
      </c>
      <c r="T228">
        <v>1110.23</v>
      </c>
      <c r="U228">
        <v>877.21</v>
      </c>
      <c r="V228" t="s">
        <v>32</v>
      </c>
      <c r="W228" t="s">
        <v>33</v>
      </c>
      <c r="X228" t="str">
        <f t="shared" si="15"/>
        <v/>
      </c>
      <c r="Y228" t="str">
        <f t="shared" si="13"/>
        <v>Exclude</v>
      </c>
    </row>
    <row r="229" spans="1:25">
      <c r="A229" t="s">
        <v>793</v>
      </c>
      <c r="B229" s="3">
        <v>45478</v>
      </c>
      <c r="C229" s="3">
        <v>45633</v>
      </c>
      <c r="D229" s="6">
        <f t="shared" si="14"/>
        <v>155</v>
      </c>
      <c r="E229" t="s">
        <v>794</v>
      </c>
      <c r="F229" t="s">
        <v>62</v>
      </c>
      <c r="G229" s="5" t="s">
        <v>37</v>
      </c>
      <c r="H229" t="s">
        <v>63</v>
      </c>
      <c r="I229" t="s">
        <v>190</v>
      </c>
      <c r="J229" t="s">
        <v>191</v>
      </c>
      <c r="K229" t="s">
        <v>28</v>
      </c>
      <c r="L229" t="s">
        <v>153</v>
      </c>
      <c r="M229" t="s">
        <v>795</v>
      </c>
      <c r="N229" t="s">
        <v>50</v>
      </c>
      <c r="O229">
        <v>3</v>
      </c>
      <c r="P229">
        <v>577.75</v>
      </c>
      <c r="Q229" s="6">
        <v>0.15</v>
      </c>
      <c r="R229" s="8">
        <f t="shared" si="12"/>
        <v>0.15</v>
      </c>
      <c r="S229">
        <v>1473.26</v>
      </c>
      <c r="T229">
        <v>899.86</v>
      </c>
      <c r="U229">
        <v>573.4</v>
      </c>
      <c r="V229" t="s">
        <v>32</v>
      </c>
      <c r="W229" t="s">
        <v>33</v>
      </c>
      <c r="X229" t="str">
        <f t="shared" si="15"/>
        <v/>
      </c>
      <c r="Y229" t="str">
        <f t="shared" si="13"/>
        <v>Exclude</v>
      </c>
    </row>
    <row r="230" spans="1:25">
      <c r="A230" t="s">
        <v>796</v>
      </c>
      <c r="B230" s="3">
        <v>45406</v>
      </c>
      <c r="C230" s="3">
        <v>45410</v>
      </c>
      <c r="D230" s="6">
        <f t="shared" si="14"/>
        <v>4</v>
      </c>
      <c r="E230" t="s">
        <v>797</v>
      </c>
      <c r="F230" t="s">
        <v>23</v>
      </c>
      <c r="G230" s="5" t="s">
        <v>37</v>
      </c>
      <c r="H230" t="s">
        <v>54</v>
      </c>
      <c r="I230" t="s">
        <v>55</v>
      </c>
      <c r="J230" t="s">
        <v>56</v>
      </c>
      <c r="K230" t="s">
        <v>28</v>
      </c>
      <c r="L230" t="s">
        <v>91</v>
      </c>
      <c r="M230" t="s">
        <v>798</v>
      </c>
      <c r="N230" t="s">
        <v>31</v>
      </c>
      <c r="O230">
        <v>1</v>
      </c>
      <c r="P230">
        <v>3194.37</v>
      </c>
      <c r="Q230" s="6">
        <v>0.15</v>
      </c>
      <c r="R230" s="8">
        <f t="shared" si="12"/>
        <v>0.15</v>
      </c>
      <c r="S230">
        <v>2715.21</v>
      </c>
      <c r="T230">
        <v>1551.55</v>
      </c>
      <c r="U230">
        <v>1163.6600000000001</v>
      </c>
      <c r="V230" t="s">
        <v>32</v>
      </c>
      <c r="W230" t="s">
        <v>33</v>
      </c>
      <c r="X230" t="str">
        <f t="shared" si="15"/>
        <v/>
      </c>
      <c r="Y230" t="str">
        <f t="shared" si="13"/>
        <v>Exclude</v>
      </c>
    </row>
    <row r="231" spans="1:25">
      <c r="A231" t="s">
        <v>799</v>
      </c>
      <c r="B231" s="3">
        <v>45836</v>
      </c>
      <c r="C231" s="3">
        <v>45754</v>
      </c>
      <c r="D231" s="6">
        <f t="shared" si="14"/>
        <v>-82</v>
      </c>
      <c r="E231" t="s">
        <v>800</v>
      </c>
      <c r="F231" t="s">
        <v>141</v>
      </c>
      <c r="G231" s="5" t="s">
        <v>24</v>
      </c>
      <c r="H231" t="s">
        <v>54</v>
      </c>
      <c r="I231" t="s">
        <v>55</v>
      </c>
      <c r="J231" t="s">
        <v>56</v>
      </c>
      <c r="K231" t="s">
        <v>41</v>
      </c>
      <c r="L231" t="s">
        <v>158</v>
      </c>
      <c r="M231" t="s">
        <v>801</v>
      </c>
      <c r="N231" t="s">
        <v>50</v>
      </c>
      <c r="O231">
        <v>3</v>
      </c>
      <c r="P231">
        <v>2886.23</v>
      </c>
      <c r="Q231" s="6">
        <v>0</v>
      </c>
      <c r="R231" s="8">
        <f t="shared" si="12"/>
        <v>0</v>
      </c>
      <c r="S231">
        <v>8658.69</v>
      </c>
      <c r="T231">
        <v>5535.94</v>
      </c>
      <c r="U231">
        <v>3122.75</v>
      </c>
      <c r="V231" t="s">
        <v>102</v>
      </c>
      <c r="W231" t="s">
        <v>103</v>
      </c>
      <c r="X231" t="str">
        <f t="shared" si="15"/>
        <v>INVALID: Ship date before order date; REFUND: Summarize separately</v>
      </c>
      <c r="Y231" t="str">
        <f t="shared" si="13"/>
        <v>Exclude</v>
      </c>
    </row>
    <row r="232" spans="1:25">
      <c r="A232" t="s">
        <v>802</v>
      </c>
      <c r="B232" s="3">
        <v>45440</v>
      </c>
      <c r="C232" s="3">
        <v>45446</v>
      </c>
      <c r="D232" s="6">
        <f t="shared" si="14"/>
        <v>6</v>
      </c>
      <c r="E232" t="s">
        <v>803</v>
      </c>
      <c r="F232" t="s">
        <v>79</v>
      </c>
      <c r="G232" s="5" t="s">
        <v>37</v>
      </c>
      <c r="H232" t="s">
        <v>25</v>
      </c>
      <c r="I232" t="s">
        <v>26</v>
      </c>
      <c r="J232" t="s">
        <v>27</v>
      </c>
      <c r="K232" t="s">
        <v>28</v>
      </c>
      <c r="L232" t="s">
        <v>29</v>
      </c>
      <c r="M232" t="s">
        <v>804</v>
      </c>
      <c r="N232" t="s">
        <v>59</v>
      </c>
      <c r="O232">
        <v>8</v>
      </c>
      <c r="P232">
        <v>1540.33</v>
      </c>
      <c r="Q232" s="6">
        <v>0.1</v>
      </c>
      <c r="R232" s="8">
        <f t="shared" si="12"/>
        <v>0.1</v>
      </c>
      <c r="S232">
        <v>11090.38</v>
      </c>
      <c r="T232">
        <v>8840.9500000000007</v>
      </c>
      <c r="U232">
        <v>2249.4299999999998</v>
      </c>
      <c r="V232" t="s">
        <v>32</v>
      </c>
      <c r="W232" t="s">
        <v>33</v>
      </c>
      <c r="X232" t="str">
        <f t="shared" si="15"/>
        <v/>
      </c>
      <c r="Y232" t="str">
        <f t="shared" si="13"/>
        <v>Exclude</v>
      </c>
    </row>
    <row r="233" spans="1:25">
      <c r="A233" t="s">
        <v>805</v>
      </c>
      <c r="B233" s="3">
        <v>45414</v>
      </c>
      <c r="C233" s="3">
        <v>45327</v>
      </c>
      <c r="D233" s="6">
        <f t="shared" si="14"/>
        <v>-87</v>
      </c>
      <c r="E233" t="s">
        <v>806</v>
      </c>
      <c r="F233" t="s">
        <v>62</v>
      </c>
      <c r="G233" s="5" t="s">
        <v>90</v>
      </c>
      <c r="H233" t="s">
        <v>25</v>
      </c>
      <c r="I233" t="s">
        <v>26</v>
      </c>
      <c r="J233" t="s">
        <v>27</v>
      </c>
      <c r="K233" t="s">
        <v>807</v>
      </c>
      <c r="L233" t="s">
        <v>91</v>
      </c>
      <c r="M233" t="s">
        <v>808</v>
      </c>
      <c r="N233" t="s">
        <v>50</v>
      </c>
      <c r="O233">
        <v>7</v>
      </c>
      <c r="P233">
        <v>2183.38</v>
      </c>
      <c r="Q233" s="6">
        <v>0.25</v>
      </c>
      <c r="R233" s="8">
        <f t="shared" si="12"/>
        <v>0.25</v>
      </c>
      <c r="S233">
        <v>11462.74</v>
      </c>
      <c r="T233">
        <v>7163.54</v>
      </c>
      <c r="U233">
        <v>4299.2</v>
      </c>
      <c r="V233" t="s">
        <v>102</v>
      </c>
      <c r="W233" t="s">
        <v>68</v>
      </c>
      <c r="X233" t="str">
        <f t="shared" si="15"/>
        <v>INVALID: Ship date before order date; EXCLUDE: Cancelled order; REFUND: Summarize separately</v>
      </c>
      <c r="Y233" t="str">
        <f t="shared" si="13"/>
        <v>Exclude</v>
      </c>
    </row>
    <row r="234" spans="1:25">
      <c r="A234" t="s">
        <v>809</v>
      </c>
      <c r="B234" s="3">
        <v>45812</v>
      </c>
      <c r="C234" s="3">
        <v>45936</v>
      </c>
      <c r="D234" s="6">
        <f t="shared" si="14"/>
        <v>124</v>
      </c>
      <c r="E234" t="s">
        <v>810</v>
      </c>
      <c r="F234" t="s">
        <v>118</v>
      </c>
      <c r="G234" s="5" t="s">
        <v>24</v>
      </c>
      <c r="H234" t="s">
        <v>54</v>
      </c>
      <c r="I234" t="s">
        <v>84</v>
      </c>
      <c r="J234" t="s">
        <v>85</v>
      </c>
      <c r="K234" t="s">
        <v>74</v>
      </c>
      <c r="L234" t="s">
        <v>171</v>
      </c>
      <c r="M234" t="s">
        <v>811</v>
      </c>
      <c r="N234" t="s">
        <v>59</v>
      </c>
      <c r="O234">
        <v>4</v>
      </c>
      <c r="P234">
        <v>223.37</v>
      </c>
      <c r="Q234" s="6">
        <v>0.25</v>
      </c>
      <c r="R234" s="8">
        <f t="shared" si="12"/>
        <v>0.25</v>
      </c>
      <c r="S234">
        <v>670.11</v>
      </c>
      <c r="T234">
        <v>559.57000000000005</v>
      </c>
      <c r="U234">
        <v>110.54</v>
      </c>
      <c r="V234" t="s">
        <v>32</v>
      </c>
      <c r="W234" t="s">
        <v>33</v>
      </c>
      <c r="X234" t="str">
        <f t="shared" si="15"/>
        <v/>
      </c>
      <c r="Y234" t="str">
        <f t="shared" si="13"/>
        <v>Exclude</v>
      </c>
    </row>
    <row r="235" spans="1:25">
      <c r="A235" t="s">
        <v>812</v>
      </c>
      <c r="B235" s="3">
        <v>45579</v>
      </c>
      <c r="C235" s="3">
        <v>45579</v>
      </c>
      <c r="D235" s="6">
        <f t="shared" si="14"/>
        <v>0</v>
      </c>
      <c r="E235" t="s">
        <v>813</v>
      </c>
      <c r="F235" t="s">
        <v>71</v>
      </c>
      <c r="G235" s="5" t="s">
        <v>90</v>
      </c>
      <c r="H235" t="s">
        <v>54</v>
      </c>
      <c r="I235" t="s">
        <v>175</v>
      </c>
      <c r="J235" t="s">
        <v>176</v>
      </c>
      <c r="K235" t="s">
        <v>41</v>
      </c>
      <c r="L235" t="s">
        <v>158</v>
      </c>
      <c r="M235" t="s">
        <v>814</v>
      </c>
      <c r="N235" t="s">
        <v>2806</v>
      </c>
      <c r="O235">
        <v>8</v>
      </c>
      <c r="P235">
        <v>3904.59</v>
      </c>
      <c r="Q235" s="6">
        <v>0</v>
      </c>
      <c r="R235" s="8">
        <f t="shared" si="12"/>
        <v>0</v>
      </c>
      <c r="S235">
        <v>31236.720000000001</v>
      </c>
      <c r="T235">
        <v>26377.7</v>
      </c>
      <c r="U235">
        <v>4859.0200000000004</v>
      </c>
      <c r="V235" t="s">
        <v>32</v>
      </c>
      <c r="W235" t="s">
        <v>33</v>
      </c>
      <c r="X235" t="str">
        <f t="shared" si="15"/>
        <v/>
      </c>
      <c r="Y235" t="str">
        <f t="shared" si="13"/>
        <v>Exclude</v>
      </c>
    </row>
    <row r="236" spans="1:25">
      <c r="A236" t="s">
        <v>815</v>
      </c>
      <c r="B236" s="3">
        <v>45331</v>
      </c>
      <c r="C236" s="3">
        <v>45360</v>
      </c>
      <c r="D236" s="6">
        <f t="shared" si="14"/>
        <v>29</v>
      </c>
      <c r="E236" t="s">
        <v>816</v>
      </c>
      <c r="F236" t="s">
        <v>265</v>
      </c>
      <c r="G236" s="5" t="s">
        <v>95</v>
      </c>
      <c r="H236" t="s">
        <v>25</v>
      </c>
      <c r="I236" t="s">
        <v>351</v>
      </c>
      <c r="J236" t="s">
        <v>352</v>
      </c>
      <c r="K236" t="s">
        <v>41</v>
      </c>
      <c r="L236" t="s">
        <v>57</v>
      </c>
      <c r="M236" t="s">
        <v>817</v>
      </c>
      <c r="N236" t="s">
        <v>50</v>
      </c>
      <c r="O236">
        <v>9</v>
      </c>
      <c r="P236">
        <v>1353.61</v>
      </c>
      <c r="Q236" s="6">
        <v>0.1</v>
      </c>
      <c r="R236" s="8">
        <f t="shared" si="12"/>
        <v>0.1</v>
      </c>
      <c r="S236">
        <v>10964.24</v>
      </c>
      <c r="T236">
        <v>9262.4699999999993</v>
      </c>
      <c r="U236">
        <v>1701.77</v>
      </c>
      <c r="V236" t="s">
        <v>32</v>
      </c>
      <c r="W236" t="s">
        <v>33</v>
      </c>
      <c r="X236" t="str">
        <f t="shared" si="15"/>
        <v/>
      </c>
      <c r="Y236" t="str">
        <f t="shared" si="13"/>
        <v>Exclude</v>
      </c>
    </row>
    <row r="237" spans="1:25">
      <c r="A237" t="s">
        <v>818</v>
      </c>
      <c r="B237" s="3">
        <v>45333</v>
      </c>
      <c r="C237" s="3">
        <v>45362</v>
      </c>
      <c r="D237" s="6">
        <f t="shared" si="14"/>
        <v>29</v>
      </c>
      <c r="E237" t="s">
        <v>819</v>
      </c>
      <c r="F237" t="s">
        <v>118</v>
      </c>
      <c r="G237" s="5" t="s">
        <v>37</v>
      </c>
      <c r="H237" t="s">
        <v>63</v>
      </c>
      <c r="I237" t="s">
        <v>26</v>
      </c>
      <c r="J237" t="s">
        <v>109</v>
      </c>
      <c r="K237" t="s">
        <v>28</v>
      </c>
      <c r="L237" t="s">
        <v>124</v>
      </c>
      <c r="M237" t="s">
        <v>820</v>
      </c>
      <c r="N237" t="s">
        <v>59</v>
      </c>
      <c r="O237">
        <v>6</v>
      </c>
      <c r="P237">
        <v>2671.29</v>
      </c>
      <c r="Q237" s="6">
        <v>0.05</v>
      </c>
      <c r="R237" s="8">
        <f t="shared" si="12"/>
        <v>0.05</v>
      </c>
      <c r="S237">
        <v>15226.35</v>
      </c>
      <c r="T237">
        <v>11145.28</v>
      </c>
      <c r="U237">
        <v>4081.07</v>
      </c>
      <c r="V237" t="s">
        <v>32</v>
      </c>
      <c r="W237" t="s">
        <v>33</v>
      </c>
      <c r="X237" t="str">
        <f t="shared" si="15"/>
        <v/>
      </c>
      <c r="Y237" t="str">
        <f t="shared" si="13"/>
        <v>Exclude</v>
      </c>
    </row>
    <row r="238" spans="1:25">
      <c r="A238" t="s">
        <v>821</v>
      </c>
      <c r="B238" s="3">
        <v>45579</v>
      </c>
      <c r="C238" s="3">
        <v>45586</v>
      </c>
      <c r="D238" s="6">
        <f t="shared" si="14"/>
        <v>7</v>
      </c>
      <c r="E238" t="s">
        <v>822</v>
      </c>
      <c r="F238" t="s">
        <v>114</v>
      </c>
      <c r="G238" s="5" t="s">
        <v>90</v>
      </c>
      <c r="H238" t="s">
        <v>25</v>
      </c>
      <c r="I238" t="s">
        <v>136</v>
      </c>
      <c r="J238" t="s">
        <v>137</v>
      </c>
      <c r="K238" t="s">
        <v>41</v>
      </c>
      <c r="L238" t="s">
        <v>158</v>
      </c>
      <c r="M238" t="s">
        <v>823</v>
      </c>
      <c r="N238" t="s">
        <v>50</v>
      </c>
      <c r="O238">
        <v>6</v>
      </c>
      <c r="P238">
        <v>4062.78</v>
      </c>
      <c r="Q238" s="6">
        <v>0</v>
      </c>
      <c r="R238" s="8">
        <f t="shared" si="12"/>
        <v>0</v>
      </c>
      <c r="S238">
        <v>24376.68</v>
      </c>
      <c r="T238">
        <v>18533.39</v>
      </c>
      <c r="U238">
        <v>5843.29</v>
      </c>
      <c r="V238" t="s">
        <v>32</v>
      </c>
      <c r="W238" t="s">
        <v>33</v>
      </c>
      <c r="X238" t="str">
        <f t="shared" si="15"/>
        <v/>
      </c>
      <c r="Y238" t="str">
        <f t="shared" si="13"/>
        <v>Exclude</v>
      </c>
    </row>
    <row r="239" spans="1:25">
      <c r="A239" t="s">
        <v>824</v>
      </c>
      <c r="B239" s="3">
        <v>45531</v>
      </c>
      <c r="C239" s="3">
        <v>45531</v>
      </c>
      <c r="D239" s="6">
        <f t="shared" si="14"/>
        <v>0</v>
      </c>
      <c r="E239" t="s">
        <v>825</v>
      </c>
      <c r="F239" t="s">
        <v>36</v>
      </c>
      <c r="G239" s="5" t="s">
        <v>24</v>
      </c>
      <c r="H239" t="s">
        <v>25</v>
      </c>
      <c r="I239" t="s">
        <v>237</v>
      </c>
      <c r="J239" t="s">
        <v>238</v>
      </c>
      <c r="K239" t="s">
        <v>74</v>
      </c>
      <c r="L239" t="s">
        <v>80</v>
      </c>
      <c r="M239" t="s">
        <v>826</v>
      </c>
      <c r="N239" t="s">
        <v>59</v>
      </c>
      <c r="O239">
        <v>9</v>
      </c>
      <c r="P239">
        <v>2330.3000000000002</v>
      </c>
      <c r="Q239" s="6">
        <v>0</v>
      </c>
      <c r="R239" s="8">
        <f t="shared" si="12"/>
        <v>0</v>
      </c>
      <c r="S239">
        <v>20972.7</v>
      </c>
      <c r="T239">
        <v>13504.88</v>
      </c>
      <c r="U239">
        <v>7467.82</v>
      </c>
      <c r="V239" t="s">
        <v>32</v>
      </c>
      <c r="W239" t="s">
        <v>33</v>
      </c>
      <c r="X239" t="str">
        <f t="shared" si="15"/>
        <v/>
      </c>
      <c r="Y239" t="str">
        <f t="shared" si="13"/>
        <v>Exclude</v>
      </c>
    </row>
    <row r="240" spans="1:25">
      <c r="A240" t="s">
        <v>827</v>
      </c>
      <c r="B240" s="3">
        <v>45627</v>
      </c>
      <c r="C240" s="3">
        <v>45308</v>
      </c>
      <c r="D240" s="6">
        <f t="shared" si="14"/>
        <v>-319</v>
      </c>
      <c r="E240" t="s">
        <v>828</v>
      </c>
      <c r="F240" t="s">
        <v>53</v>
      </c>
      <c r="G240" s="5" t="s">
        <v>24</v>
      </c>
      <c r="H240" t="s">
        <v>54</v>
      </c>
      <c r="I240" t="s">
        <v>84</v>
      </c>
      <c r="J240" t="s">
        <v>85</v>
      </c>
      <c r="K240" t="s">
        <v>28</v>
      </c>
      <c r="L240" t="s">
        <v>124</v>
      </c>
      <c r="M240" t="s">
        <v>829</v>
      </c>
      <c r="N240" t="s">
        <v>50</v>
      </c>
      <c r="O240">
        <v>7</v>
      </c>
      <c r="P240">
        <v>4005.05</v>
      </c>
      <c r="Q240" s="6">
        <v>0.55000000000000004</v>
      </c>
      <c r="R240" s="8">
        <f t="shared" si="12"/>
        <v>0.55000000000000004</v>
      </c>
      <c r="S240">
        <v>26633.58</v>
      </c>
      <c r="T240">
        <v>18838.75</v>
      </c>
      <c r="U240">
        <v>7794.83</v>
      </c>
      <c r="V240" t="s">
        <v>32</v>
      </c>
      <c r="W240" t="s">
        <v>33</v>
      </c>
      <c r="X240" t="str">
        <f t="shared" si="15"/>
        <v>INVALID: Discount above range; INVALID: Ship date before order date</v>
      </c>
      <c r="Y240" t="str">
        <f t="shared" si="13"/>
        <v>Exclude</v>
      </c>
    </row>
    <row r="241" spans="1:25">
      <c r="A241" t="s">
        <v>830</v>
      </c>
      <c r="B241" s="3">
        <v>45556</v>
      </c>
      <c r="C241" s="3">
        <v>45556</v>
      </c>
      <c r="D241" s="6">
        <f t="shared" si="14"/>
        <v>0</v>
      </c>
      <c r="E241" t="s">
        <v>831</v>
      </c>
      <c r="F241" t="s">
        <v>265</v>
      </c>
      <c r="G241" s="5" t="s">
        <v>90</v>
      </c>
      <c r="H241" t="s">
        <v>54</v>
      </c>
      <c r="I241" t="s">
        <v>175</v>
      </c>
      <c r="J241" t="s">
        <v>176</v>
      </c>
      <c r="K241" t="s">
        <v>74</v>
      </c>
      <c r="L241" t="s">
        <v>275</v>
      </c>
      <c r="M241" t="s">
        <v>832</v>
      </c>
      <c r="N241" t="s">
        <v>50</v>
      </c>
      <c r="O241">
        <v>2</v>
      </c>
      <c r="P241">
        <v>1960.06</v>
      </c>
      <c r="Q241" s="6">
        <v>0.2</v>
      </c>
      <c r="R241" s="8">
        <f t="shared" si="12"/>
        <v>0.2</v>
      </c>
      <c r="S241">
        <v>3136.1</v>
      </c>
      <c r="T241">
        <v>2279.4899999999998</v>
      </c>
      <c r="U241">
        <v>856.61</v>
      </c>
      <c r="V241" t="s">
        <v>32</v>
      </c>
      <c r="W241" t="s">
        <v>33</v>
      </c>
      <c r="X241" t="str">
        <f t="shared" si="15"/>
        <v/>
      </c>
      <c r="Y241" t="str">
        <f t="shared" si="13"/>
        <v>Exclude</v>
      </c>
    </row>
    <row r="242" spans="1:25">
      <c r="A242" t="s">
        <v>833</v>
      </c>
      <c r="B242" s="3">
        <v>45643</v>
      </c>
      <c r="C242" s="3">
        <v>45649</v>
      </c>
      <c r="D242" s="6">
        <f t="shared" si="14"/>
        <v>6</v>
      </c>
      <c r="E242" t="s">
        <v>834</v>
      </c>
      <c r="F242" t="s">
        <v>128</v>
      </c>
      <c r="G242" s="5" t="s">
        <v>90</v>
      </c>
      <c r="H242" t="s">
        <v>54</v>
      </c>
      <c r="I242" t="s">
        <v>55</v>
      </c>
      <c r="J242" t="s">
        <v>56</v>
      </c>
      <c r="K242" t="s">
        <v>28</v>
      </c>
      <c r="L242" t="s">
        <v>153</v>
      </c>
      <c r="M242" t="s">
        <v>835</v>
      </c>
      <c r="N242" t="s">
        <v>50</v>
      </c>
      <c r="O242">
        <v>9</v>
      </c>
      <c r="P242">
        <v>2315.1</v>
      </c>
      <c r="Q242" s="6">
        <v>0</v>
      </c>
      <c r="R242" s="8">
        <f t="shared" si="12"/>
        <v>0</v>
      </c>
      <c r="S242">
        <v>20835.900000000001</v>
      </c>
      <c r="T242">
        <v>13928.19</v>
      </c>
      <c r="U242">
        <v>6907.71</v>
      </c>
      <c r="V242" t="s">
        <v>32</v>
      </c>
      <c r="W242" t="s">
        <v>33</v>
      </c>
      <c r="X242" t="str">
        <f t="shared" si="15"/>
        <v/>
      </c>
      <c r="Y242" t="str">
        <f t="shared" si="13"/>
        <v>Exclude</v>
      </c>
    </row>
    <row r="243" spans="1:25">
      <c r="A243" t="s">
        <v>836</v>
      </c>
      <c r="B243" s="3">
        <v>45815</v>
      </c>
      <c r="C243" s="3">
        <v>45844</v>
      </c>
      <c r="D243" s="6">
        <f t="shared" si="14"/>
        <v>29</v>
      </c>
      <c r="E243" t="s">
        <v>837</v>
      </c>
      <c r="F243" t="s">
        <v>132</v>
      </c>
      <c r="G243" s="5" t="s">
        <v>90</v>
      </c>
      <c r="H243" t="s">
        <v>25</v>
      </c>
      <c r="I243" t="s">
        <v>237</v>
      </c>
      <c r="J243" t="s">
        <v>238</v>
      </c>
      <c r="K243" t="s">
        <v>28</v>
      </c>
      <c r="L243" t="s">
        <v>124</v>
      </c>
      <c r="M243" t="s">
        <v>838</v>
      </c>
      <c r="N243" t="s">
        <v>59</v>
      </c>
      <c r="O243">
        <v>1</v>
      </c>
      <c r="P243">
        <v>1617.2</v>
      </c>
      <c r="Q243" s="6">
        <v>0.25</v>
      </c>
      <c r="R243" s="8">
        <f t="shared" si="12"/>
        <v>0.25</v>
      </c>
      <c r="S243">
        <v>1212.9000000000001</v>
      </c>
      <c r="T243">
        <v>690.52</v>
      </c>
      <c r="U243">
        <v>522.38</v>
      </c>
      <c r="V243" t="s">
        <v>111</v>
      </c>
      <c r="W243" t="s">
        <v>103</v>
      </c>
      <c r="X243" t="str">
        <f t="shared" si="15"/>
        <v/>
      </c>
      <c r="Y243" t="str">
        <f t="shared" si="13"/>
        <v>Exclude</v>
      </c>
    </row>
    <row r="244" spans="1:25">
      <c r="A244" t="s">
        <v>839</v>
      </c>
      <c r="B244" s="3">
        <v>45695</v>
      </c>
      <c r="C244" s="3">
        <v>45840</v>
      </c>
      <c r="D244" s="6">
        <f t="shared" si="14"/>
        <v>145</v>
      </c>
      <c r="E244" t="s">
        <v>840</v>
      </c>
      <c r="F244" t="s">
        <v>53</v>
      </c>
      <c r="G244" s="5" t="s">
        <v>24</v>
      </c>
      <c r="H244" t="s">
        <v>25</v>
      </c>
      <c r="I244" t="s">
        <v>136</v>
      </c>
      <c r="J244" t="s">
        <v>137</v>
      </c>
      <c r="K244" t="s">
        <v>28</v>
      </c>
      <c r="L244" t="s">
        <v>48</v>
      </c>
      <c r="M244" t="s">
        <v>841</v>
      </c>
      <c r="N244" t="s">
        <v>31</v>
      </c>
      <c r="O244">
        <v>3</v>
      </c>
      <c r="P244">
        <v>1999.24</v>
      </c>
      <c r="Q244" s="6">
        <v>0.05</v>
      </c>
      <c r="R244" s="8">
        <f t="shared" si="12"/>
        <v>0.05</v>
      </c>
      <c r="S244">
        <v>5697.83</v>
      </c>
      <c r="T244">
        <v>4251.5</v>
      </c>
      <c r="U244">
        <v>1446.33</v>
      </c>
      <c r="V244" t="s">
        <v>32</v>
      </c>
      <c r="W244" t="s">
        <v>33</v>
      </c>
      <c r="X244" t="str">
        <f t="shared" si="15"/>
        <v/>
      </c>
      <c r="Y244" t="str">
        <f t="shared" si="13"/>
        <v>Exclude</v>
      </c>
    </row>
    <row r="245" spans="1:25">
      <c r="A245" t="s">
        <v>842</v>
      </c>
      <c r="B245" s="3">
        <v>45867</v>
      </c>
      <c r="C245" s="3">
        <v>45696</v>
      </c>
      <c r="D245" s="6">
        <f t="shared" si="14"/>
        <v>-171</v>
      </c>
      <c r="E245" t="s">
        <v>843</v>
      </c>
      <c r="F245" t="s">
        <v>132</v>
      </c>
      <c r="G245" s="5" t="s">
        <v>37</v>
      </c>
      <c r="H245" t="s">
        <v>2806</v>
      </c>
      <c r="I245" t="s">
        <v>72</v>
      </c>
      <c r="J245" t="s">
        <v>73</v>
      </c>
      <c r="K245" t="s">
        <v>74</v>
      </c>
      <c r="L245" t="s">
        <v>75</v>
      </c>
      <c r="M245" t="s">
        <v>844</v>
      </c>
      <c r="N245" t="s">
        <v>50</v>
      </c>
      <c r="O245">
        <v>1</v>
      </c>
      <c r="P245">
        <v>4499.46</v>
      </c>
      <c r="Q245" s="6">
        <v>0.1</v>
      </c>
      <c r="R245" s="8">
        <f t="shared" si="12"/>
        <v>0.1</v>
      </c>
      <c r="S245">
        <v>4049.51</v>
      </c>
      <c r="T245">
        <v>2509.1999999999998</v>
      </c>
      <c r="U245">
        <v>1540.31</v>
      </c>
      <c r="V245" t="s">
        <v>32</v>
      </c>
      <c r="W245" t="s">
        <v>681</v>
      </c>
      <c r="X245" t="str">
        <f t="shared" si="15"/>
        <v>INVALID: Ship date before order date</v>
      </c>
      <c r="Y245" t="str">
        <f t="shared" si="13"/>
        <v>Exclude</v>
      </c>
    </row>
    <row r="246" spans="1:25">
      <c r="A246" t="s">
        <v>845</v>
      </c>
      <c r="B246" s="3">
        <v>45527</v>
      </c>
      <c r="C246" s="3">
        <v>45528</v>
      </c>
      <c r="D246" s="6">
        <f t="shared" si="14"/>
        <v>1</v>
      </c>
      <c r="E246" t="s">
        <v>846</v>
      </c>
      <c r="F246" t="s">
        <v>79</v>
      </c>
      <c r="G246" s="5" t="s">
        <v>24</v>
      </c>
      <c r="H246" t="s">
        <v>54</v>
      </c>
      <c r="I246" t="s">
        <v>55</v>
      </c>
      <c r="J246" t="s">
        <v>56</v>
      </c>
      <c r="K246" t="s">
        <v>41</v>
      </c>
      <c r="L246" t="s">
        <v>158</v>
      </c>
      <c r="M246" t="s">
        <v>847</v>
      </c>
      <c r="N246" t="s">
        <v>44</v>
      </c>
      <c r="O246">
        <v>6</v>
      </c>
      <c r="P246">
        <v>1021.89</v>
      </c>
      <c r="Q246" s="6">
        <v>0</v>
      </c>
      <c r="R246" s="8">
        <f t="shared" si="12"/>
        <v>0</v>
      </c>
      <c r="S246">
        <v>6131.34</v>
      </c>
      <c r="T246">
        <v>4060.88</v>
      </c>
      <c r="U246">
        <v>2070.46</v>
      </c>
      <c r="V246" t="s">
        <v>32</v>
      </c>
      <c r="W246" t="s">
        <v>33</v>
      </c>
      <c r="X246" t="str">
        <f t="shared" si="15"/>
        <v/>
      </c>
      <c r="Y246" t="str">
        <f t="shared" si="13"/>
        <v>Exclude</v>
      </c>
    </row>
    <row r="247" spans="1:25">
      <c r="A247" t="s">
        <v>848</v>
      </c>
      <c r="B247" s="3">
        <v>45583</v>
      </c>
      <c r="C247" s="3">
        <v>45589</v>
      </c>
      <c r="D247" s="6">
        <f t="shared" si="14"/>
        <v>6</v>
      </c>
      <c r="E247" t="s">
        <v>849</v>
      </c>
      <c r="F247" t="s">
        <v>79</v>
      </c>
      <c r="G247" s="5" t="s">
        <v>95</v>
      </c>
      <c r="H247" t="s">
        <v>54</v>
      </c>
      <c r="I247" t="s">
        <v>185</v>
      </c>
      <c r="J247" t="s">
        <v>186</v>
      </c>
      <c r="K247" t="s">
        <v>850</v>
      </c>
      <c r="L247" t="s">
        <v>66</v>
      </c>
      <c r="M247" t="s">
        <v>851</v>
      </c>
      <c r="N247" t="s">
        <v>31</v>
      </c>
      <c r="O247">
        <v>3</v>
      </c>
      <c r="P247">
        <v>3275.93</v>
      </c>
      <c r="Q247" s="6">
        <v>0</v>
      </c>
      <c r="R247" s="8">
        <f t="shared" si="12"/>
        <v>0</v>
      </c>
      <c r="S247">
        <v>9827.7900000000009</v>
      </c>
      <c r="T247">
        <v>5478.28</v>
      </c>
      <c r="U247">
        <v>4349.51</v>
      </c>
      <c r="V247" t="s">
        <v>32</v>
      </c>
      <c r="W247" t="s">
        <v>33</v>
      </c>
      <c r="X247" t="str">
        <f t="shared" si="15"/>
        <v/>
      </c>
      <c r="Y247" t="str">
        <f t="shared" si="13"/>
        <v>Exclude</v>
      </c>
    </row>
    <row r="248" spans="1:25">
      <c r="A248" t="s">
        <v>852</v>
      </c>
      <c r="B248" s="3">
        <v>45416</v>
      </c>
      <c r="C248" s="3">
        <v>45540</v>
      </c>
      <c r="D248" s="6">
        <f t="shared" si="14"/>
        <v>124</v>
      </c>
      <c r="E248" t="s">
        <v>853</v>
      </c>
      <c r="F248" t="s">
        <v>62</v>
      </c>
      <c r="G248" s="5" t="s">
        <v>90</v>
      </c>
      <c r="H248" t="s">
        <v>25</v>
      </c>
      <c r="I248" t="s">
        <v>122</v>
      </c>
      <c r="J248" t="s">
        <v>123</v>
      </c>
      <c r="K248" t="s">
        <v>74</v>
      </c>
      <c r="L248" t="s">
        <v>275</v>
      </c>
      <c r="M248" t="s">
        <v>854</v>
      </c>
      <c r="N248" t="s">
        <v>44</v>
      </c>
      <c r="O248">
        <v>3</v>
      </c>
      <c r="P248">
        <v>231.95</v>
      </c>
      <c r="Q248" s="6">
        <v>0.25</v>
      </c>
      <c r="R248" s="8">
        <f t="shared" si="12"/>
        <v>0.25</v>
      </c>
      <c r="S248">
        <v>521.89</v>
      </c>
      <c r="T248">
        <v>444.52</v>
      </c>
      <c r="U248">
        <v>77.37</v>
      </c>
      <c r="V248" t="s">
        <v>102</v>
      </c>
      <c r="W248" t="s">
        <v>68</v>
      </c>
      <c r="X248" t="str">
        <f t="shared" si="15"/>
        <v>EXCLUDE: Cancelled order; REFUND: Summarize separately</v>
      </c>
      <c r="Y248" t="str">
        <f t="shared" si="13"/>
        <v>Exclude</v>
      </c>
    </row>
    <row r="249" spans="1:25">
      <c r="A249" t="s">
        <v>855</v>
      </c>
      <c r="B249" s="3">
        <v>45498</v>
      </c>
      <c r="C249" s="3">
        <v>45299</v>
      </c>
      <c r="D249" s="6">
        <f t="shared" si="14"/>
        <v>-199</v>
      </c>
      <c r="E249" t="s">
        <v>856</v>
      </c>
      <c r="F249" t="s">
        <v>118</v>
      </c>
      <c r="G249" s="5" t="s">
        <v>90</v>
      </c>
      <c r="H249" t="s">
        <v>25</v>
      </c>
      <c r="I249" t="s">
        <v>26</v>
      </c>
      <c r="J249" t="s">
        <v>27</v>
      </c>
      <c r="K249" t="s">
        <v>74</v>
      </c>
      <c r="L249" t="s">
        <v>75</v>
      </c>
      <c r="M249" t="s">
        <v>857</v>
      </c>
      <c r="N249" t="s">
        <v>31</v>
      </c>
      <c r="O249">
        <v>8</v>
      </c>
      <c r="P249">
        <v>2493.4</v>
      </c>
      <c r="Q249" s="6">
        <v>0.25</v>
      </c>
      <c r="R249" s="8">
        <f t="shared" si="12"/>
        <v>0.25</v>
      </c>
      <c r="S249">
        <v>14960.4</v>
      </c>
      <c r="T249">
        <v>12500.84</v>
      </c>
      <c r="U249">
        <v>2459.56</v>
      </c>
      <c r="V249" t="s">
        <v>32</v>
      </c>
      <c r="W249" t="s">
        <v>33</v>
      </c>
      <c r="X249" t="str">
        <f t="shared" si="15"/>
        <v>INVALID: Ship date before order date</v>
      </c>
      <c r="Y249" t="str">
        <f t="shared" si="13"/>
        <v>Exclude</v>
      </c>
    </row>
    <row r="250" spans="1:25">
      <c r="A250" t="s">
        <v>858</v>
      </c>
      <c r="B250" s="3">
        <v>45328</v>
      </c>
      <c r="C250" s="3">
        <v>45450</v>
      </c>
      <c r="D250" s="6">
        <f t="shared" si="14"/>
        <v>122</v>
      </c>
      <c r="E250" t="s">
        <v>859</v>
      </c>
      <c r="F250" t="s">
        <v>141</v>
      </c>
      <c r="G250" s="5" t="s">
        <v>95</v>
      </c>
      <c r="H250" t="s">
        <v>38</v>
      </c>
      <c r="I250" t="s">
        <v>39</v>
      </c>
      <c r="J250" t="s">
        <v>40</v>
      </c>
      <c r="K250" t="s">
        <v>28</v>
      </c>
      <c r="L250" t="s">
        <v>91</v>
      </c>
      <c r="M250" t="s">
        <v>860</v>
      </c>
      <c r="N250" t="s">
        <v>31</v>
      </c>
      <c r="O250">
        <v>9</v>
      </c>
      <c r="P250">
        <v>787.91</v>
      </c>
      <c r="Q250" s="6">
        <v>0.15</v>
      </c>
      <c r="R250" s="8">
        <f t="shared" si="12"/>
        <v>0.15</v>
      </c>
      <c r="S250">
        <v>6027.51</v>
      </c>
      <c r="T250">
        <v>4883.82</v>
      </c>
      <c r="U250">
        <v>1143.69</v>
      </c>
      <c r="V250" t="s">
        <v>32</v>
      </c>
      <c r="W250" t="s">
        <v>33</v>
      </c>
      <c r="X250" t="str">
        <f t="shared" si="15"/>
        <v/>
      </c>
      <c r="Y250" t="str">
        <f t="shared" si="13"/>
        <v>Exclude</v>
      </c>
    </row>
    <row r="251" spans="1:25">
      <c r="A251" t="s">
        <v>861</v>
      </c>
      <c r="B251" s="3">
        <v>45665</v>
      </c>
      <c r="C251" s="3">
        <v>45696</v>
      </c>
      <c r="D251" s="6">
        <f t="shared" si="14"/>
        <v>31</v>
      </c>
      <c r="E251" t="s">
        <v>862</v>
      </c>
      <c r="F251" t="s">
        <v>36</v>
      </c>
      <c r="G251" s="5" t="s">
        <v>90</v>
      </c>
      <c r="H251" t="s">
        <v>25</v>
      </c>
      <c r="I251" t="s">
        <v>26</v>
      </c>
      <c r="J251" t="s">
        <v>27</v>
      </c>
      <c r="K251" t="s">
        <v>41</v>
      </c>
      <c r="L251" t="s">
        <v>57</v>
      </c>
      <c r="M251" t="s">
        <v>863</v>
      </c>
      <c r="N251" t="s">
        <v>50</v>
      </c>
      <c r="O251">
        <v>4</v>
      </c>
      <c r="P251">
        <v>2790.29</v>
      </c>
      <c r="Q251" s="6">
        <v>0.2</v>
      </c>
      <c r="R251" s="8">
        <f t="shared" si="12"/>
        <v>0.2</v>
      </c>
      <c r="S251">
        <v>8928.93</v>
      </c>
      <c r="T251">
        <v>5634.38</v>
      </c>
      <c r="U251">
        <v>3294.55</v>
      </c>
      <c r="V251" t="s">
        <v>32</v>
      </c>
      <c r="W251" t="s">
        <v>33</v>
      </c>
      <c r="X251" t="str">
        <f t="shared" si="15"/>
        <v/>
      </c>
      <c r="Y251" t="str">
        <f t="shared" si="13"/>
        <v>Exclude</v>
      </c>
    </row>
    <row r="252" spans="1:25">
      <c r="A252" t="s">
        <v>864</v>
      </c>
      <c r="B252" s="3">
        <v>45343</v>
      </c>
      <c r="C252" s="3">
        <v>45349</v>
      </c>
      <c r="D252" s="6">
        <f t="shared" si="14"/>
        <v>6</v>
      </c>
      <c r="E252" t="s">
        <v>865</v>
      </c>
      <c r="F252" t="s">
        <v>53</v>
      </c>
      <c r="G252" s="5" t="s">
        <v>37</v>
      </c>
      <c r="H252" t="s">
        <v>38</v>
      </c>
      <c r="I252" t="s">
        <v>99</v>
      </c>
      <c r="J252" t="s">
        <v>100</v>
      </c>
      <c r="K252" t="s">
        <v>41</v>
      </c>
      <c r="L252" t="s">
        <v>57</v>
      </c>
      <c r="M252" t="s">
        <v>866</v>
      </c>
      <c r="N252" t="s">
        <v>59</v>
      </c>
      <c r="O252">
        <v>5</v>
      </c>
      <c r="P252">
        <v>3373.86</v>
      </c>
      <c r="Q252" s="6">
        <v>0.15</v>
      </c>
      <c r="R252" s="8">
        <f t="shared" si="12"/>
        <v>0.15</v>
      </c>
      <c r="S252">
        <v>14338.9</v>
      </c>
      <c r="T252">
        <v>11897.65</v>
      </c>
      <c r="U252">
        <v>2441.25</v>
      </c>
      <c r="V252" t="s">
        <v>111</v>
      </c>
      <c r="W252" t="s">
        <v>103</v>
      </c>
      <c r="X252" t="str">
        <f t="shared" si="15"/>
        <v/>
      </c>
      <c r="Y252" t="str">
        <f t="shared" si="13"/>
        <v>Exclude</v>
      </c>
    </row>
    <row r="253" spans="1:25">
      <c r="A253" t="s">
        <v>867</v>
      </c>
      <c r="B253" s="3">
        <v>45753</v>
      </c>
      <c r="C253" s="3">
        <v>45934</v>
      </c>
      <c r="D253" s="6">
        <f t="shared" si="14"/>
        <v>181</v>
      </c>
      <c r="E253" t="s">
        <v>868</v>
      </c>
      <c r="F253" t="s">
        <v>62</v>
      </c>
      <c r="G253" s="5" t="s">
        <v>90</v>
      </c>
      <c r="H253" t="s">
        <v>63</v>
      </c>
      <c r="I253" t="s">
        <v>180</v>
      </c>
      <c r="J253" t="s">
        <v>181</v>
      </c>
      <c r="K253" t="s">
        <v>41</v>
      </c>
      <c r="L253" t="s">
        <v>42</v>
      </c>
      <c r="M253" t="s">
        <v>869</v>
      </c>
      <c r="N253" t="s">
        <v>31</v>
      </c>
      <c r="O253">
        <v>6</v>
      </c>
      <c r="P253">
        <v>1022.16</v>
      </c>
      <c r="Q253" s="6">
        <v>0</v>
      </c>
      <c r="R253" s="8">
        <f t="shared" si="12"/>
        <v>0</v>
      </c>
      <c r="S253">
        <v>6132.96</v>
      </c>
      <c r="T253">
        <v>4881.1000000000004</v>
      </c>
      <c r="U253">
        <v>1251.8599999999999</v>
      </c>
      <c r="V253" t="s">
        <v>32</v>
      </c>
      <c r="W253" t="s">
        <v>33</v>
      </c>
      <c r="X253" t="str">
        <f t="shared" si="15"/>
        <v/>
      </c>
      <c r="Y253" t="str">
        <f t="shared" si="13"/>
        <v>Exclude</v>
      </c>
    </row>
    <row r="254" spans="1:25">
      <c r="A254" t="s">
        <v>870</v>
      </c>
      <c r="B254" s="3">
        <v>45833</v>
      </c>
      <c r="C254" s="3">
        <v>45836</v>
      </c>
      <c r="D254" s="6">
        <f t="shared" si="14"/>
        <v>3</v>
      </c>
      <c r="E254" t="s">
        <v>871</v>
      </c>
      <c r="F254" t="s">
        <v>53</v>
      </c>
      <c r="G254" s="5" t="s">
        <v>90</v>
      </c>
      <c r="H254" t="s">
        <v>25</v>
      </c>
      <c r="I254" t="s">
        <v>237</v>
      </c>
      <c r="J254" t="s">
        <v>238</v>
      </c>
      <c r="K254" t="s">
        <v>28</v>
      </c>
      <c r="L254" t="s">
        <v>124</v>
      </c>
      <c r="M254" t="s">
        <v>872</v>
      </c>
      <c r="N254" t="s">
        <v>50</v>
      </c>
      <c r="O254">
        <v>2</v>
      </c>
      <c r="P254">
        <v>1455.92</v>
      </c>
      <c r="Q254" s="6">
        <v>0.2</v>
      </c>
      <c r="R254" s="8">
        <f t="shared" si="12"/>
        <v>0.2</v>
      </c>
      <c r="S254">
        <v>2329.4699999999998</v>
      </c>
      <c r="T254">
        <v>1603.62</v>
      </c>
      <c r="U254">
        <v>725.85</v>
      </c>
      <c r="V254" t="s">
        <v>111</v>
      </c>
      <c r="W254" t="s">
        <v>103</v>
      </c>
      <c r="X254" t="str">
        <f t="shared" si="15"/>
        <v/>
      </c>
      <c r="Y254" t="str">
        <f t="shared" si="13"/>
        <v>Exclude</v>
      </c>
    </row>
    <row r="255" spans="1:25">
      <c r="A255" t="s">
        <v>873</v>
      </c>
      <c r="B255" s="3">
        <v>45547</v>
      </c>
      <c r="C255" s="3">
        <v>45548</v>
      </c>
      <c r="D255" s="6">
        <f t="shared" si="14"/>
        <v>1</v>
      </c>
      <c r="E255" t="s">
        <v>874</v>
      </c>
      <c r="F255" t="s">
        <v>114</v>
      </c>
      <c r="G255" s="5" t="s">
        <v>37</v>
      </c>
      <c r="H255" t="s">
        <v>25</v>
      </c>
      <c r="I255" t="s">
        <v>26</v>
      </c>
      <c r="J255" t="s">
        <v>27</v>
      </c>
      <c r="K255" t="s">
        <v>74</v>
      </c>
      <c r="L255" t="s">
        <v>171</v>
      </c>
      <c r="M255" t="s">
        <v>875</v>
      </c>
      <c r="N255" t="s">
        <v>44</v>
      </c>
      <c r="O255">
        <v>6</v>
      </c>
      <c r="P255">
        <v>832.79</v>
      </c>
      <c r="Q255" s="6">
        <v>0.05</v>
      </c>
      <c r="R255" s="8">
        <f t="shared" si="12"/>
        <v>0.05</v>
      </c>
      <c r="S255">
        <v>4746.8999999999996</v>
      </c>
      <c r="T255">
        <v>2825.38</v>
      </c>
      <c r="U255">
        <v>1472.89</v>
      </c>
      <c r="V255" t="s">
        <v>102</v>
      </c>
      <c r="W255" t="s">
        <v>68</v>
      </c>
      <c r="X255" t="str">
        <f t="shared" si="15"/>
        <v>EXCLUDE: Cancelled order; REFUND: Summarize separately</v>
      </c>
      <c r="Y255" t="str">
        <f t="shared" si="13"/>
        <v>Exclude</v>
      </c>
    </row>
    <row r="256" spans="1:25">
      <c r="A256" t="s">
        <v>876</v>
      </c>
      <c r="B256" s="3">
        <v>45658</v>
      </c>
      <c r="C256" s="3">
        <v>45660</v>
      </c>
      <c r="D256" s="6">
        <f t="shared" si="14"/>
        <v>2</v>
      </c>
      <c r="E256" t="s">
        <v>877</v>
      </c>
      <c r="F256" t="s">
        <v>62</v>
      </c>
      <c r="G256" s="5" t="s">
        <v>24</v>
      </c>
      <c r="H256" t="s">
        <v>63</v>
      </c>
      <c r="I256" t="s">
        <v>72</v>
      </c>
      <c r="J256" t="s">
        <v>73</v>
      </c>
      <c r="K256" t="s">
        <v>74</v>
      </c>
      <c r="L256" t="s">
        <v>75</v>
      </c>
      <c r="M256" t="s">
        <v>878</v>
      </c>
      <c r="N256" t="s">
        <v>44</v>
      </c>
      <c r="O256">
        <v>7</v>
      </c>
      <c r="P256">
        <v>1000.55</v>
      </c>
      <c r="Q256" s="6">
        <v>0.2</v>
      </c>
      <c r="R256" s="8">
        <f t="shared" si="12"/>
        <v>0.2</v>
      </c>
      <c r="S256">
        <v>5603.08</v>
      </c>
      <c r="T256">
        <v>3132.52</v>
      </c>
      <c r="U256">
        <v>2470.56</v>
      </c>
      <c r="V256" t="s">
        <v>32</v>
      </c>
      <c r="W256" t="s">
        <v>103</v>
      </c>
      <c r="X256" t="str">
        <f t="shared" si="15"/>
        <v/>
      </c>
      <c r="Y256" t="str">
        <f t="shared" si="13"/>
        <v>Exclude</v>
      </c>
    </row>
    <row r="257" spans="1:25">
      <c r="A257" t="s">
        <v>879</v>
      </c>
      <c r="B257" s="3">
        <v>45692</v>
      </c>
      <c r="C257" s="3">
        <v>45932</v>
      </c>
      <c r="D257" s="6">
        <f t="shared" si="14"/>
        <v>240</v>
      </c>
      <c r="E257" t="s">
        <v>880</v>
      </c>
      <c r="F257" t="s">
        <v>47</v>
      </c>
      <c r="G257" s="5" t="s">
        <v>90</v>
      </c>
      <c r="H257" t="s">
        <v>63</v>
      </c>
      <c r="I257" t="s">
        <v>64</v>
      </c>
      <c r="J257" t="s">
        <v>65</v>
      </c>
      <c r="K257" t="s">
        <v>74</v>
      </c>
      <c r="L257" t="s">
        <v>171</v>
      </c>
      <c r="M257" t="s">
        <v>881</v>
      </c>
      <c r="N257" t="s">
        <v>50</v>
      </c>
      <c r="O257">
        <v>7</v>
      </c>
      <c r="P257">
        <v>1830</v>
      </c>
      <c r="Q257" s="6">
        <v>0</v>
      </c>
      <c r="R257" s="8">
        <f t="shared" si="12"/>
        <v>0</v>
      </c>
      <c r="S257">
        <v>12810</v>
      </c>
      <c r="T257">
        <v>9334.1200000000008</v>
      </c>
      <c r="U257">
        <v>3475.88</v>
      </c>
      <c r="V257" t="s">
        <v>32</v>
      </c>
      <c r="W257" t="s">
        <v>33</v>
      </c>
      <c r="X257" t="str">
        <f t="shared" si="15"/>
        <v/>
      </c>
      <c r="Y257" t="str">
        <f t="shared" si="13"/>
        <v>Exclude</v>
      </c>
    </row>
    <row r="258" spans="1:25">
      <c r="A258" t="s">
        <v>882</v>
      </c>
      <c r="B258" s="3">
        <v>45601</v>
      </c>
      <c r="C258" s="3">
        <v>45362</v>
      </c>
      <c r="D258" s="6">
        <f t="shared" si="14"/>
        <v>-239</v>
      </c>
      <c r="E258" t="s">
        <v>883</v>
      </c>
      <c r="F258" t="s">
        <v>62</v>
      </c>
      <c r="G258" s="5" t="s">
        <v>24</v>
      </c>
      <c r="H258" t="s">
        <v>38</v>
      </c>
      <c r="I258" t="s">
        <v>99</v>
      </c>
      <c r="J258" t="s">
        <v>100</v>
      </c>
      <c r="K258" t="s">
        <v>41</v>
      </c>
      <c r="L258" t="s">
        <v>42</v>
      </c>
      <c r="M258" t="s">
        <v>884</v>
      </c>
      <c r="N258" t="s">
        <v>50</v>
      </c>
      <c r="O258">
        <v>9</v>
      </c>
      <c r="P258">
        <v>2260.61</v>
      </c>
      <c r="Q258" s="6">
        <v>0.05</v>
      </c>
      <c r="R258" s="8">
        <f t="shared" ref="R258:R321" si="16">IF(ISBLANK(Q258),IF(AND(ISNUMBER(O258),O258&gt;0,ISNUMBER(P258),ISNUMBER(S258),ISNUMBER(T258),ISNUMBER(U258)),0,""),Q258)</f>
        <v>0.05</v>
      </c>
      <c r="S258">
        <v>19328.22</v>
      </c>
      <c r="T258">
        <v>12039.5</v>
      </c>
      <c r="U258">
        <v>7288.72</v>
      </c>
      <c r="V258" t="s">
        <v>32</v>
      </c>
      <c r="W258" t="s">
        <v>33</v>
      </c>
      <c r="X258" t="str">
        <f t="shared" si="15"/>
        <v>INVALID: Ship date before order date</v>
      </c>
      <c r="Y258" t="str">
        <f t="shared" ref="Y258:Y321" si="17">IF(AND(U258="Completed",T258="Paid",ISERROR(SEARCH("INVALID",W258))),"Include","Exclude")</f>
        <v>Exclude</v>
      </c>
    </row>
    <row r="259" spans="1:25">
      <c r="A259" t="s">
        <v>885</v>
      </c>
      <c r="B259" s="3">
        <v>45878</v>
      </c>
      <c r="C259" s="3">
        <v>45999</v>
      </c>
      <c r="D259" s="6">
        <f t="shared" ref="D259:D322" si="18">IF(OR(B259="",C259=""),"",C259-B259)</f>
        <v>121</v>
      </c>
      <c r="E259" t="s">
        <v>886</v>
      </c>
      <c r="F259" t="s">
        <v>162</v>
      </c>
      <c r="G259" s="5" t="s">
        <v>90</v>
      </c>
      <c r="H259" t="s">
        <v>54</v>
      </c>
      <c r="I259" t="s">
        <v>175</v>
      </c>
      <c r="J259" t="s">
        <v>176</v>
      </c>
      <c r="K259" t="s">
        <v>74</v>
      </c>
      <c r="L259" t="s">
        <v>75</v>
      </c>
      <c r="M259" t="s">
        <v>887</v>
      </c>
      <c r="N259" t="s">
        <v>31</v>
      </c>
      <c r="O259">
        <v>2</v>
      </c>
      <c r="P259">
        <v>3237.27</v>
      </c>
      <c r="Q259" s="6">
        <v>0</v>
      </c>
      <c r="R259" s="8">
        <f t="shared" si="16"/>
        <v>0</v>
      </c>
      <c r="S259">
        <v>6474.54</v>
      </c>
      <c r="T259">
        <v>5095.91</v>
      </c>
      <c r="U259">
        <v>1378.63</v>
      </c>
      <c r="V259" t="s">
        <v>32</v>
      </c>
      <c r="W259" t="s">
        <v>68</v>
      </c>
      <c r="X259" t="str">
        <f t="shared" ref="X259:X322" si="19">_xlfn.TEXTJOIN("; ",TRUE,IF(R259&lt;0,"INVALID: Negative discount",""),IF(R259&gt;50%,"INVALID: Discount above range",""),IF(D259&lt;0,"INVALID: Ship date before order date",""),IF(W259="Cancelled","EXCLUDE: Cancelled order",""),IF(V259="Failed","EXCLUDE: Failed payment",""),IF(V259="Refunded","REFUND: Summarize separately",""))</f>
        <v>EXCLUDE: Cancelled order</v>
      </c>
      <c r="Y259" t="str">
        <f t="shared" si="17"/>
        <v>Exclude</v>
      </c>
    </row>
    <row r="260" spans="1:25">
      <c r="A260" t="s">
        <v>888</v>
      </c>
      <c r="B260" s="3">
        <v>45656</v>
      </c>
      <c r="C260" s="3">
        <v>45748</v>
      </c>
      <c r="D260" s="6">
        <f t="shared" si="18"/>
        <v>92</v>
      </c>
      <c r="E260" t="s">
        <v>889</v>
      </c>
      <c r="F260" t="s">
        <v>132</v>
      </c>
      <c r="G260" s="5" t="s">
        <v>90</v>
      </c>
      <c r="H260" t="s">
        <v>54</v>
      </c>
      <c r="I260" t="s">
        <v>248</v>
      </c>
      <c r="J260" t="s">
        <v>249</v>
      </c>
      <c r="K260" t="s">
        <v>41</v>
      </c>
      <c r="L260" t="s">
        <v>42</v>
      </c>
      <c r="M260" t="s">
        <v>890</v>
      </c>
      <c r="N260" t="s">
        <v>44</v>
      </c>
      <c r="O260">
        <v>2</v>
      </c>
      <c r="P260">
        <v>3720.07</v>
      </c>
      <c r="Q260" s="6">
        <v>0.25</v>
      </c>
      <c r="R260" s="8">
        <f t="shared" si="16"/>
        <v>0.25</v>
      </c>
      <c r="S260">
        <v>5580.11</v>
      </c>
      <c r="T260">
        <v>4307.01</v>
      </c>
      <c r="U260">
        <v>1273.0999999999999</v>
      </c>
      <c r="V260" t="s">
        <v>32</v>
      </c>
      <c r="W260" t="s">
        <v>33</v>
      </c>
      <c r="X260" t="str">
        <f t="shared" si="19"/>
        <v/>
      </c>
      <c r="Y260" t="str">
        <f t="shared" si="17"/>
        <v>Exclude</v>
      </c>
    </row>
    <row r="261" spans="1:25">
      <c r="A261" t="s">
        <v>891</v>
      </c>
      <c r="B261" s="3">
        <v>45464</v>
      </c>
      <c r="C261" s="3">
        <v>45472</v>
      </c>
      <c r="D261" s="6">
        <f t="shared" si="18"/>
        <v>8</v>
      </c>
      <c r="E261" t="s">
        <v>892</v>
      </c>
      <c r="F261" t="s">
        <v>79</v>
      </c>
      <c r="G261" s="5" t="s">
        <v>24</v>
      </c>
      <c r="H261" t="s">
        <v>54</v>
      </c>
      <c r="I261" t="s">
        <v>248</v>
      </c>
      <c r="J261" t="s">
        <v>249</v>
      </c>
      <c r="K261" t="s">
        <v>74</v>
      </c>
      <c r="L261" t="s">
        <v>275</v>
      </c>
      <c r="M261" t="s">
        <v>893</v>
      </c>
      <c r="N261" t="s">
        <v>59</v>
      </c>
      <c r="O261">
        <v>8</v>
      </c>
      <c r="P261">
        <v>2853.92</v>
      </c>
      <c r="Q261" s="6">
        <v>0.2</v>
      </c>
      <c r="R261" s="8">
        <f t="shared" si="16"/>
        <v>0.2</v>
      </c>
      <c r="S261">
        <v>18265.09</v>
      </c>
      <c r="T261">
        <v>10437.14</v>
      </c>
      <c r="U261">
        <v>7827.95</v>
      </c>
      <c r="V261" t="s">
        <v>32</v>
      </c>
      <c r="W261" t="s">
        <v>33</v>
      </c>
      <c r="X261" t="str">
        <f t="shared" si="19"/>
        <v/>
      </c>
      <c r="Y261" t="str">
        <f t="shared" si="17"/>
        <v>Exclude</v>
      </c>
    </row>
    <row r="262" spans="1:25">
      <c r="A262" t="s">
        <v>894</v>
      </c>
      <c r="B262" s="3">
        <v>45923</v>
      </c>
      <c r="C262" s="3">
        <v>45927</v>
      </c>
      <c r="D262" s="6">
        <f t="shared" si="18"/>
        <v>4</v>
      </c>
      <c r="E262" t="s">
        <v>895</v>
      </c>
      <c r="F262" t="s">
        <v>89</v>
      </c>
      <c r="G262" s="5" t="s">
        <v>90</v>
      </c>
      <c r="H262" t="s">
        <v>38</v>
      </c>
      <c r="I262" t="s">
        <v>99</v>
      </c>
      <c r="J262" t="s">
        <v>100</v>
      </c>
      <c r="K262" t="s">
        <v>28</v>
      </c>
      <c r="L262" t="s">
        <v>153</v>
      </c>
      <c r="M262" t="s">
        <v>896</v>
      </c>
      <c r="N262" t="s">
        <v>44</v>
      </c>
      <c r="O262">
        <v>7</v>
      </c>
      <c r="P262">
        <v>2897.12</v>
      </c>
      <c r="Q262" s="6">
        <v>0.25</v>
      </c>
      <c r="R262" s="8">
        <f t="shared" si="16"/>
        <v>0.25</v>
      </c>
      <c r="S262">
        <v>15209.88</v>
      </c>
      <c r="T262">
        <v>10891.15</v>
      </c>
      <c r="U262">
        <v>4318.7299999999996</v>
      </c>
      <c r="V262" t="s">
        <v>155</v>
      </c>
      <c r="W262" t="s">
        <v>103</v>
      </c>
      <c r="X262" t="str">
        <f t="shared" si="19"/>
        <v>EXCLUDE: Failed payment</v>
      </c>
      <c r="Y262" t="str">
        <f t="shared" si="17"/>
        <v>Exclude</v>
      </c>
    </row>
    <row r="263" spans="1:25">
      <c r="A263" t="s">
        <v>897</v>
      </c>
      <c r="B263" s="3">
        <v>45826</v>
      </c>
      <c r="C263" s="3">
        <v>45832</v>
      </c>
      <c r="D263" s="6">
        <f t="shared" si="18"/>
        <v>6</v>
      </c>
      <c r="E263" t="s">
        <v>898</v>
      </c>
      <c r="F263" t="s">
        <v>132</v>
      </c>
      <c r="G263" s="5" t="s">
        <v>90</v>
      </c>
      <c r="H263" t="s">
        <v>25</v>
      </c>
      <c r="I263" t="s">
        <v>26</v>
      </c>
      <c r="J263" t="s">
        <v>27</v>
      </c>
      <c r="K263" t="s">
        <v>28</v>
      </c>
      <c r="L263" t="s">
        <v>91</v>
      </c>
      <c r="M263" t="s">
        <v>899</v>
      </c>
      <c r="N263" t="s">
        <v>59</v>
      </c>
      <c r="O263">
        <v>3</v>
      </c>
      <c r="P263">
        <v>686.74</v>
      </c>
      <c r="Q263" s="6">
        <v>0.2</v>
      </c>
      <c r="R263" s="8">
        <f t="shared" si="16"/>
        <v>0.2</v>
      </c>
      <c r="S263">
        <v>1648.18</v>
      </c>
      <c r="T263">
        <v>987.91</v>
      </c>
      <c r="U263">
        <v>660.27</v>
      </c>
      <c r="V263" t="s">
        <v>155</v>
      </c>
      <c r="W263" t="s">
        <v>68</v>
      </c>
      <c r="X263" t="str">
        <f t="shared" si="19"/>
        <v>EXCLUDE: Cancelled order; EXCLUDE: Failed payment</v>
      </c>
      <c r="Y263" t="str">
        <f t="shared" si="17"/>
        <v>Exclude</v>
      </c>
    </row>
    <row r="264" spans="1:25">
      <c r="A264" t="s">
        <v>900</v>
      </c>
      <c r="B264" s="3">
        <v>45803</v>
      </c>
      <c r="C264" s="3">
        <v>45663</v>
      </c>
      <c r="D264" s="6">
        <f t="shared" si="18"/>
        <v>-140</v>
      </c>
      <c r="E264" t="s">
        <v>632</v>
      </c>
      <c r="F264" t="s">
        <v>53</v>
      </c>
      <c r="G264" s="5" t="s">
        <v>37</v>
      </c>
      <c r="H264" t="s">
        <v>25</v>
      </c>
      <c r="I264" t="s">
        <v>351</v>
      </c>
      <c r="J264" t="s">
        <v>352</v>
      </c>
      <c r="K264" t="s">
        <v>74</v>
      </c>
      <c r="L264" t="s">
        <v>171</v>
      </c>
      <c r="M264" t="s">
        <v>901</v>
      </c>
      <c r="N264" t="s">
        <v>44</v>
      </c>
      <c r="O264">
        <v>4</v>
      </c>
      <c r="P264">
        <v>3349.86</v>
      </c>
      <c r="Q264" s="6">
        <v>0</v>
      </c>
      <c r="R264" s="8">
        <f t="shared" si="16"/>
        <v>0</v>
      </c>
      <c r="S264">
        <v>13399.44</v>
      </c>
      <c r="T264">
        <v>8581.35</v>
      </c>
      <c r="U264">
        <v>4818.09</v>
      </c>
      <c r="V264" t="s">
        <v>111</v>
      </c>
      <c r="W264" t="s">
        <v>103</v>
      </c>
      <c r="X264" t="str">
        <f t="shared" si="19"/>
        <v>INVALID: Ship date before order date</v>
      </c>
      <c r="Y264" t="str">
        <f t="shared" si="17"/>
        <v>Exclude</v>
      </c>
    </row>
    <row r="265" spans="1:25">
      <c r="A265" t="s">
        <v>902</v>
      </c>
      <c r="B265" s="3">
        <v>45875</v>
      </c>
      <c r="C265" s="3">
        <v>45879</v>
      </c>
      <c r="D265" s="6">
        <f t="shared" si="18"/>
        <v>4</v>
      </c>
      <c r="E265" t="s">
        <v>903</v>
      </c>
      <c r="F265" t="s">
        <v>141</v>
      </c>
      <c r="G265" s="5" t="s">
        <v>37</v>
      </c>
      <c r="H265" t="s">
        <v>25</v>
      </c>
      <c r="I265" t="s">
        <v>351</v>
      </c>
      <c r="J265" t="s">
        <v>352</v>
      </c>
      <c r="K265" t="s">
        <v>28</v>
      </c>
      <c r="L265" t="s">
        <v>153</v>
      </c>
      <c r="M265" t="s">
        <v>904</v>
      </c>
      <c r="N265" t="s">
        <v>31</v>
      </c>
      <c r="O265">
        <v>9</v>
      </c>
      <c r="P265">
        <v>4042.45</v>
      </c>
      <c r="Q265" s="6">
        <v>0.1</v>
      </c>
      <c r="R265" s="8">
        <f t="shared" si="16"/>
        <v>0.1</v>
      </c>
      <c r="S265">
        <v>32743.84</v>
      </c>
      <c r="T265">
        <v>22452.05</v>
      </c>
      <c r="U265">
        <v>10291.790000000001</v>
      </c>
      <c r="V265" t="s">
        <v>111</v>
      </c>
      <c r="W265" t="s">
        <v>103</v>
      </c>
      <c r="X265" t="str">
        <f t="shared" si="19"/>
        <v/>
      </c>
      <c r="Y265" t="str">
        <f t="shared" si="17"/>
        <v>Exclude</v>
      </c>
    </row>
    <row r="266" spans="1:25">
      <c r="A266" t="s">
        <v>905</v>
      </c>
      <c r="B266" s="3">
        <v>45428</v>
      </c>
      <c r="C266" s="3">
        <v>45433</v>
      </c>
      <c r="D266" s="6">
        <f t="shared" si="18"/>
        <v>5</v>
      </c>
      <c r="E266" t="s">
        <v>906</v>
      </c>
      <c r="F266" t="s">
        <v>162</v>
      </c>
      <c r="G266" s="5" t="s">
        <v>37</v>
      </c>
      <c r="H266" t="s">
        <v>38</v>
      </c>
      <c r="I266" t="s">
        <v>145</v>
      </c>
      <c r="J266" t="s">
        <v>146</v>
      </c>
      <c r="K266" t="s">
        <v>74</v>
      </c>
      <c r="L266" t="s">
        <v>80</v>
      </c>
      <c r="M266" t="s">
        <v>907</v>
      </c>
      <c r="N266" t="s">
        <v>59</v>
      </c>
      <c r="O266">
        <v>4</v>
      </c>
      <c r="P266">
        <v>1503.07</v>
      </c>
      <c r="Q266" s="6">
        <v>0</v>
      </c>
      <c r="R266" s="8">
        <f t="shared" si="16"/>
        <v>0</v>
      </c>
      <c r="S266">
        <v>6012.28</v>
      </c>
      <c r="T266">
        <v>3927.64</v>
      </c>
      <c r="U266">
        <v>2084.64</v>
      </c>
      <c r="V266" t="s">
        <v>32</v>
      </c>
      <c r="W266" t="s">
        <v>33</v>
      </c>
      <c r="X266" t="str">
        <f t="shared" si="19"/>
        <v/>
      </c>
      <c r="Y266" t="str">
        <f t="shared" si="17"/>
        <v>Exclude</v>
      </c>
    </row>
    <row r="267" spans="1:25">
      <c r="A267" t="s">
        <v>908</v>
      </c>
      <c r="B267" s="3">
        <v>45610</v>
      </c>
      <c r="C267" s="3">
        <v>45618</v>
      </c>
      <c r="D267" s="6">
        <f t="shared" si="18"/>
        <v>8</v>
      </c>
      <c r="E267" t="s">
        <v>909</v>
      </c>
      <c r="F267" t="s">
        <v>114</v>
      </c>
      <c r="G267" s="5" t="s">
        <v>90</v>
      </c>
      <c r="H267" t="s">
        <v>38</v>
      </c>
      <c r="I267" t="s">
        <v>145</v>
      </c>
      <c r="J267" t="s">
        <v>146</v>
      </c>
      <c r="K267" t="s">
        <v>41</v>
      </c>
      <c r="L267" t="s">
        <v>158</v>
      </c>
      <c r="M267" t="s">
        <v>910</v>
      </c>
      <c r="N267" t="s">
        <v>44</v>
      </c>
      <c r="O267">
        <v>1</v>
      </c>
      <c r="P267">
        <v>582.37</v>
      </c>
      <c r="Q267" s="6">
        <v>0.15</v>
      </c>
      <c r="R267" s="8">
        <f t="shared" si="16"/>
        <v>0.15</v>
      </c>
      <c r="S267">
        <v>495.01</v>
      </c>
      <c r="T267">
        <v>285.13</v>
      </c>
      <c r="U267">
        <v>209.88</v>
      </c>
      <c r="V267" t="s">
        <v>102</v>
      </c>
      <c r="W267" t="s">
        <v>68</v>
      </c>
      <c r="X267" t="str">
        <f t="shared" si="19"/>
        <v>EXCLUDE: Cancelled order; REFUND: Summarize separately</v>
      </c>
      <c r="Y267" t="str">
        <f t="shared" si="17"/>
        <v>Exclude</v>
      </c>
    </row>
    <row r="268" spans="1:25">
      <c r="A268" t="s">
        <v>911</v>
      </c>
      <c r="B268" s="3">
        <v>45780</v>
      </c>
      <c r="C268" s="3">
        <v>45935</v>
      </c>
      <c r="D268" s="6">
        <f t="shared" si="18"/>
        <v>155</v>
      </c>
      <c r="E268" t="s">
        <v>912</v>
      </c>
      <c r="F268" t="s">
        <v>79</v>
      </c>
      <c r="G268" s="5" t="s">
        <v>95</v>
      </c>
      <c r="H268" t="s">
        <v>63</v>
      </c>
      <c r="I268" t="s">
        <v>64</v>
      </c>
      <c r="J268" t="s">
        <v>65</v>
      </c>
      <c r="K268" t="s">
        <v>28</v>
      </c>
      <c r="L268" t="s">
        <v>124</v>
      </c>
      <c r="M268" t="s">
        <v>913</v>
      </c>
      <c r="N268" t="s">
        <v>31</v>
      </c>
      <c r="O268">
        <v>3</v>
      </c>
      <c r="P268">
        <v>4339.24</v>
      </c>
      <c r="Q268" s="6">
        <v>0</v>
      </c>
      <c r="R268" s="8">
        <f t="shared" si="16"/>
        <v>0</v>
      </c>
      <c r="S268">
        <v>13017.72</v>
      </c>
      <c r="T268">
        <v>10170.57</v>
      </c>
      <c r="U268">
        <v>2847.15</v>
      </c>
      <c r="V268" t="s">
        <v>32</v>
      </c>
      <c r="W268" t="s">
        <v>33</v>
      </c>
      <c r="X268" t="str">
        <f t="shared" si="19"/>
        <v/>
      </c>
      <c r="Y268" t="str">
        <f t="shared" si="17"/>
        <v>Exclude</v>
      </c>
    </row>
    <row r="269" spans="1:25">
      <c r="A269" t="s">
        <v>914</v>
      </c>
      <c r="B269" s="3">
        <v>45805</v>
      </c>
      <c r="C269" s="3">
        <v>45812</v>
      </c>
      <c r="D269" s="6">
        <f t="shared" si="18"/>
        <v>7</v>
      </c>
      <c r="E269" t="s">
        <v>915</v>
      </c>
      <c r="F269" t="s">
        <v>162</v>
      </c>
      <c r="G269" s="5" t="s">
        <v>90</v>
      </c>
      <c r="H269" t="s">
        <v>38</v>
      </c>
      <c r="I269" t="s">
        <v>229</v>
      </c>
      <c r="J269" t="s">
        <v>230</v>
      </c>
      <c r="K269" t="s">
        <v>41</v>
      </c>
      <c r="L269" t="s">
        <v>57</v>
      </c>
      <c r="M269" t="s">
        <v>916</v>
      </c>
      <c r="N269" t="s">
        <v>50</v>
      </c>
      <c r="O269">
        <v>4</v>
      </c>
      <c r="P269">
        <v>261.8</v>
      </c>
      <c r="Q269" s="6">
        <v>0.25</v>
      </c>
      <c r="R269" s="8">
        <f t="shared" si="16"/>
        <v>0.25</v>
      </c>
      <c r="S269">
        <v>785.4</v>
      </c>
      <c r="T269">
        <v>557.22</v>
      </c>
      <c r="U269">
        <v>228.18</v>
      </c>
      <c r="V269" t="s">
        <v>32</v>
      </c>
      <c r="W269" t="s">
        <v>33</v>
      </c>
      <c r="X269" t="str">
        <f t="shared" si="19"/>
        <v/>
      </c>
      <c r="Y269" t="str">
        <f t="shared" si="17"/>
        <v>Exclude</v>
      </c>
    </row>
    <row r="270" spans="1:25">
      <c r="A270" t="s">
        <v>917</v>
      </c>
      <c r="B270" s="3">
        <v>45886</v>
      </c>
      <c r="C270" s="3">
        <v>45886</v>
      </c>
      <c r="D270" s="6">
        <f t="shared" si="18"/>
        <v>0</v>
      </c>
      <c r="E270" t="s">
        <v>918</v>
      </c>
      <c r="F270" t="s">
        <v>128</v>
      </c>
      <c r="G270" s="5" t="s">
        <v>95</v>
      </c>
      <c r="H270" t="s">
        <v>25</v>
      </c>
      <c r="I270" t="s">
        <v>122</v>
      </c>
      <c r="J270" t="s">
        <v>123</v>
      </c>
      <c r="K270" t="s">
        <v>74</v>
      </c>
      <c r="L270" t="s">
        <v>75</v>
      </c>
      <c r="M270" t="s">
        <v>919</v>
      </c>
      <c r="N270" t="s">
        <v>50</v>
      </c>
      <c r="O270">
        <v>7</v>
      </c>
      <c r="P270">
        <v>632.20000000000005</v>
      </c>
      <c r="Q270" s="6">
        <v>0.25</v>
      </c>
      <c r="R270" s="8">
        <f t="shared" si="16"/>
        <v>0.25</v>
      </c>
      <c r="S270">
        <v>3319.05</v>
      </c>
      <c r="T270">
        <v>2124.6</v>
      </c>
      <c r="U270">
        <v>1194.45</v>
      </c>
      <c r="V270" t="s">
        <v>32</v>
      </c>
      <c r="W270" t="s">
        <v>33</v>
      </c>
      <c r="X270" t="str">
        <f t="shared" si="19"/>
        <v/>
      </c>
      <c r="Y270" t="str">
        <f t="shared" si="17"/>
        <v>Exclude</v>
      </c>
    </row>
    <row r="271" spans="1:25">
      <c r="A271" t="s">
        <v>920</v>
      </c>
      <c r="B271" s="3">
        <v>45932</v>
      </c>
      <c r="C271" s="3">
        <v>45993</v>
      </c>
      <c r="D271" s="6">
        <f t="shared" si="18"/>
        <v>61</v>
      </c>
      <c r="E271" t="s">
        <v>921</v>
      </c>
      <c r="F271" t="s">
        <v>118</v>
      </c>
      <c r="G271" s="5" t="s">
        <v>37</v>
      </c>
      <c r="H271" t="s">
        <v>63</v>
      </c>
      <c r="I271" t="s">
        <v>26</v>
      </c>
      <c r="J271" t="s">
        <v>109</v>
      </c>
      <c r="K271" t="s">
        <v>41</v>
      </c>
      <c r="L271" t="s">
        <v>42</v>
      </c>
      <c r="M271" t="s">
        <v>922</v>
      </c>
      <c r="N271" t="s">
        <v>44</v>
      </c>
      <c r="O271">
        <v>1</v>
      </c>
      <c r="P271">
        <v>1925.86</v>
      </c>
      <c r="Q271" s="6">
        <v>0</v>
      </c>
      <c r="R271" s="8">
        <f t="shared" si="16"/>
        <v>0</v>
      </c>
      <c r="S271">
        <v>1925.86</v>
      </c>
      <c r="T271">
        <v>1321.89</v>
      </c>
      <c r="U271">
        <v>603.97</v>
      </c>
      <c r="V271" t="s">
        <v>32</v>
      </c>
      <c r="W271" t="s">
        <v>33</v>
      </c>
      <c r="X271" t="str">
        <f t="shared" si="19"/>
        <v/>
      </c>
      <c r="Y271" t="str">
        <f t="shared" si="17"/>
        <v>Exclude</v>
      </c>
    </row>
    <row r="272" spans="1:25">
      <c r="A272" t="s">
        <v>923</v>
      </c>
      <c r="B272" s="3">
        <v>45627</v>
      </c>
      <c r="C272" s="3">
        <v>45304</v>
      </c>
      <c r="D272" s="6">
        <f t="shared" si="18"/>
        <v>-323</v>
      </c>
      <c r="E272" t="s">
        <v>924</v>
      </c>
      <c r="F272" t="s">
        <v>89</v>
      </c>
      <c r="G272" s="5" t="s">
        <v>90</v>
      </c>
      <c r="H272" t="s">
        <v>25</v>
      </c>
      <c r="I272" t="s">
        <v>136</v>
      </c>
      <c r="J272" t="s">
        <v>137</v>
      </c>
      <c r="K272" t="s">
        <v>74</v>
      </c>
      <c r="L272" t="s">
        <v>275</v>
      </c>
      <c r="M272" t="s">
        <v>925</v>
      </c>
      <c r="N272" t="s">
        <v>44</v>
      </c>
      <c r="O272">
        <v>3</v>
      </c>
      <c r="P272">
        <v>827.44</v>
      </c>
      <c r="Q272" s="6">
        <v>0</v>
      </c>
      <c r="R272" s="8">
        <f t="shared" si="16"/>
        <v>0</v>
      </c>
      <c r="S272">
        <v>2482.3200000000002</v>
      </c>
      <c r="T272">
        <v>1520.21</v>
      </c>
      <c r="U272">
        <v>962.11</v>
      </c>
      <c r="V272" t="s">
        <v>32</v>
      </c>
      <c r="W272" t="s">
        <v>33</v>
      </c>
      <c r="X272" t="str">
        <f t="shared" si="19"/>
        <v>INVALID: Ship date before order date</v>
      </c>
      <c r="Y272" t="str">
        <f t="shared" si="17"/>
        <v>Exclude</v>
      </c>
    </row>
    <row r="273" spans="1:25">
      <c r="A273" t="s">
        <v>926</v>
      </c>
      <c r="B273" s="3">
        <v>45647</v>
      </c>
      <c r="C273" s="3">
        <v>45651</v>
      </c>
      <c r="D273" s="6">
        <f t="shared" si="18"/>
        <v>4</v>
      </c>
      <c r="E273" t="s">
        <v>927</v>
      </c>
      <c r="F273" t="s">
        <v>89</v>
      </c>
      <c r="G273" s="5" t="s">
        <v>24</v>
      </c>
      <c r="H273" t="s">
        <v>54</v>
      </c>
      <c r="I273" t="s">
        <v>55</v>
      </c>
      <c r="J273" t="s">
        <v>56</v>
      </c>
      <c r="K273" t="s">
        <v>28</v>
      </c>
      <c r="L273" t="s">
        <v>153</v>
      </c>
      <c r="M273" t="s">
        <v>928</v>
      </c>
      <c r="N273" t="s">
        <v>59</v>
      </c>
      <c r="O273">
        <v>7</v>
      </c>
      <c r="P273">
        <v>1667.75</v>
      </c>
      <c r="Q273" s="6">
        <v>0</v>
      </c>
      <c r="R273" s="8">
        <f t="shared" si="16"/>
        <v>0</v>
      </c>
      <c r="S273">
        <v>11674.25</v>
      </c>
      <c r="T273">
        <v>9621.19</v>
      </c>
      <c r="U273">
        <v>2053.06</v>
      </c>
      <c r="V273" t="s">
        <v>155</v>
      </c>
      <c r="W273" t="s">
        <v>68</v>
      </c>
      <c r="X273" t="str">
        <f t="shared" si="19"/>
        <v>EXCLUDE: Cancelled order; EXCLUDE: Failed payment</v>
      </c>
      <c r="Y273" t="str">
        <f t="shared" si="17"/>
        <v>Exclude</v>
      </c>
    </row>
    <row r="274" spans="1:25">
      <c r="A274" t="s">
        <v>929</v>
      </c>
      <c r="B274" s="3">
        <v>45522</v>
      </c>
      <c r="C274" s="3">
        <v>45528</v>
      </c>
      <c r="D274" s="6">
        <f t="shared" si="18"/>
        <v>6</v>
      </c>
      <c r="E274" t="s">
        <v>930</v>
      </c>
      <c r="F274" t="s">
        <v>53</v>
      </c>
      <c r="G274" s="5" t="s">
        <v>24</v>
      </c>
      <c r="H274" t="s">
        <v>54</v>
      </c>
      <c r="I274" t="s">
        <v>84</v>
      </c>
      <c r="J274" t="s">
        <v>85</v>
      </c>
      <c r="K274" t="s">
        <v>41</v>
      </c>
      <c r="L274" t="s">
        <v>66</v>
      </c>
      <c r="M274" t="s">
        <v>931</v>
      </c>
      <c r="N274" t="s">
        <v>50</v>
      </c>
      <c r="O274">
        <v>7</v>
      </c>
      <c r="P274">
        <v>557.21</v>
      </c>
      <c r="Q274" s="6">
        <v>0.1</v>
      </c>
      <c r="R274" s="8">
        <f t="shared" si="16"/>
        <v>0.1</v>
      </c>
      <c r="S274">
        <v>3510.42</v>
      </c>
      <c r="T274">
        <v>2191.5</v>
      </c>
      <c r="U274">
        <v>1213.48</v>
      </c>
      <c r="V274" t="s">
        <v>32</v>
      </c>
      <c r="W274" t="s">
        <v>33</v>
      </c>
      <c r="X274" t="str">
        <f t="shared" si="19"/>
        <v/>
      </c>
      <c r="Y274" t="str">
        <f t="shared" si="17"/>
        <v>Exclude</v>
      </c>
    </row>
    <row r="275" spans="1:25">
      <c r="A275" t="s">
        <v>932</v>
      </c>
      <c r="B275" s="3">
        <v>45701</v>
      </c>
      <c r="C275" s="3">
        <v>45701</v>
      </c>
      <c r="D275" s="6">
        <f t="shared" si="18"/>
        <v>0</v>
      </c>
      <c r="E275" t="s">
        <v>933</v>
      </c>
      <c r="F275" t="s">
        <v>47</v>
      </c>
      <c r="G275" s="5" t="s">
        <v>24</v>
      </c>
      <c r="H275" t="s">
        <v>38</v>
      </c>
      <c r="I275" t="s">
        <v>145</v>
      </c>
      <c r="J275" t="s">
        <v>146</v>
      </c>
      <c r="K275" t="s">
        <v>28</v>
      </c>
      <c r="L275" t="s">
        <v>29</v>
      </c>
      <c r="M275" t="s">
        <v>934</v>
      </c>
      <c r="N275" t="s">
        <v>31</v>
      </c>
      <c r="O275">
        <v>9</v>
      </c>
      <c r="P275">
        <v>2521.63</v>
      </c>
      <c r="Q275" s="6">
        <v>0</v>
      </c>
      <c r="R275" s="8">
        <f t="shared" si="16"/>
        <v>0</v>
      </c>
      <c r="S275">
        <v>22694.67</v>
      </c>
      <c r="T275">
        <v>15405.36</v>
      </c>
      <c r="U275">
        <v>7289.31</v>
      </c>
      <c r="V275" t="s">
        <v>32</v>
      </c>
      <c r="W275" t="s">
        <v>103</v>
      </c>
      <c r="X275" t="str">
        <f t="shared" si="19"/>
        <v/>
      </c>
      <c r="Y275" t="str">
        <f t="shared" si="17"/>
        <v>Exclude</v>
      </c>
    </row>
    <row r="276" spans="1:25">
      <c r="A276" t="s">
        <v>935</v>
      </c>
      <c r="B276" s="3">
        <v>45389</v>
      </c>
      <c r="C276" s="3">
        <v>45396</v>
      </c>
      <c r="D276" s="6">
        <f t="shared" si="18"/>
        <v>7</v>
      </c>
      <c r="E276" t="s">
        <v>936</v>
      </c>
      <c r="F276" t="s">
        <v>141</v>
      </c>
      <c r="G276" s="5" t="s">
        <v>24</v>
      </c>
      <c r="H276" t="s">
        <v>54</v>
      </c>
      <c r="I276" t="s">
        <v>185</v>
      </c>
      <c r="J276" t="s">
        <v>186</v>
      </c>
      <c r="K276" t="s">
        <v>74</v>
      </c>
      <c r="L276" t="s">
        <v>80</v>
      </c>
      <c r="M276" t="s">
        <v>937</v>
      </c>
      <c r="N276" t="s">
        <v>59</v>
      </c>
      <c r="O276">
        <v>6</v>
      </c>
      <c r="P276">
        <v>4246.71</v>
      </c>
      <c r="Q276" s="6">
        <v>0.15</v>
      </c>
      <c r="R276" s="8">
        <f t="shared" si="16"/>
        <v>0.15</v>
      </c>
      <c r="S276">
        <v>21658.22</v>
      </c>
      <c r="T276">
        <v>15490.69</v>
      </c>
      <c r="U276">
        <v>6167.53</v>
      </c>
      <c r="V276" t="s">
        <v>155</v>
      </c>
      <c r="W276" t="s">
        <v>103</v>
      </c>
      <c r="X276" t="str">
        <f t="shared" si="19"/>
        <v>EXCLUDE: Failed payment</v>
      </c>
      <c r="Y276" t="str">
        <f t="shared" si="17"/>
        <v>Exclude</v>
      </c>
    </row>
    <row r="277" spans="1:25">
      <c r="A277" t="s">
        <v>938</v>
      </c>
      <c r="B277" s="3">
        <v>45337</v>
      </c>
      <c r="C277" s="3">
        <v>45344</v>
      </c>
      <c r="D277" s="6">
        <f t="shared" si="18"/>
        <v>7</v>
      </c>
      <c r="E277" t="s">
        <v>939</v>
      </c>
      <c r="F277" t="s">
        <v>114</v>
      </c>
      <c r="G277" s="5" t="s">
        <v>37</v>
      </c>
      <c r="H277" t="s">
        <v>38</v>
      </c>
      <c r="I277" t="s">
        <v>99</v>
      </c>
      <c r="J277" t="s">
        <v>100</v>
      </c>
      <c r="K277" t="s">
        <v>41</v>
      </c>
      <c r="L277" t="s">
        <v>57</v>
      </c>
      <c r="M277" t="s">
        <v>940</v>
      </c>
      <c r="N277" t="s">
        <v>44</v>
      </c>
      <c r="O277">
        <v>1</v>
      </c>
      <c r="P277">
        <v>980.51</v>
      </c>
      <c r="Q277" s="6">
        <v>0</v>
      </c>
      <c r="R277" s="8">
        <f t="shared" si="16"/>
        <v>0</v>
      </c>
      <c r="S277">
        <v>980.51</v>
      </c>
      <c r="T277">
        <v>660.92</v>
      </c>
      <c r="U277">
        <v>319.58999999999997</v>
      </c>
      <c r="V277" t="s">
        <v>32</v>
      </c>
      <c r="W277" t="s">
        <v>33</v>
      </c>
      <c r="X277" t="str">
        <f t="shared" si="19"/>
        <v/>
      </c>
      <c r="Y277" t="str">
        <f t="shared" si="17"/>
        <v>Exclude</v>
      </c>
    </row>
    <row r="278" spans="1:25">
      <c r="A278" t="s">
        <v>941</v>
      </c>
      <c r="B278" s="3">
        <v>45313</v>
      </c>
      <c r="C278" s="3">
        <v>45314</v>
      </c>
      <c r="D278" s="6">
        <f t="shared" si="18"/>
        <v>1</v>
      </c>
      <c r="E278" t="s">
        <v>942</v>
      </c>
      <c r="F278" t="s">
        <v>128</v>
      </c>
      <c r="G278" s="5" t="s">
        <v>37</v>
      </c>
      <c r="H278" t="s">
        <v>2806</v>
      </c>
      <c r="I278" t="s">
        <v>166</v>
      </c>
      <c r="J278" t="s">
        <v>167</v>
      </c>
      <c r="K278" t="s">
        <v>41</v>
      </c>
      <c r="L278" t="s">
        <v>66</v>
      </c>
      <c r="M278" t="s">
        <v>943</v>
      </c>
      <c r="N278" t="s">
        <v>31</v>
      </c>
      <c r="O278">
        <v>6</v>
      </c>
      <c r="P278">
        <v>3391.53</v>
      </c>
      <c r="Q278" s="6">
        <v>-0.14000000000000001</v>
      </c>
      <c r="R278" s="8">
        <f t="shared" si="16"/>
        <v>-0.14000000000000001</v>
      </c>
      <c r="S278">
        <v>15261.89</v>
      </c>
      <c r="T278">
        <v>8413.5300000000007</v>
      </c>
      <c r="U278">
        <v>6848.36</v>
      </c>
      <c r="V278" t="s">
        <v>32</v>
      </c>
      <c r="W278" t="s">
        <v>33</v>
      </c>
      <c r="X278" t="str">
        <f t="shared" si="19"/>
        <v>INVALID: Negative discount</v>
      </c>
      <c r="Y278" t="str">
        <f t="shared" si="17"/>
        <v>Exclude</v>
      </c>
    </row>
    <row r="279" spans="1:25">
      <c r="A279" t="s">
        <v>944</v>
      </c>
      <c r="B279" s="3">
        <v>45812</v>
      </c>
      <c r="C279" s="3">
        <v>45753</v>
      </c>
      <c r="D279" s="6">
        <f t="shared" si="18"/>
        <v>-59</v>
      </c>
      <c r="E279" t="s">
        <v>794</v>
      </c>
      <c r="F279" t="s">
        <v>47</v>
      </c>
      <c r="G279" s="5" t="s">
        <v>90</v>
      </c>
      <c r="H279" t="s">
        <v>25</v>
      </c>
      <c r="I279" t="s">
        <v>237</v>
      </c>
      <c r="J279" t="s">
        <v>238</v>
      </c>
      <c r="K279" t="s">
        <v>74</v>
      </c>
      <c r="L279" t="s">
        <v>75</v>
      </c>
      <c r="M279" t="s">
        <v>945</v>
      </c>
      <c r="N279" t="s">
        <v>31</v>
      </c>
      <c r="O279">
        <v>1</v>
      </c>
      <c r="P279">
        <v>2133.73</v>
      </c>
      <c r="Q279" s="6">
        <v>0.15</v>
      </c>
      <c r="R279" s="8">
        <f t="shared" si="16"/>
        <v>0.15</v>
      </c>
      <c r="S279">
        <v>2008.39</v>
      </c>
      <c r="T279">
        <v>1002.57</v>
      </c>
      <c r="U279">
        <v>811.1</v>
      </c>
      <c r="V279" t="s">
        <v>111</v>
      </c>
      <c r="W279" t="s">
        <v>68</v>
      </c>
      <c r="X279" t="str">
        <f t="shared" si="19"/>
        <v>INVALID: Ship date before order date; EXCLUDE: Cancelled order</v>
      </c>
      <c r="Y279" t="str">
        <f t="shared" si="17"/>
        <v>Exclude</v>
      </c>
    </row>
    <row r="280" spans="1:25">
      <c r="A280" t="s">
        <v>946</v>
      </c>
      <c r="B280" s="3">
        <v>45723</v>
      </c>
      <c r="C280" s="3">
        <v>45730</v>
      </c>
      <c r="D280" s="6">
        <f t="shared" si="18"/>
        <v>7</v>
      </c>
      <c r="E280" t="s">
        <v>947</v>
      </c>
      <c r="F280" t="s">
        <v>114</v>
      </c>
      <c r="G280" s="5" t="s">
        <v>37</v>
      </c>
      <c r="H280" t="s">
        <v>25</v>
      </c>
      <c r="I280" t="s">
        <v>351</v>
      </c>
      <c r="J280" t="s">
        <v>352</v>
      </c>
      <c r="K280" t="s">
        <v>74</v>
      </c>
      <c r="L280" t="s">
        <v>75</v>
      </c>
      <c r="M280" t="s">
        <v>948</v>
      </c>
      <c r="N280" t="s">
        <v>44</v>
      </c>
      <c r="O280">
        <v>1</v>
      </c>
      <c r="P280">
        <v>3979.64</v>
      </c>
      <c r="Q280" s="6">
        <v>0.05</v>
      </c>
      <c r="R280" s="8">
        <f t="shared" si="16"/>
        <v>0.05</v>
      </c>
      <c r="S280">
        <v>3780.66</v>
      </c>
      <c r="T280">
        <v>2148.31</v>
      </c>
      <c r="U280">
        <v>1632.35</v>
      </c>
      <c r="V280" t="s">
        <v>32</v>
      </c>
      <c r="W280" t="s">
        <v>103</v>
      </c>
      <c r="X280" t="str">
        <f t="shared" si="19"/>
        <v/>
      </c>
      <c r="Y280" t="str">
        <f t="shared" si="17"/>
        <v>Exclude</v>
      </c>
    </row>
    <row r="281" spans="1:25">
      <c r="A281" t="s">
        <v>949</v>
      </c>
      <c r="B281" s="3">
        <v>45539</v>
      </c>
      <c r="C281" s="3">
        <v>45569</v>
      </c>
      <c r="D281" s="6">
        <f t="shared" si="18"/>
        <v>30</v>
      </c>
      <c r="E281" t="s">
        <v>950</v>
      </c>
      <c r="F281" t="s">
        <v>141</v>
      </c>
      <c r="G281" s="5" t="s">
        <v>37</v>
      </c>
      <c r="H281" t="s">
        <v>63</v>
      </c>
      <c r="I281" t="s">
        <v>64</v>
      </c>
      <c r="J281" t="s">
        <v>65</v>
      </c>
      <c r="K281" t="s">
        <v>28</v>
      </c>
      <c r="L281" t="s">
        <v>124</v>
      </c>
      <c r="M281" t="s">
        <v>951</v>
      </c>
      <c r="N281" t="s">
        <v>50</v>
      </c>
      <c r="O281">
        <v>1</v>
      </c>
      <c r="P281">
        <v>4359.12</v>
      </c>
      <c r="Q281" s="6">
        <v>0.05</v>
      </c>
      <c r="R281" s="8">
        <f t="shared" si="16"/>
        <v>0.05</v>
      </c>
      <c r="S281">
        <v>4141.16</v>
      </c>
      <c r="T281">
        <v>2754.17</v>
      </c>
      <c r="U281">
        <v>1386.99</v>
      </c>
      <c r="V281" t="s">
        <v>32</v>
      </c>
      <c r="W281" t="s">
        <v>33</v>
      </c>
      <c r="X281" t="str">
        <f t="shared" si="19"/>
        <v/>
      </c>
      <c r="Y281" t="str">
        <f t="shared" si="17"/>
        <v>Exclude</v>
      </c>
    </row>
    <row r="282" spans="1:25">
      <c r="A282" t="s">
        <v>952</v>
      </c>
      <c r="B282" s="3">
        <v>45649</v>
      </c>
      <c r="C282" s="3">
        <v>45652</v>
      </c>
      <c r="D282" s="6">
        <f t="shared" si="18"/>
        <v>3</v>
      </c>
      <c r="E282" t="s">
        <v>953</v>
      </c>
      <c r="F282" t="s">
        <v>89</v>
      </c>
      <c r="G282" s="5" t="s">
        <v>24</v>
      </c>
      <c r="H282" t="s">
        <v>54</v>
      </c>
      <c r="I282" t="s">
        <v>175</v>
      </c>
      <c r="J282" t="s">
        <v>176</v>
      </c>
      <c r="K282" t="s">
        <v>74</v>
      </c>
      <c r="L282" t="s">
        <v>80</v>
      </c>
      <c r="M282" t="s">
        <v>954</v>
      </c>
      <c r="N282" t="s">
        <v>59</v>
      </c>
      <c r="O282">
        <v>9</v>
      </c>
      <c r="P282">
        <v>993.67</v>
      </c>
      <c r="Q282" s="6">
        <v>0</v>
      </c>
      <c r="R282" s="8">
        <f t="shared" si="16"/>
        <v>0</v>
      </c>
      <c r="S282">
        <v>8943.0300000000007</v>
      </c>
      <c r="T282">
        <v>5165.38</v>
      </c>
      <c r="U282">
        <v>3777.65</v>
      </c>
      <c r="V282" t="s">
        <v>32</v>
      </c>
      <c r="W282" t="s">
        <v>33</v>
      </c>
      <c r="X282" t="str">
        <f t="shared" si="19"/>
        <v/>
      </c>
      <c r="Y282" t="str">
        <f t="shared" si="17"/>
        <v>Exclude</v>
      </c>
    </row>
    <row r="283" spans="1:25">
      <c r="A283" t="s">
        <v>955</v>
      </c>
      <c r="B283" s="3">
        <v>45863</v>
      </c>
      <c r="C283" s="3">
        <v>45865</v>
      </c>
      <c r="D283" s="6">
        <f t="shared" si="18"/>
        <v>2</v>
      </c>
      <c r="E283" t="s">
        <v>956</v>
      </c>
      <c r="F283" t="s">
        <v>265</v>
      </c>
      <c r="G283" s="5" t="s">
        <v>24</v>
      </c>
      <c r="H283" t="s">
        <v>38</v>
      </c>
      <c r="I283" t="s">
        <v>229</v>
      </c>
      <c r="J283" t="s">
        <v>230</v>
      </c>
      <c r="K283" t="s">
        <v>28</v>
      </c>
      <c r="L283" t="s">
        <v>153</v>
      </c>
      <c r="M283" t="s">
        <v>957</v>
      </c>
      <c r="N283" t="s">
        <v>31</v>
      </c>
      <c r="O283">
        <v>6</v>
      </c>
      <c r="P283">
        <v>3438.38</v>
      </c>
      <c r="Q283" s="6">
        <v>0.2</v>
      </c>
      <c r="R283" s="8">
        <f t="shared" si="16"/>
        <v>0.2</v>
      </c>
      <c r="S283">
        <v>16504.22</v>
      </c>
      <c r="T283">
        <v>11262.71</v>
      </c>
      <c r="U283">
        <v>5241.51</v>
      </c>
      <c r="V283" t="s">
        <v>32</v>
      </c>
      <c r="W283" t="s">
        <v>33</v>
      </c>
      <c r="X283" t="str">
        <f t="shared" si="19"/>
        <v/>
      </c>
      <c r="Y283" t="str">
        <f t="shared" si="17"/>
        <v>Exclude</v>
      </c>
    </row>
    <row r="284" spans="1:25">
      <c r="A284" t="s">
        <v>958</v>
      </c>
      <c r="B284" s="3">
        <v>45566</v>
      </c>
      <c r="C284" s="3">
        <v>45332</v>
      </c>
      <c r="D284" s="6">
        <f t="shared" si="18"/>
        <v>-234</v>
      </c>
      <c r="E284" t="s">
        <v>959</v>
      </c>
      <c r="F284" t="s">
        <v>23</v>
      </c>
      <c r="G284" s="5" t="s">
        <v>95</v>
      </c>
      <c r="H284" t="s">
        <v>38</v>
      </c>
      <c r="I284" t="s">
        <v>166</v>
      </c>
      <c r="J284" t="s">
        <v>167</v>
      </c>
      <c r="K284" t="s">
        <v>41</v>
      </c>
      <c r="L284" t="s">
        <v>42</v>
      </c>
      <c r="M284" t="s">
        <v>960</v>
      </c>
      <c r="N284" t="s">
        <v>31</v>
      </c>
      <c r="O284">
        <v>2</v>
      </c>
      <c r="P284">
        <v>2298</v>
      </c>
      <c r="Q284" s="6">
        <v>0</v>
      </c>
      <c r="R284" s="8">
        <f t="shared" si="16"/>
        <v>0</v>
      </c>
      <c r="S284">
        <v>4596</v>
      </c>
      <c r="T284">
        <v>3220.33</v>
      </c>
      <c r="U284">
        <v>1375.67</v>
      </c>
      <c r="V284" t="s">
        <v>32</v>
      </c>
      <c r="W284" t="s">
        <v>33</v>
      </c>
      <c r="X284" t="str">
        <f t="shared" si="19"/>
        <v>INVALID: Ship date before order date</v>
      </c>
      <c r="Y284" t="str">
        <f t="shared" si="17"/>
        <v>Exclude</v>
      </c>
    </row>
    <row r="285" spans="1:25">
      <c r="A285" t="s">
        <v>961</v>
      </c>
      <c r="B285" s="3">
        <v>45729</v>
      </c>
      <c r="C285" s="3">
        <v>45736</v>
      </c>
      <c r="D285" s="6">
        <f t="shared" si="18"/>
        <v>7</v>
      </c>
      <c r="E285" t="s">
        <v>962</v>
      </c>
      <c r="F285" t="s">
        <v>71</v>
      </c>
      <c r="G285" s="5" t="s">
        <v>24</v>
      </c>
      <c r="H285" t="s">
        <v>63</v>
      </c>
      <c r="I285" t="s">
        <v>64</v>
      </c>
      <c r="J285" t="s">
        <v>65</v>
      </c>
      <c r="K285" t="s">
        <v>41</v>
      </c>
      <c r="L285" t="s">
        <v>57</v>
      </c>
      <c r="M285" t="s">
        <v>963</v>
      </c>
      <c r="N285" t="s">
        <v>50</v>
      </c>
      <c r="O285">
        <v>1</v>
      </c>
      <c r="P285">
        <v>1814.01</v>
      </c>
      <c r="Q285" s="6">
        <v>0</v>
      </c>
      <c r="R285" s="8">
        <f t="shared" si="16"/>
        <v>0</v>
      </c>
      <c r="S285">
        <v>1814.01</v>
      </c>
      <c r="T285">
        <v>1033.47</v>
      </c>
      <c r="U285">
        <v>780.54</v>
      </c>
      <c r="V285" t="s">
        <v>32</v>
      </c>
      <c r="W285" t="s">
        <v>33</v>
      </c>
      <c r="X285" t="str">
        <f t="shared" si="19"/>
        <v/>
      </c>
      <c r="Y285" t="str">
        <f t="shared" si="17"/>
        <v>Exclude</v>
      </c>
    </row>
    <row r="286" spans="1:25">
      <c r="A286" t="s">
        <v>964</v>
      </c>
      <c r="B286" s="3">
        <v>45516</v>
      </c>
      <c r="C286" s="3">
        <v>45640</v>
      </c>
      <c r="D286" s="6">
        <f t="shared" si="18"/>
        <v>124</v>
      </c>
      <c r="E286" t="s">
        <v>965</v>
      </c>
      <c r="F286" t="s">
        <v>23</v>
      </c>
      <c r="G286" s="5" t="s">
        <v>24</v>
      </c>
      <c r="H286" t="s">
        <v>38</v>
      </c>
      <c r="I286" t="s">
        <v>39</v>
      </c>
      <c r="J286" t="s">
        <v>40</v>
      </c>
      <c r="K286" t="s">
        <v>41</v>
      </c>
      <c r="L286" t="s">
        <v>42</v>
      </c>
      <c r="M286" t="s">
        <v>966</v>
      </c>
      <c r="N286" t="s">
        <v>44</v>
      </c>
      <c r="O286">
        <v>3</v>
      </c>
      <c r="P286">
        <v>1576.92</v>
      </c>
      <c r="Q286" s="6">
        <v>0</v>
      </c>
      <c r="R286" s="8">
        <f t="shared" si="16"/>
        <v>0</v>
      </c>
      <c r="S286">
        <v>4730.76</v>
      </c>
      <c r="T286">
        <v>3139.73</v>
      </c>
      <c r="U286">
        <v>1591.03</v>
      </c>
      <c r="V286" t="s">
        <v>32</v>
      </c>
      <c r="W286" t="s">
        <v>103</v>
      </c>
      <c r="X286" t="str">
        <f t="shared" si="19"/>
        <v/>
      </c>
      <c r="Y286" t="str">
        <f t="shared" si="17"/>
        <v>Exclude</v>
      </c>
    </row>
    <row r="287" spans="1:25">
      <c r="A287" t="s">
        <v>967</v>
      </c>
      <c r="B287" s="3">
        <v>45884</v>
      </c>
      <c r="C287" s="3">
        <v>45889</v>
      </c>
      <c r="D287" s="6">
        <f t="shared" si="18"/>
        <v>5</v>
      </c>
      <c r="E287" t="s">
        <v>968</v>
      </c>
      <c r="F287" t="s">
        <v>79</v>
      </c>
      <c r="G287" s="5" t="s">
        <v>95</v>
      </c>
      <c r="H287" t="s">
        <v>25</v>
      </c>
      <c r="I287" t="s">
        <v>26</v>
      </c>
      <c r="J287" t="s">
        <v>27</v>
      </c>
      <c r="K287" t="s">
        <v>28</v>
      </c>
      <c r="L287" t="s">
        <v>124</v>
      </c>
      <c r="M287" t="s">
        <v>969</v>
      </c>
      <c r="N287" t="s">
        <v>59</v>
      </c>
      <c r="O287">
        <v>9</v>
      </c>
      <c r="P287">
        <v>4081.77</v>
      </c>
      <c r="Q287" s="6">
        <v>0</v>
      </c>
      <c r="R287" s="8">
        <f t="shared" si="16"/>
        <v>0</v>
      </c>
      <c r="S287">
        <v>36735.93</v>
      </c>
      <c r="T287">
        <v>30820.84</v>
      </c>
      <c r="U287">
        <v>5915.09</v>
      </c>
      <c r="V287" t="s">
        <v>32</v>
      </c>
      <c r="W287" t="s">
        <v>33</v>
      </c>
      <c r="X287" t="str">
        <f t="shared" si="19"/>
        <v/>
      </c>
      <c r="Y287" t="str">
        <f t="shared" si="17"/>
        <v>Exclude</v>
      </c>
    </row>
    <row r="288" spans="1:25">
      <c r="A288" t="s">
        <v>970</v>
      </c>
      <c r="B288" s="3">
        <v>45350</v>
      </c>
      <c r="C288" s="3">
        <v>45325</v>
      </c>
      <c r="D288" s="6">
        <f t="shared" si="18"/>
        <v>-25</v>
      </c>
      <c r="E288" t="s">
        <v>971</v>
      </c>
      <c r="F288" t="s">
        <v>114</v>
      </c>
      <c r="G288" s="5" t="s">
        <v>37</v>
      </c>
      <c r="H288" t="s">
        <v>25</v>
      </c>
      <c r="I288" t="s">
        <v>351</v>
      </c>
      <c r="J288" t="s">
        <v>352</v>
      </c>
      <c r="K288" t="s">
        <v>41</v>
      </c>
      <c r="L288" t="s">
        <v>57</v>
      </c>
      <c r="M288" t="s">
        <v>972</v>
      </c>
      <c r="N288" t="s">
        <v>50</v>
      </c>
      <c r="O288">
        <v>7</v>
      </c>
      <c r="P288">
        <v>701.8</v>
      </c>
      <c r="Q288" s="6">
        <v>0.1</v>
      </c>
      <c r="R288" s="8">
        <f t="shared" si="16"/>
        <v>0.1</v>
      </c>
      <c r="S288">
        <v>4421.34</v>
      </c>
      <c r="T288">
        <v>2489.98</v>
      </c>
      <c r="U288">
        <v>1931.36</v>
      </c>
      <c r="V288" t="s">
        <v>111</v>
      </c>
      <c r="W288" t="s">
        <v>103</v>
      </c>
      <c r="X288" t="str">
        <f t="shared" si="19"/>
        <v>INVALID: Ship date before order date</v>
      </c>
      <c r="Y288" t="str">
        <f t="shared" si="17"/>
        <v>Exclude</v>
      </c>
    </row>
    <row r="289" spans="1:25">
      <c r="A289" t="s">
        <v>973</v>
      </c>
      <c r="B289" s="3">
        <v>45421</v>
      </c>
      <c r="C289" s="3">
        <v>45542</v>
      </c>
      <c r="D289" s="6">
        <f t="shared" si="18"/>
        <v>121</v>
      </c>
      <c r="E289" t="s">
        <v>974</v>
      </c>
      <c r="F289" t="s">
        <v>79</v>
      </c>
      <c r="G289" s="5" t="s">
        <v>37</v>
      </c>
      <c r="H289" t="s">
        <v>54</v>
      </c>
      <c r="I289" t="s">
        <v>248</v>
      </c>
      <c r="J289" t="s">
        <v>249</v>
      </c>
      <c r="K289" t="s">
        <v>74</v>
      </c>
      <c r="L289" t="s">
        <v>80</v>
      </c>
      <c r="M289" t="s">
        <v>975</v>
      </c>
      <c r="N289" t="s">
        <v>59</v>
      </c>
      <c r="O289">
        <v>3</v>
      </c>
      <c r="P289">
        <v>2555.66</v>
      </c>
      <c r="Q289" s="6">
        <v>0.15</v>
      </c>
      <c r="R289" s="8">
        <f t="shared" si="16"/>
        <v>0.15</v>
      </c>
      <c r="S289">
        <v>6516.93</v>
      </c>
      <c r="T289">
        <v>4511.54</v>
      </c>
      <c r="U289">
        <v>2005.39</v>
      </c>
      <c r="V289" t="s">
        <v>32</v>
      </c>
      <c r="W289" t="s">
        <v>68</v>
      </c>
      <c r="X289" t="str">
        <f t="shared" si="19"/>
        <v>EXCLUDE: Cancelled order</v>
      </c>
      <c r="Y289" t="str">
        <f t="shared" si="17"/>
        <v>Exclude</v>
      </c>
    </row>
    <row r="290" spans="1:25">
      <c r="A290" t="s">
        <v>976</v>
      </c>
      <c r="B290" s="3">
        <v>45467</v>
      </c>
      <c r="C290" s="3">
        <v>45467</v>
      </c>
      <c r="D290" s="6">
        <f t="shared" si="18"/>
        <v>0</v>
      </c>
      <c r="E290" t="s">
        <v>977</v>
      </c>
      <c r="F290" t="s">
        <v>141</v>
      </c>
      <c r="G290" s="5" t="s">
        <v>37</v>
      </c>
      <c r="H290" t="s">
        <v>38</v>
      </c>
      <c r="I290" t="s">
        <v>145</v>
      </c>
      <c r="J290" t="s">
        <v>146</v>
      </c>
      <c r="K290" t="s">
        <v>28</v>
      </c>
      <c r="L290" t="s">
        <v>153</v>
      </c>
      <c r="M290" t="s">
        <v>978</v>
      </c>
      <c r="N290" t="s">
        <v>44</v>
      </c>
      <c r="O290">
        <v>2</v>
      </c>
      <c r="P290">
        <v>4359.8999999999996</v>
      </c>
      <c r="Q290" s="6">
        <v>0.15</v>
      </c>
      <c r="R290" s="8">
        <f t="shared" si="16"/>
        <v>0.15</v>
      </c>
      <c r="S290">
        <v>7411.83</v>
      </c>
      <c r="T290">
        <v>4904.63</v>
      </c>
      <c r="U290">
        <v>2507.1999999999998</v>
      </c>
      <c r="V290" t="s">
        <v>32</v>
      </c>
      <c r="W290" t="s">
        <v>33</v>
      </c>
      <c r="X290" t="str">
        <f t="shared" si="19"/>
        <v/>
      </c>
      <c r="Y290" t="str">
        <f t="shared" si="17"/>
        <v>Exclude</v>
      </c>
    </row>
    <row r="291" spans="1:25">
      <c r="A291" t="s">
        <v>979</v>
      </c>
      <c r="B291" s="3">
        <v>45827</v>
      </c>
      <c r="C291" s="3">
        <v>45835</v>
      </c>
      <c r="D291" s="6">
        <f t="shared" si="18"/>
        <v>8</v>
      </c>
      <c r="E291" t="s">
        <v>980</v>
      </c>
      <c r="F291" t="s">
        <v>23</v>
      </c>
      <c r="G291" s="5" t="s">
        <v>95</v>
      </c>
      <c r="H291" t="s">
        <v>54</v>
      </c>
      <c r="I291" t="s">
        <v>248</v>
      </c>
      <c r="J291" t="s">
        <v>249</v>
      </c>
      <c r="K291" t="s">
        <v>41</v>
      </c>
      <c r="L291" t="s">
        <v>158</v>
      </c>
      <c r="M291" t="s">
        <v>981</v>
      </c>
      <c r="N291" t="s">
        <v>50</v>
      </c>
      <c r="O291">
        <v>2</v>
      </c>
      <c r="P291">
        <v>4346.6899999999996</v>
      </c>
      <c r="Q291" s="6">
        <v>0.05</v>
      </c>
      <c r="R291" s="8">
        <f t="shared" si="16"/>
        <v>0.05</v>
      </c>
      <c r="S291">
        <v>8258.7099999999991</v>
      </c>
      <c r="T291">
        <v>7018.97</v>
      </c>
      <c r="U291">
        <v>1239.74</v>
      </c>
      <c r="V291" t="s">
        <v>32</v>
      </c>
      <c r="W291" t="s">
        <v>33</v>
      </c>
      <c r="X291" t="str">
        <f t="shared" si="19"/>
        <v/>
      </c>
      <c r="Y291" t="str">
        <f t="shared" si="17"/>
        <v>Exclude</v>
      </c>
    </row>
    <row r="292" spans="1:25">
      <c r="A292" t="s">
        <v>982</v>
      </c>
      <c r="B292" s="3">
        <v>45891</v>
      </c>
      <c r="C292" s="3">
        <v>45895</v>
      </c>
      <c r="D292" s="6">
        <f t="shared" si="18"/>
        <v>4</v>
      </c>
      <c r="E292" t="s">
        <v>983</v>
      </c>
      <c r="F292" t="s">
        <v>162</v>
      </c>
      <c r="G292" s="5" t="s">
        <v>95</v>
      </c>
      <c r="H292" t="s">
        <v>38</v>
      </c>
      <c r="I292" t="s">
        <v>229</v>
      </c>
      <c r="J292" t="s">
        <v>230</v>
      </c>
      <c r="K292" t="s">
        <v>41</v>
      </c>
      <c r="L292" t="s">
        <v>42</v>
      </c>
      <c r="M292" t="s">
        <v>984</v>
      </c>
      <c r="N292" t="s">
        <v>59</v>
      </c>
      <c r="O292">
        <v>1</v>
      </c>
      <c r="P292">
        <v>1842.63</v>
      </c>
      <c r="Q292" s="6">
        <v>0.1</v>
      </c>
      <c r="R292" s="8">
        <f t="shared" si="16"/>
        <v>0.1</v>
      </c>
      <c r="S292">
        <v>1658.37</v>
      </c>
      <c r="T292">
        <v>971.12</v>
      </c>
      <c r="U292">
        <v>687.25</v>
      </c>
      <c r="V292" t="s">
        <v>32</v>
      </c>
      <c r="W292" t="s">
        <v>33</v>
      </c>
      <c r="X292" t="str">
        <f t="shared" si="19"/>
        <v/>
      </c>
      <c r="Y292" t="str">
        <f t="shared" si="17"/>
        <v>Exclude</v>
      </c>
    </row>
    <row r="293" spans="1:25">
      <c r="A293" t="s">
        <v>985</v>
      </c>
      <c r="B293" s="3">
        <v>45416</v>
      </c>
      <c r="C293" s="3">
        <v>45569</v>
      </c>
      <c r="D293" s="6">
        <f t="shared" si="18"/>
        <v>153</v>
      </c>
      <c r="E293" t="s">
        <v>986</v>
      </c>
      <c r="F293" t="s">
        <v>114</v>
      </c>
      <c r="G293" s="5" t="s">
        <v>95</v>
      </c>
      <c r="H293" t="s">
        <v>25</v>
      </c>
      <c r="I293" t="s">
        <v>26</v>
      </c>
      <c r="J293" t="s">
        <v>27</v>
      </c>
      <c r="K293" t="s">
        <v>28</v>
      </c>
      <c r="L293" t="s">
        <v>153</v>
      </c>
      <c r="M293" t="s">
        <v>987</v>
      </c>
      <c r="N293" t="s">
        <v>59</v>
      </c>
      <c r="O293">
        <v>4</v>
      </c>
      <c r="P293">
        <v>3228.66</v>
      </c>
      <c r="Q293" s="6">
        <v>0.25</v>
      </c>
      <c r="R293" s="8">
        <f t="shared" si="16"/>
        <v>0.25</v>
      </c>
      <c r="S293">
        <v>9685.98</v>
      </c>
      <c r="T293">
        <v>7730.04</v>
      </c>
      <c r="U293">
        <v>1955.94</v>
      </c>
      <c r="V293" t="s">
        <v>32</v>
      </c>
      <c r="W293" t="s">
        <v>33</v>
      </c>
      <c r="X293" t="str">
        <f t="shared" si="19"/>
        <v/>
      </c>
      <c r="Y293" t="str">
        <f t="shared" si="17"/>
        <v>Exclude</v>
      </c>
    </row>
    <row r="294" spans="1:25">
      <c r="A294" t="s">
        <v>988</v>
      </c>
      <c r="B294" s="3">
        <v>45716</v>
      </c>
      <c r="C294" s="3">
        <v>45719</v>
      </c>
      <c r="D294" s="6">
        <f t="shared" si="18"/>
        <v>3</v>
      </c>
      <c r="E294" t="s">
        <v>989</v>
      </c>
      <c r="F294" t="s">
        <v>265</v>
      </c>
      <c r="G294" s="5" t="s">
        <v>95</v>
      </c>
      <c r="H294" t="s">
        <v>25</v>
      </c>
      <c r="I294" t="s">
        <v>237</v>
      </c>
      <c r="J294" t="s">
        <v>238</v>
      </c>
      <c r="K294" t="s">
        <v>28</v>
      </c>
      <c r="L294" t="s">
        <v>48</v>
      </c>
      <c r="M294" t="s">
        <v>990</v>
      </c>
      <c r="N294" t="s">
        <v>44</v>
      </c>
      <c r="O294">
        <v>9</v>
      </c>
      <c r="P294">
        <v>3748.95</v>
      </c>
      <c r="Q294" s="6">
        <v>0</v>
      </c>
      <c r="R294" s="8">
        <f t="shared" si="16"/>
        <v>0</v>
      </c>
      <c r="S294">
        <v>33740.550000000003</v>
      </c>
      <c r="T294">
        <v>24621.89</v>
      </c>
      <c r="U294">
        <v>9118.66</v>
      </c>
      <c r="V294" t="s">
        <v>111</v>
      </c>
      <c r="W294" t="s">
        <v>68</v>
      </c>
      <c r="X294" t="str">
        <f t="shared" si="19"/>
        <v>EXCLUDE: Cancelled order</v>
      </c>
      <c r="Y294" t="str">
        <f t="shared" si="17"/>
        <v>Exclude</v>
      </c>
    </row>
    <row r="295" spans="1:25">
      <c r="A295" t="s">
        <v>991</v>
      </c>
      <c r="B295" s="3">
        <v>45476</v>
      </c>
      <c r="C295" s="3">
        <v>45362</v>
      </c>
      <c r="D295" s="6">
        <f t="shared" si="18"/>
        <v>-114</v>
      </c>
      <c r="E295" t="s">
        <v>992</v>
      </c>
      <c r="F295" t="s">
        <v>53</v>
      </c>
      <c r="G295" s="5" t="s">
        <v>95</v>
      </c>
      <c r="H295" t="s">
        <v>54</v>
      </c>
      <c r="I295" t="s">
        <v>55</v>
      </c>
      <c r="J295" t="s">
        <v>56</v>
      </c>
      <c r="K295" t="s">
        <v>74</v>
      </c>
      <c r="L295" t="s">
        <v>171</v>
      </c>
      <c r="M295" t="s">
        <v>993</v>
      </c>
      <c r="N295" t="s">
        <v>50</v>
      </c>
      <c r="O295">
        <v>2</v>
      </c>
      <c r="P295">
        <v>4401.51</v>
      </c>
      <c r="Q295" s="6">
        <v>0.65</v>
      </c>
      <c r="R295" s="8">
        <f t="shared" si="16"/>
        <v>0.65</v>
      </c>
      <c r="S295">
        <v>8362.8700000000008</v>
      </c>
      <c r="T295">
        <v>6541.04</v>
      </c>
      <c r="U295">
        <v>1821.83</v>
      </c>
      <c r="V295" t="s">
        <v>32</v>
      </c>
      <c r="W295" t="s">
        <v>33</v>
      </c>
      <c r="X295" t="str">
        <f t="shared" si="19"/>
        <v>INVALID: Discount above range; INVALID: Ship date before order date</v>
      </c>
      <c r="Y295" t="str">
        <f t="shared" si="17"/>
        <v>Exclude</v>
      </c>
    </row>
    <row r="296" spans="1:25">
      <c r="A296" t="s">
        <v>994</v>
      </c>
      <c r="B296" s="3">
        <v>45854</v>
      </c>
      <c r="C296" s="3">
        <v>45860</v>
      </c>
      <c r="D296" s="6">
        <f t="shared" si="18"/>
        <v>6</v>
      </c>
      <c r="E296" t="s">
        <v>995</v>
      </c>
      <c r="F296" t="s">
        <v>114</v>
      </c>
      <c r="G296" s="5" t="s">
        <v>24</v>
      </c>
      <c r="H296" t="s">
        <v>38</v>
      </c>
      <c r="I296" t="s">
        <v>39</v>
      </c>
      <c r="J296" t="s">
        <v>40</v>
      </c>
      <c r="K296" t="s">
        <v>74</v>
      </c>
      <c r="L296" t="s">
        <v>171</v>
      </c>
      <c r="M296" t="s">
        <v>996</v>
      </c>
      <c r="N296" t="s">
        <v>31</v>
      </c>
      <c r="O296">
        <v>6</v>
      </c>
      <c r="P296">
        <v>4159.33</v>
      </c>
      <c r="Q296" s="6">
        <v>0.25</v>
      </c>
      <c r="R296" s="8">
        <f t="shared" si="16"/>
        <v>0.25</v>
      </c>
      <c r="S296">
        <v>18716.990000000002</v>
      </c>
      <c r="T296">
        <v>12282.43</v>
      </c>
      <c r="U296">
        <v>6434.56</v>
      </c>
      <c r="V296" t="s">
        <v>32</v>
      </c>
      <c r="W296" t="s">
        <v>103</v>
      </c>
      <c r="X296" t="str">
        <f t="shared" si="19"/>
        <v/>
      </c>
      <c r="Y296" t="str">
        <f t="shared" si="17"/>
        <v>Exclude</v>
      </c>
    </row>
    <row r="297" spans="1:25">
      <c r="A297" t="s">
        <v>997</v>
      </c>
      <c r="B297" s="3">
        <v>45833</v>
      </c>
      <c r="C297" s="3">
        <v>45836</v>
      </c>
      <c r="D297" s="6">
        <f t="shared" si="18"/>
        <v>3</v>
      </c>
      <c r="E297" t="s">
        <v>998</v>
      </c>
      <c r="F297" t="s">
        <v>89</v>
      </c>
      <c r="G297" s="5" t="s">
        <v>37</v>
      </c>
      <c r="H297" t="s">
        <v>38</v>
      </c>
      <c r="I297" t="s">
        <v>166</v>
      </c>
      <c r="J297" t="s">
        <v>167</v>
      </c>
      <c r="K297" t="s">
        <v>28</v>
      </c>
      <c r="L297" t="s">
        <v>153</v>
      </c>
      <c r="M297" t="s">
        <v>999</v>
      </c>
      <c r="N297" t="s">
        <v>59</v>
      </c>
      <c r="O297">
        <v>3</v>
      </c>
      <c r="P297">
        <v>3476.05</v>
      </c>
      <c r="Q297" s="6">
        <v>0.1</v>
      </c>
      <c r="R297" s="8">
        <f t="shared" si="16"/>
        <v>0.1</v>
      </c>
      <c r="S297">
        <v>9385.34</v>
      </c>
      <c r="T297">
        <v>5828.54</v>
      </c>
      <c r="U297">
        <v>3556.8</v>
      </c>
      <c r="V297" t="s">
        <v>32</v>
      </c>
      <c r="W297" t="s">
        <v>33</v>
      </c>
      <c r="X297" t="str">
        <f t="shared" si="19"/>
        <v/>
      </c>
      <c r="Y297" t="str">
        <f t="shared" si="17"/>
        <v>Exclude</v>
      </c>
    </row>
    <row r="298" spans="1:25">
      <c r="A298" t="s">
        <v>1000</v>
      </c>
      <c r="B298" s="3">
        <v>45801</v>
      </c>
      <c r="C298" s="3">
        <v>45803</v>
      </c>
      <c r="D298" s="6">
        <f t="shared" si="18"/>
        <v>2</v>
      </c>
      <c r="E298" t="s">
        <v>1001</v>
      </c>
      <c r="F298" t="s">
        <v>89</v>
      </c>
      <c r="G298" s="5" t="s">
        <v>95</v>
      </c>
      <c r="H298" t="s">
        <v>25</v>
      </c>
      <c r="I298" t="s">
        <v>237</v>
      </c>
      <c r="J298" t="s">
        <v>238</v>
      </c>
      <c r="K298" t="s">
        <v>41</v>
      </c>
      <c r="L298" t="s">
        <v>57</v>
      </c>
      <c r="M298" t="s">
        <v>1002</v>
      </c>
      <c r="N298" t="s">
        <v>44</v>
      </c>
      <c r="O298">
        <v>6</v>
      </c>
      <c r="P298">
        <v>3495.41</v>
      </c>
      <c r="Q298" s="6">
        <v>0.15</v>
      </c>
      <c r="R298" s="8">
        <f t="shared" si="16"/>
        <v>0.15</v>
      </c>
      <c r="S298">
        <v>17826.59</v>
      </c>
      <c r="T298">
        <v>10855.35</v>
      </c>
      <c r="U298">
        <v>6971.24</v>
      </c>
      <c r="V298" t="s">
        <v>32</v>
      </c>
      <c r="W298" t="s">
        <v>33</v>
      </c>
      <c r="X298" t="str">
        <f t="shared" si="19"/>
        <v/>
      </c>
      <c r="Y298" t="str">
        <f t="shared" si="17"/>
        <v>Exclude</v>
      </c>
    </row>
    <row r="299" spans="1:25">
      <c r="A299" t="s">
        <v>1003</v>
      </c>
      <c r="B299" s="3">
        <v>45594</v>
      </c>
      <c r="C299" s="3">
        <v>45602</v>
      </c>
      <c r="D299" s="6">
        <f t="shared" si="18"/>
        <v>8</v>
      </c>
      <c r="E299" t="s">
        <v>1004</v>
      </c>
      <c r="F299" t="s">
        <v>132</v>
      </c>
      <c r="G299" s="5" t="s">
        <v>90</v>
      </c>
      <c r="H299" t="s">
        <v>54</v>
      </c>
      <c r="I299" t="s">
        <v>248</v>
      </c>
      <c r="J299" t="s">
        <v>249</v>
      </c>
      <c r="K299" t="s">
        <v>74</v>
      </c>
      <c r="L299" t="s">
        <v>80</v>
      </c>
      <c r="M299" t="s">
        <v>1005</v>
      </c>
      <c r="N299" t="s">
        <v>44</v>
      </c>
      <c r="O299">
        <v>6</v>
      </c>
      <c r="P299">
        <v>1169.92</v>
      </c>
      <c r="Q299" s="6">
        <v>0.15</v>
      </c>
      <c r="R299" s="8">
        <f t="shared" si="16"/>
        <v>0.15</v>
      </c>
      <c r="S299">
        <v>5966.59</v>
      </c>
      <c r="T299">
        <v>3994.72</v>
      </c>
      <c r="U299">
        <v>1971.87</v>
      </c>
      <c r="V299" t="s">
        <v>32</v>
      </c>
      <c r="W299" t="s">
        <v>33</v>
      </c>
      <c r="X299" t="str">
        <f t="shared" si="19"/>
        <v/>
      </c>
      <c r="Y299" t="str">
        <f t="shared" si="17"/>
        <v>Exclude</v>
      </c>
    </row>
    <row r="300" spans="1:25">
      <c r="A300" t="s">
        <v>1006</v>
      </c>
      <c r="B300" s="3">
        <v>45680</v>
      </c>
      <c r="C300" s="3">
        <v>45683</v>
      </c>
      <c r="D300" s="6">
        <f t="shared" si="18"/>
        <v>3</v>
      </c>
      <c r="E300" t="s">
        <v>1007</v>
      </c>
      <c r="F300" t="s">
        <v>47</v>
      </c>
      <c r="G300" s="5" t="s">
        <v>24</v>
      </c>
      <c r="H300" t="s">
        <v>54</v>
      </c>
      <c r="I300" t="s">
        <v>185</v>
      </c>
      <c r="J300" t="s">
        <v>186</v>
      </c>
      <c r="K300" t="s">
        <v>74</v>
      </c>
      <c r="L300" t="s">
        <v>80</v>
      </c>
      <c r="M300" t="s">
        <v>1008</v>
      </c>
      <c r="N300" t="s">
        <v>50</v>
      </c>
      <c r="O300">
        <v>7</v>
      </c>
      <c r="P300">
        <v>348.49</v>
      </c>
      <c r="Q300" s="6">
        <v>0.2</v>
      </c>
      <c r="R300" s="8">
        <f t="shared" si="16"/>
        <v>0.2</v>
      </c>
      <c r="S300">
        <v>1951.54</v>
      </c>
      <c r="T300">
        <v>1609.95</v>
      </c>
      <c r="U300">
        <v>341.59</v>
      </c>
      <c r="V300" t="s">
        <v>155</v>
      </c>
      <c r="W300" t="s">
        <v>103</v>
      </c>
      <c r="X300" t="str">
        <f t="shared" si="19"/>
        <v>EXCLUDE: Failed payment</v>
      </c>
      <c r="Y300" t="str">
        <f t="shared" si="17"/>
        <v>Exclude</v>
      </c>
    </row>
    <row r="301" spans="1:25">
      <c r="A301" t="s">
        <v>1009</v>
      </c>
      <c r="B301" s="3">
        <v>45602</v>
      </c>
      <c r="C301" s="3">
        <v>45637</v>
      </c>
      <c r="D301" s="6">
        <f t="shared" si="18"/>
        <v>35</v>
      </c>
      <c r="E301" t="s">
        <v>1010</v>
      </c>
      <c r="F301" t="s">
        <v>118</v>
      </c>
      <c r="G301" s="5" t="s">
        <v>37</v>
      </c>
      <c r="H301" t="s">
        <v>63</v>
      </c>
      <c r="I301" t="s">
        <v>180</v>
      </c>
      <c r="J301" t="s">
        <v>181</v>
      </c>
      <c r="K301" t="s">
        <v>74</v>
      </c>
      <c r="L301" t="s">
        <v>75</v>
      </c>
      <c r="M301" t="s">
        <v>1011</v>
      </c>
      <c r="N301" t="s">
        <v>59</v>
      </c>
      <c r="O301">
        <v>7</v>
      </c>
      <c r="P301">
        <v>1719.05</v>
      </c>
      <c r="Q301" s="6">
        <v>0.1</v>
      </c>
      <c r="R301" s="8">
        <f t="shared" si="16"/>
        <v>0.1</v>
      </c>
      <c r="S301">
        <v>10830.02</v>
      </c>
      <c r="T301">
        <v>7055.31</v>
      </c>
      <c r="U301">
        <v>3774.71</v>
      </c>
      <c r="V301" t="s">
        <v>32</v>
      </c>
      <c r="W301" t="s">
        <v>33</v>
      </c>
      <c r="X301" t="str">
        <f t="shared" si="19"/>
        <v/>
      </c>
      <c r="Y301" t="str">
        <f t="shared" si="17"/>
        <v>Exclude</v>
      </c>
    </row>
    <row r="302" spans="1:25">
      <c r="A302" t="s">
        <v>1012</v>
      </c>
      <c r="B302" s="3">
        <v>45397</v>
      </c>
      <c r="C302" s="3">
        <v>45405</v>
      </c>
      <c r="D302" s="6">
        <f t="shared" si="18"/>
        <v>8</v>
      </c>
      <c r="E302" t="s">
        <v>1013</v>
      </c>
      <c r="F302" t="s">
        <v>162</v>
      </c>
      <c r="G302" s="5" t="s">
        <v>37</v>
      </c>
      <c r="H302" t="s">
        <v>25</v>
      </c>
      <c r="I302" t="s">
        <v>122</v>
      </c>
      <c r="J302" t="s">
        <v>123</v>
      </c>
      <c r="K302" t="s">
        <v>74</v>
      </c>
      <c r="L302" t="s">
        <v>75</v>
      </c>
      <c r="M302" t="s">
        <v>1014</v>
      </c>
      <c r="N302" t="s">
        <v>31</v>
      </c>
      <c r="O302">
        <v>9</v>
      </c>
      <c r="P302">
        <v>3893.74</v>
      </c>
      <c r="Q302" s="6">
        <v>0.1</v>
      </c>
      <c r="R302" s="8">
        <f t="shared" si="16"/>
        <v>0.1</v>
      </c>
      <c r="S302">
        <v>31539.29</v>
      </c>
      <c r="T302">
        <v>22100.14</v>
      </c>
      <c r="U302">
        <v>9439.15</v>
      </c>
      <c r="V302" t="s">
        <v>32</v>
      </c>
      <c r="W302" t="s">
        <v>33</v>
      </c>
      <c r="X302" t="str">
        <f t="shared" si="19"/>
        <v/>
      </c>
      <c r="Y302" t="str">
        <f t="shared" si="17"/>
        <v>Exclude</v>
      </c>
    </row>
    <row r="303" spans="1:25">
      <c r="A303" t="s">
        <v>1015</v>
      </c>
      <c r="B303" s="3">
        <v>45805</v>
      </c>
      <c r="C303" s="3">
        <v>45809</v>
      </c>
      <c r="D303" s="6">
        <f t="shared" si="18"/>
        <v>4</v>
      </c>
      <c r="E303" t="s">
        <v>1016</v>
      </c>
      <c r="F303" t="s">
        <v>47</v>
      </c>
      <c r="G303" s="5" t="s">
        <v>95</v>
      </c>
      <c r="H303" t="s">
        <v>38</v>
      </c>
      <c r="I303" t="s">
        <v>145</v>
      </c>
      <c r="J303" t="s">
        <v>146</v>
      </c>
      <c r="K303" t="s">
        <v>74</v>
      </c>
      <c r="L303" t="s">
        <v>171</v>
      </c>
      <c r="M303" t="s">
        <v>1017</v>
      </c>
      <c r="N303" t="s">
        <v>44</v>
      </c>
      <c r="O303">
        <v>4</v>
      </c>
      <c r="P303">
        <v>1654.11</v>
      </c>
      <c r="Q303" s="6">
        <v>0.05</v>
      </c>
      <c r="R303" s="8">
        <f t="shared" si="16"/>
        <v>0.05</v>
      </c>
      <c r="S303">
        <v>6285.62</v>
      </c>
      <c r="T303">
        <v>3705.38</v>
      </c>
      <c r="U303">
        <v>2580.2399999999998</v>
      </c>
      <c r="V303" t="s">
        <v>32</v>
      </c>
      <c r="W303" t="s">
        <v>33</v>
      </c>
      <c r="X303" t="str">
        <f t="shared" si="19"/>
        <v/>
      </c>
      <c r="Y303" t="str">
        <f t="shared" si="17"/>
        <v>Exclude</v>
      </c>
    </row>
    <row r="304" spans="1:25">
      <c r="A304" t="s">
        <v>1018</v>
      </c>
      <c r="B304" s="3">
        <v>45812</v>
      </c>
      <c r="C304" s="3">
        <v>45997</v>
      </c>
      <c r="D304" s="6">
        <f t="shared" si="18"/>
        <v>185</v>
      </c>
      <c r="E304" t="s">
        <v>1019</v>
      </c>
      <c r="F304" t="s">
        <v>79</v>
      </c>
      <c r="G304" s="5" t="s">
        <v>24</v>
      </c>
      <c r="H304" t="s">
        <v>63</v>
      </c>
      <c r="I304" t="s">
        <v>190</v>
      </c>
      <c r="J304" t="s">
        <v>191</v>
      </c>
      <c r="K304" t="s">
        <v>611</v>
      </c>
      <c r="L304" t="s">
        <v>124</v>
      </c>
      <c r="M304" t="s">
        <v>1020</v>
      </c>
      <c r="N304" t="s">
        <v>44</v>
      </c>
      <c r="O304">
        <v>2</v>
      </c>
      <c r="P304">
        <v>2703.28</v>
      </c>
      <c r="Q304" s="6">
        <v>0.25</v>
      </c>
      <c r="R304" s="8">
        <f t="shared" si="16"/>
        <v>0.25</v>
      </c>
      <c r="S304">
        <v>4054.92</v>
      </c>
      <c r="T304">
        <v>2424.83</v>
      </c>
      <c r="U304">
        <v>1630.09</v>
      </c>
      <c r="V304" t="s">
        <v>32</v>
      </c>
      <c r="W304" t="s">
        <v>33</v>
      </c>
      <c r="X304" t="str">
        <f t="shared" si="19"/>
        <v/>
      </c>
      <c r="Y304" t="str">
        <f t="shared" si="17"/>
        <v>Exclude</v>
      </c>
    </row>
    <row r="305" spans="1:25">
      <c r="A305" t="s">
        <v>1021</v>
      </c>
      <c r="B305" s="3">
        <v>45466</v>
      </c>
      <c r="C305" s="3">
        <v>45471</v>
      </c>
      <c r="D305" s="6">
        <f t="shared" si="18"/>
        <v>5</v>
      </c>
      <c r="E305" t="s">
        <v>1022</v>
      </c>
      <c r="F305" t="s">
        <v>162</v>
      </c>
      <c r="G305" s="5" t="s">
        <v>95</v>
      </c>
      <c r="H305" t="s">
        <v>63</v>
      </c>
      <c r="I305" t="s">
        <v>180</v>
      </c>
      <c r="J305" t="s">
        <v>181</v>
      </c>
      <c r="K305" t="s">
        <v>41</v>
      </c>
      <c r="L305" t="s">
        <v>66</v>
      </c>
      <c r="M305" t="s">
        <v>1023</v>
      </c>
      <c r="N305" t="s">
        <v>59</v>
      </c>
      <c r="O305">
        <v>2</v>
      </c>
      <c r="P305">
        <v>1313.14</v>
      </c>
      <c r="Q305" s="6">
        <v>0.1</v>
      </c>
      <c r="R305" s="8">
        <f t="shared" si="16"/>
        <v>0.1</v>
      </c>
      <c r="S305">
        <v>2363.65</v>
      </c>
      <c r="T305">
        <v>1876.1</v>
      </c>
      <c r="U305">
        <v>487.55</v>
      </c>
      <c r="V305" t="s">
        <v>111</v>
      </c>
      <c r="W305" t="s">
        <v>103</v>
      </c>
      <c r="X305" t="str">
        <f t="shared" si="19"/>
        <v/>
      </c>
      <c r="Y305" t="str">
        <f t="shared" si="17"/>
        <v>Exclude</v>
      </c>
    </row>
    <row r="306" spans="1:25">
      <c r="A306" t="s">
        <v>1024</v>
      </c>
      <c r="B306" s="3">
        <v>45446</v>
      </c>
      <c r="C306" s="3">
        <v>45364</v>
      </c>
      <c r="D306" s="6">
        <f t="shared" si="18"/>
        <v>-82</v>
      </c>
      <c r="E306" t="s">
        <v>1025</v>
      </c>
      <c r="F306" t="s">
        <v>23</v>
      </c>
      <c r="G306" s="5" t="s">
        <v>24</v>
      </c>
      <c r="H306" t="s">
        <v>25</v>
      </c>
      <c r="I306" t="s">
        <v>122</v>
      </c>
      <c r="J306" t="s">
        <v>123</v>
      </c>
      <c r="K306" t="s">
        <v>41</v>
      </c>
      <c r="L306" t="s">
        <v>57</v>
      </c>
      <c r="M306" t="s">
        <v>1026</v>
      </c>
      <c r="N306" t="s">
        <v>59</v>
      </c>
      <c r="O306">
        <v>6</v>
      </c>
      <c r="P306">
        <v>2403.0500000000002</v>
      </c>
      <c r="Q306" s="6">
        <v>0.1</v>
      </c>
      <c r="R306" s="8">
        <f t="shared" si="16"/>
        <v>0.1</v>
      </c>
      <c r="S306">
        <v>12976.47</v>
      </c>
      <c r="T306">
        <v>10019.98</v>
      </c>
      <c r="U306">
        <v>2956.49</v>
      </c>
      <c r="V306" t="s">
        <v>32</v>
      </c>
      <c r="W306" t="s">
        <v>33</v>
      </c>
      <c r="X306" t="str">
        <f t="shared" si="19"/>
        <v>INVALID: Ship date before order date</v>
      </c>
      <c r="Y306" t="str">
        <f t="shared" si="17"/>
        <v>Exclude</v>
      </c>
    </row>
    <row r="307" spans="1:25">
      <c r="A307" t="s">
        <v>1027</v>
      </c>
      <c r="B307" s="3">
        <v>45413</v>
      </c>
      <c r="C307" s="3">
        <v>45327</v>
      </c>
      <c r="D307" s="6">
        <f t="shared" si="18"/>
        <v>-86</v>
      </c>
      <c r="E307" t="s">
        <v>1028</v>
      </c>
      <c r="F307" t="s">
        <v>62</v>
      </c>
      <c r="G307" s="5" t="s">
        <v>24</v>
      </c>
      <c r="H307" t="s">
        <v>38</v>
      </c>
      <c r="I307" t="s">
        <v>166</v>
      </c>
      <c r="J307" t="s">
        <v>167</v>
      </c>
      <c r="K307" t="s">
        <v>41</v>
      </c>
      <c r="L307" t="s">
        <v>66</v>
      </c>
      <c r="M307" t="s">
        <v>1029</v>
      </c>
      <c r="N307" t="s">
        <v>50</v>
      </c>
      <c r="O307">
        <v>4</v>
      </c>
      <c r="P307">
        <v>4156.0600000000004</v>
      </c>
      <c r="Q307" s="6">
        <v>0.55000000000000004</v>
      </c>
      <c r="R307" s="8">
        <f t="shared" si="16"/>
        <v>0.55000000000000004</v>
      </c>
      <c r="S307">
        <v>13299.39</v>
      </c>
      <c r="T307">
        <v>9851.91</v>
      </c>
      <c r="U307">
        <v>3447.48</v>
      </c>
      <c r="V307" t="s">
        <v>32</v>
      </c>
      <c r="W307" t="s">
        <v>68</v>
      </c>
      <c r="X307" t="str">
        <f t="shared" si="19"/>
        <v>INVALID: Discount above range; INVALID: Ship date before order date; EXCLUDE: Cancelled order</v>
      </c>
      <c r="Y307" t="str">
        <f t="shared" si="17"/>
        <v>Exclude</v>
      </c>
    </row>
    <row r="308" spans="1:25">
      <c r="A308" t="s">
        <v>1030</v>
      </c>
      <c r="B308" s="3">
        <v>45708</v>
      </c>
      <c r="C308" s="3">
        <v>45711</v>
      </c>
      <c r="D308" s="6">
        <f t="shared" si="18"/>
        <v>3</v>
      </c>
      <c r="E308" t="s">
        <v>1031</v>
      </c>
      <c r="F308" t="s">
        <v>128</v>
      </c>
      <c r="G308" s="5" t="s">
        <v>24</v>
      </c>
      <c r="H308" t="s">
        <v>25</v>
      </c>
      <c r="I308" t="s">
        <v>26</v>
      </c>
      <c r="J308" t="s">
        <v>27</v>
      </c>
      <c r="K308" t="s">
        <v>74</v>
      </c>
      <c r="L308" t="s">
        <v>171</v>
      </c>
      <c r="M308" t="s">
        <v>1032</v>
      </c>
      <c r="N308" t="s">
        <v>31</v>
      </c>
      <c r="O308">
        <v>4</v>
      </c>
      <c r="P308">
        <v>3673.11</v>
      </c>
      <c r="Q308" s="6">
        <v>0</v>
      </c>
      <c r="R308" s="8">
        <f t="shared" si="16"/>
        <v>0</v>
      </c>
      <c r="S308">
        <v>14692.44</v>
      </c>
      <c r="T308">
        <v>10082.19</v>
      </c>
      <c r="U308">
        <v>4610.25</v>
      </c>
      <c r="V308" t="s">
        <v>32</v>
      </c>
      <c r="W308" t="s">
        <v>33</v>
      </c>
      <c r="X308" t="str">
        <f t="shared" si="19"/>
        <v/>
      </c>
      <c r="Y308" t="str">
        <f t="shared" si="17"/>
        <v>Exclude</v>
      </c>
    </row>
    <row r="309" spans="1:25">
      <c r="A309" t="s">
        <v>1033</v>
      </c>
      <c r="B309" s="3">
        <v>45850</v>
      </c>
      <c r="C309" s="3">
        <v>45857</v>
      </c>
      <c r="D309" s="6">
        <f t="shared" si="18"/>
        <v>7</v>
      </c>
      <c r="E309" t="s">
        <v>1034</v>
      </c>
      <c r="F309" t="s">
        <v>62</v>
      </c>
      <c r="G309" s="5" t="s">
        <v>90</v>
      </c>
      <c r="H309" t="s">
        <v>25</v>
      </c>
      <c r="I309" t="s">
        <v>136</v>
      </c>
      <c r="J309" t="s">
        <v>137</v>
      </c>
      <c r="K309" t="s">
        <v>41</v>
      </c>
      <c r="L309" t="s">
        <v>42</v>
      </c>
      <c r="M309" t="s">
        <v>1035</v>
      </c>
      <c r="N309" t="s">
        <v>50</v>
      </c>
      <c r="O309">
        <v>9</v>
      </c>
      <c r="P309">
        <v>4093.04</v>
      </c>
      <c r="Q309" s="6">
        <v>0.2</v>
      </c>
      <c r="R309" s="8">
        <f t="shared" si="16"/>
        <v>0.2</v>
      </c>
      <c r="S309">
        <v>29469.89</v>
      </c>
      <c r="T309">
        <v>18935.509999999998</v>
      </c>
      <c r="U309">
        <v>10534.38</v>
      </c>
      <c r="V309" t="s">
        <v>1036</v>
      </c>
      <c r="W309" t="s">
        <v>68</v>
      </c>
      <c r="X309" t="str">
        <f t="shared" si="19"/>
        <v>EXCLUDE: Cancelled order</v>
      </c>
      <c r="Y309" t="str">
        <f t="shared" si="17"/>
        <v>Exclude</v>
      </c>
    </row>
    <row r="310" spans="1:25">
      <c r="A310" t="s">
        <v>1037</v>
      </c>
      <c r="B310" s="3">
        <v>45821</v>
      </c>
      <c r="C310" s="3">
        <v>45827</v>
      </c>
      <c r="D310" s="6">
        <f t="shared" si="18"/>
        <v>6</v>
      </c>
      <c r="E310" t="s">
        <v>1038</v>
      </c>
      <c r="F310" t="s">
        <v>141</v>
      </c>
      <c r="G310" s="5" t="s">
        <v>24</v>
      </c>
      <c r="H310" t="s">
        <v>25</v>
      </c>
      <c r="I310" t="s">
        <v>26</v>
      </c>
      <c r="J310" t="s">
        <v>27</v>
      </c>
      <c r="K310" t="s">
        <v>41</v>
      </c>
      <c r="L310" t="s">
        <v>42</v>
      </c>
      <c r="M310" t="s">
        <v>1039</v>
      </c>
      <c r="N310" t="s">
        <v>50</v>
      </c>
      <c r="O310">
        <v>4</v>
      </c>
      <c r="P310">
        <v>731.57</v>
      </c>
      <c r="Q310" s="6">
        <v>0.2</v>
      </c>
      <c r="R310" s="8">
        <f t="shared" si="16"/>
        <v>0.2</v>
      </c>
      <c r="S310">
        <v>2341.02</v>
      </c>
      <c r="T310">
        <v>1565.49</v>
      </c>
      <c r="U310">
        <v>775.53</v>
      </c>
      <c r="V310" t="s">
        <v>32</v>
      </c>
      <c r="W310" t="s">
        <v>33</v>
      </c>
      <c r="X310" t="str">
        <f t="shared" si="19"/>
        <v/>
      </c>
      <c r="Y310" t="str">
        <f t="shared" si="17"/>
        <v>Exclude</v>
      </c>
    </row>
    <row r="311" spans="1:25">
      <c r="A311" t="s">
        <v>1040</v>
      </c>
      <c r="B311" s="3">
        <v>45493</v>
      </c>
      <c r="C311" s="3">
        <v>45495</v>
      </c>
      <c r="D311" s="6">
        <f t="shared" si="18"/>
        <v>2</v>
      </c>
      <c r="E311" t="s">
        <v>1041</v>
      </c>
      <c r="F311" t="s">
        <v>62</v>
      </c>
      <c r="G311" s="5" t="s">
        <v>24</v>
      </c>
      <c r="H311" t="s">
        <v>54</v>
      </c>
      <c r="I311" t="s">
        <v>248</v>
      </c>
      <c r="J311" t="s">
        <v>249</v>
      </c>
      <c r="K311" t="s">
        <v>41</v>
      </c>
      <c r="L311" t="s">
        <v>42</v>
      </c>
      <c r="M311" t="s">
        <v>1042</v>
      </c>
      <c r="N311" t="s">
        <v>50</v>
      </c>
      <c r="O311">
        <v>7</v>
      </c>
      <c r="P311">
        <v>2060.73</v>
      </c>
      <c r="Q311" s="6">
        <v>0.1</v>
      </c>
      <c r="R311" s="8">
        <f t="shared" si="16"/>
        <v>0.1</v>
      </c>
      <c r="S311">
        <v>12982.6</v>
      </c>
      <c r="T311">
        <v>7246.36</v>
      </c>
      <c r="U311">
        <v>5736.24</v>
      </c>
      <c r="V311" t="s">
        <v>32</v>
      </c>
      <c r="W311" t="s">
        <v>68</v>
      </c>
      <c r="X311" t="str">
        <f t="shared" si="19"/>
        <v>EXCLUDE: Cancelled order</v>
      </c>
      <c r="Y311" t="str">
        <f t="shared" si="17"/>
        <v>Exclude</v>
      </c>
    </row>
    <row r="312" spans="1:25">
      <c r="A312" t="s">
        <v>1043</v>
      </c>
      <c r="B312" s="3">
        <v>45477</v>
      </c>
      <c r="C312" s="3">
        <v>45481</v>
      </c>
      <c r="D312" s="6">
        <f t="shared" si="18"/>
        <v>4</v>
      </c>
      <c r="E312" t="s">
        <v>1044</v>
      </c>
      <c r="F312" t="s">
        <v>141</v>
      </c>
      <c r="G312" s="5" t="s">
        <v>37</v>
      </c>
      <c r="H312" t="s">
        <v>54</v>
      </c>
      <c r="I312" t="s">
        <v>248</v>
      </c>
      <c r="J312" t="s">
        <v>249</v>
      </c>
      <c r="K312" t="s">
        <v>74</v>
      </c>
      <c r="L312" t="s">
        <v>275</v>
      </c>
      <c r="M312" t="s">
        <v>1045</v>
      </c>
      <c r="N312" t="s">
        <v>50</v>
      </c>
      <c r="O312">
        <v>8</v>
      </c>
      <c r="P312">
        <v>2034.25</v>
      </c>
      <c r="Q312" s="6">
        <v>0</v>
      </c>
      <c r="R312" s="8">
        <f t="shared" si="16"/>
        <v>0</v>
      </c>
      <c r="S312">
        <v>16274</v>
      </c>
      <c r="T312">
        <v>9424.25</v>
      </c>
      <c r="U312">
        <v>6849.75</v>
      </c>
      <c r="V312" t="s">
        <v>32</v>
      </c>
      <c r="W312" t="s">
        <v>33</v>
      </c>
      <c r="X312" t="str">
        <f t="shared" si="19"/>
        <v/>
      </c>
      <c r="Y312" t="str">
        <f t="shared" si="17"/>
        <v>Exclude</v>
      </c>
    </row>
    <row r="313" spans="1:25">
      <c r="A313" t="s">
        <v>1046</v>
      </c>
      <c r="B313" s="3">
        <v>45409</v>
      </c>
      <c r="C313" s="3">
        <v>45414</v>
      </c>
      <c r="D313" s="6">
        <f t="shared" si="18"/>
        <v>5</v>
      </c>
      <c r="E313" t="s">
        <v>1047</v>
      </c>
      <c r="F313" t="s">
        <v>36</v>
      </c>
      <c r="G313" s="5" t="s">
        <v>90</v>
      </c>
      <c r="H313" t="s">
        <v>54</v>
      </c>
      <c r="I313" t="s">
        <v>175</v>
      </c>
      <c r="J313" t="s">
        <v>176</v>
      </c>
      <c r="K313" t="s">
        <v>28</v>
      </c>
      <c r="L313" t="s">
        <v>153</v>
      </c>
      <c r="M313" t="s">
        <v>1048</v>
      </c>
      <c r="N313" t="s">
        <v>31</v>
      </c>
      <c r="O313">
        <v>5</v>
      </c>
      <c r="P313">
        <v>554.04</v>
      </c>
      <c r="Q313" s="6">
        <v>0.1</v>
      </c>
      <c r="R313" s="8">
        <f t="shared" si="16"/>
        <v>0.1</v>
      </c>
      <c r="S313">
        <v>2493.1799999999998</v>
      </c>
      <c r="T313">
        <v>1764</v>
      </c>
      <c r="U313">
        <v>729.18</v>
      </c>
      <c r="V313" t="s">
        <v>32</v>
      </c>
      <c r="W313" t="s">
        <v>33</v>
      </c>
      <c r="X313" t="str">
        <f t="shared" si="19"/>
        <v/>
      </c>
      <c r="Y313" t="str">
        <f t="shared" si="17"/>
        <v>Exclude</v>
      </c>
    </row>
    <row r="314" spans="1:25">
      <c r="A314" t="s">
        <v>1049</v>
      </c>
      <c r="B314" s="3">
        <v>45504</v>
      </c>
      <c r="C314" s="3">
        <v>45508</v>
      </c>
      <c r="D314" s="6">
        <f t="shared" si="18"/>
        <v>4</v>
      </c>
      <c r="E314" t="s">
        <v>1050</v>
      </c>
      <c r="F314" t="s">
        <v>23</v>
      </c>
      <c r="G314" s="5" t="s">
        <v>37</v>
      </c>
      <c r="H314" t="s">
        <v>38</v>
      </c>
      <c r="I314" t="s">
        <v>166</v>
      </c>
      <c r="J314" t="s">
        <v>167</v>
      </c>
      <c r="K314" t="s">
        <v>74</v>
      </c>
      <c r="L314" t="s">
        <v>171</v>
      </c>
      <c r="M314" t="s">
        <v>1051</v>
      </c>
      <c r="N314" t="s">
        <v>59</v>
      </c>
      <c r="O314">
        <v>8</v>
      </c>
      <c r="P314">
        <v>2614.7399999999998</v>
      </c>
      <c r="Q314" s="6">
        <v>0</v>
      </c>
      <c r="R314" s="8">
        <f t="shared" si="16"/>
        <v>0</v>
      </c>
      <c r="S314">
        <v>15688.44</v>
      </c>
      <c r="T314">
        <v>10047.33</v>
      </c>
      <c r="U314">
        <v>5641.11</v>
      </c>
      <c r="V314" t="s">
        <v>32</v>
      </c>
      <c r="W314" t="s">
        <v>68</v>
      </c>
      <c r="X314" t="str">
        <f t="shared" si="19"/>
        <v>EXCLUDE: Cancelled order</v>
      </c>
      <c r="Y314" t="str">
        <f t="shared" si="17"/>
        <v>Exclude</v>
      </c>
    </row>
    <row r="315" spans="1:25">
      <c r="A315" t="s">
        <v>1052</v>
      </c>
      <c r="B315" s="3">
        <v>45807</v>
      </c>
      <c r="C315" s="3">
        <v>45808</v>
      </c>
      <c r="D315" s="6">
        <f t="shared" si="18"/>
        <v>1</v>
      </c>
      <c r="E315" t="s">
        <v>1053</v>
      </c>
      <c r="F315" t="s">
        <v>118</v>
      </c>
      <c r="G315" s="5" t="s">
        <v>90</v>
      </c>
      <c r="H315" t="s">
        <v>25</v>
      </c>
      <c r="I315" t="s">
        <v>136</v>
      </c>
      <c r="J315" t="s">
        <v>137</v>
      </c>
      <c r="K315" t="s">
        <v>74</v>
      </c>
      <c r="L315" t="s">
        <v>171</v>
      </c>
      <c r="M315" t="s">
        <v>1054</v>
      </c>
      <c r="N315" t="s">
        <v>50</v>
      </c>
      <c r="O315">
        <v>8</v>
      </c>
      <c r="P315">
        <v>2081.4299999999998</v>
      </c>
      <c r="Q315" s="6">
        <v>0.25</v>
      </c>
      <c r="R315" s="8">
        <f t="shared" si="16"/>
        <v>0.25</v>
      </c>
      <c r="S315">
        <v>12488.58</v>
      </c>
      <c r="T315">
        <v>10717.4</v>
      </c>
      <c r="U315">
        <v>1771.18</v>
      </c>
      <c r="V315" t="s">
        <v>102</v>
      </c>
      <c r="W315" t="s">
        <v>68</v>
      </c>
      <c r="X315" t="str">
        <f t="shared" si="19"/>
        <v>EXCLUDE: Cancelled order; REFUND: Summarize separately</v>
      </c>
      <c r="Y315" t="str">
        <f t="shared" si="17"/>
        <v>Exclude</v>
      </c>
    </row>
    <row r="316" spans="1:25">
      <c r="A316" t="s">
        <v>1055</v>
      </c>
      <c r="B316" s="3">
        <v>45795</v>
      </c>
      <c r="C316" s="3">
        <v>45797</v>
      </c>
      <c r="D316" s="6">
        <f t="shared" si="18"/>
        <v>2</v>
      </c>
      <c r="E316" t="s">
        <v>1056</v>
      </c>
      <c r="F316" t="s">
        <v>47</v>
      </c>
      <c r="G316" s="5" t="s">
        <v>90</v>
      </c>
      <c r="H316" t="s">
        <v>63</v>
      </c>
      <c r="I316" t="s">
        <v>72</v>
      </c>
      <c r="J316" t="s">
        <v>73</v>
      </c>
      <c r="K316" t="s">
        <v>28</v>
      </c>
      <c r="L316" t="s">
        <v>91</v>
      </c>
      <c r="M316" t="s">
        <v>1057</v>
      </c>
      <c r="N316" t="s">
        <v>59</v>
      </c>
      <c r="O316">
        <v>9</v>
      </c>
      <c r="P316">
        <v>847.76</v>
      </c>
      <c r="Q316" s="6">
        <v>0.15</v>
      </c>
      <c r="R316" s="8">
        <f t="shared" si="16"/>
        <v>0.15</v>
      </c>
      <c r="S316">
        <v>6485.36</v>
      </c>
      <c r="T316">
        <v>5376.17</v>
      </c>
      <c r="U316">
        <v>1109.19</v>
      </c>
      <c r="V316" t="s">
        <v>155</v>
      </c>
      <c r="W316" t="s">
        <v>103</v>
      </c>
      <c r="X316" t="str">
        <f t="shared" si="19"/>
        <v>EXCLUDE: Failed payment</v>
      </c>
      <c r="Y316" t="str">
        <f t="shared" si="17"/>
        <v>Exclude</v>
      </c>
    </row>
    <row r="317" spans="1:25">
      <c r="A317" t="s">
        <v>1058</v>
      </c>
      <c r="B317" s="3">
        <v>45475</v>
      </c>
      <c r="C317" s="3">
        <v>45511</v>
      </c>
      <c r="D317" s="6">
        <f t="shared" si="18"/>
        <v>36</v>
      </c>
      <c r="E317" t="s">
        <v>1059</v>
      </c>
      <c r="F317" t="s">
        <v>141</v>
      </c>
      <c r="G317" s="5" t="s">
        <v>24</v>
      </c>
      <c r="H317" t="s">
        <v>25</v>
      </c>
      <c r="I317" t="s">
        <v>351</v>
      </c>
      <c r="J317" t="s">
        <v>352</v>
      </c>
      <c r="K317" t="s">
        <v>28</v>
      </c>
      <c r="L317" t="s">
        <v>29</v>
      </c>
      <c r="M317" t="s">
        <v>1060</v>
      </c>
      <c r="N317" t="s">
        <v>59</v>
      </c>
      <c r="O317">
        <v>9</v>
      </c>
      <c r="P317">
        <v>3450.4</v>
      </c>
      <c r="Q317" s="6">
        <v>0.05</v>
      </c>
      <c r="R317" s="8">
        <f t="shared" si="16"/>
        <v>0.05</v>
      </c>
      <c r="S317">
        <v>29500.92</v>
      </c>
      <c r="T317">
        <v>17989.68</v>
      </c>
      <c r="U317">
        <v>11511.24</v>
      </c>
      <c r="V317" t="s">
        <v>111</v>
      </c>
      <c r="W317" t="s">
        <v>103</v>
      </c>
      <c r="X317" t="str">
        <f t="shared" si="19"/>
        <v/>
      </c>
      <c r="Y317" t="str">
        <f t="shared" si="17"/>
        <v>Exclude</v>
      </c>
    </row>
    <row r="318" spans="1:25">
      <c r="A318" t="s">
        <v>1061</v>
      </c>
      <c r="B318" s="3">
        <v>45338</v>
      </c>
      <c r="C318" s="3">
        <v>45340</v>
      </c>
      <c r="D318" s="6">
        <f t="shared" si="18"/>
        <v>2</v>
      </c>
      <c r="E318" t="s">
        <v>1062</v>
      </c>
      <c r="F318" t="s">
        <v>23</v>
      </c>
      <c r="G318" s="5" t="s">
        <v>90</v>
      </c>
      <c r="H318" t="s">
        <v>25</v>
      </c>
      <c r="I318" t="s">
        <v>122</v>
      </c>
      <c r="J318" t="s">
        <v>123</v>
      </c>
      <c r="K318" t="s">
        <v>28</v>
      </c>
      <c r="L318" t="s">
        <v>91</v>
      </c>
      <c r="M318" t="s">
        <v>1063</v>
      </c>
      <c r="N318" t="s">
        <v>59</v>
      </c>
      <c r="O318">
        <v>2</v>
      </c>
      <c r="P318">
        <v>1947.53</v>
      </c>
      <c r="Q318" s="6">
        <v>0.2</v>
      </c>
      <c r="R318" s="8">
        <f t="shared" si="16"/>
        <v>0.2</v>
      </c>
      <c r="S318">
        <v>3116.05</v>
      </c>
      <c r="T318">
        <v>1956.63</v>
      </c>
      <c r="U318">
        <v>1159.42</v>
      </c>
      <c r="V318" t="s">
        <v>32</v>
      </c>
      <c r="W318" t="s">
        <v>68</v>
      </c>
      <c r="X318" t="str">
        <f t="shared" si="19"/>
        <v>EXCLUDE: Cancelled order</v>
      </c>
      <c r="Y318" t="str">
        <f t="shared" si="17"/>
        <v>Exclude</v>
      </c>
    </row>
    <row r="319" spans="1:25">
      <c r="A319" t="s">
        <v>1064</v>
      </c>
      <c r="B319" s="3">
        <v>45898</v>
      </c>
      <c r="C319" s="3">
        <v>45756</v>
      </c>
      <c r="D319" s="6">
        <f t="shared" si="18"/>
        <v>-142</v>
      </c>
      <c r="E319" t="s">
        <v>1065</v>
      </c>
      <c r="F319" t="s">
        <v>79</v>
      </c>
      <c r="G319" s="5" t="s">
        <v>90</v>
      </c>
      <c r="H319" t="s">
        <v>54</v>
      </c>
      <c r="I319" t="s">
        <v>185</v>
      </c>
      <c r="J319" t="s">
        <v>186</v>
      </c>
      <c r="K319" t="s">
        <v>41</v>
      </c>
      <c r="L319" t="s">
        <v>42</v>
      </c>
      <c r="M319" t="s">
        <v>1066</v>
      </c>
      <c r="N319" t="s">
        <v>50</v>
      </c>
      <c r="O319">
        <v>9</v>
      </c>
      <c r="P319">
        <v>2996.97</v>
      </c>
      <c r="Q319" s="6">
        <v>0.15</v>
      </c>
      <c r="R319" s="8">
        <f t="shared" si="16"/>
        <v>0.15</v>
      </c>
      <c r="S319">
        <v>22926.82</v>
      </c>
      <c r="T319">
        <v>14621.59</v>
      </c>
      <c r="U319">
        <v>8305.23</v>
      </c>
      <c r="V319" t="s">
        <v>32</v>
      </c>
      <c r="W319" t="s">
        <v>33</v>
      </c>
      <c r="X319" t="str">
        <f t="shared" si="19"/>
        <v>INVALID: Ship date before order date</v>
      </c>
      <c r="Y319" t="str">
        <f t="shared" si="17"/>
        <v>Exclude</v>
      </c>
    </row>
    <row r="320" spans="1:25">
      <c r="A320" t="s">
        <v>1067</v>
      </c>
      <c r="B320" s="3">
        <v>45407</v>
      </c>
      <c r="C320" s="3">
        <v>45412</v>
      </c>
      <c r="D320" s="6">
        <f t="shared" si="18"/>
        <v>5</v>
      </c>
      <c r="E320" t="s">
        <v>1068</v>
      </c>
      <c r="F320" t="s">
        <v>36</v>
      </c>
      <c r="G320" s="5" t="s">
        <v>37</v>
      </c>
      <c r="H320" t="s">
        <v>54</v>
      </c>
      <c r="I320" t="s">
        <v>175</v>
      </c>
      <c r="J320" t="s">
        <v>176</v>
      </c>
      <c r="K320" t="s">
        <v>74</v>
      </c>
      <c r="L320" t="s">
        <v>171</v>
      </c>
      <c r="M320" t="s">
        <v>1069</v>
      </c>
      <c r="N320" t="s">
        <v>59</v>
      </c>
      <c r="O320">
        <v>3</v>
      </c>
      <c r="P320">
        <v>4149.46</v>
      </c>
      <c r="Q320" s="6">
        <v>0.1</v>
      </c>
      <c r="R320" s="8">
        <f t="shared" si="16"/>
        <v>0.1</v>
      </c>
      <c r="S320">
        <v>11203.54</v>
      </c>
      <c r="T320">
        <v>8452.93</v>
      </c>
      <c r="U320">
        <v>2750.61</v>
      </c>
      <c r="V320" t="s">
        <v>32</v>
      </c>
      <c r="W320" t="s">
        <v>33</v>
      </c>
      <c r="X320" t="str">
        <f t="shared" si="19"/>
        <v/>
      </c>
      <c r="Y320" t="str">
        <f t="shared" si="17"/>
        <v>Exclude</v>
      </c>
    </row>
    <row r="321" spans="1:25">
      <c r="A321" t="s">
        <v>1070</v>
      </c>
      <c r="B321" s="3">
        <v>45525</v>
      </c>
      <c r="C321" s="3">
        <v>45529</v>
      </c>
      <c r="D321" s="6">
        <f t="shared" si="18"/>
        <v>4</v>
      </c>
      <c r="E321" t="s">
        <v>1071</v>
      </c>
      <c r="F321" t="s">
        <v>162</v>
      </c>
      <c r="G321" s="5" t="s">
        <v>24</v>
      </c>
      <c r="H321" t="s">
        <v>63</v>
      </c>
      <c r="I321" t="s">
        <v>180</v>
      </c>
      <c r="J321" t="s">
        <v>181</v>
      </c>
      <c r="K321" t="s">
        <v>28</v>
      </c>
      <c r="L321" t="s">
        <v>153</v>
      </c>
      <c r="M321" t="s">
        <v>1072</v>
      </c>
      <c r="N321" t="s">
        <v>50</v>
      </c>
      <c r="O321">
        <v>1</v>
      </c>
      <c r="P321">
        <v>270.27999999999997</v>
      </c>
      <c r="Q321" s="6">
        <v>0</v>
      </c>
      <c r="R321" s="8">
        <f t="shared" si="16"/>
        <v>0</v>
      </c>
      <c r="S321">
        <v>270.27999999999997</v>
      </c>
      <c r="T321">
        <v>156.34</v>
      </c>
      <c r="U321">
        <v>113.94</v>
      </c>
      <c r="V321" t="s">
        <v>32</v>
      </c>
      <c r="W321" t="s">
        <v>33</v>
      </c>
      <c r="X321" t="str">
        <f t="shared" si="19"/>
        <v/>
      </c>
      <c r="Y321" t="str">
        <f t="shared" si="17"/>
        <v>Exclude</v>
      </c>
    </row>
    <row r="322" spans="1:25">
      <c r="A322" t="s">
        <v>1073</v>
      </c>
      <c r="B322" s="3">
        <v>45394</v>
      </c>
      <c r="C322" s="3">
        <v>45455</v>
      </c>
      <c r="D322" s="6">
        <f t="shared" si="18"/>
        <v>61</v>
      </c>
      <c r="E322" t="s">
        <v>1074</v>
      </c>
      <c r="F322" t="s">
        <v>128</v>
      </c>
      <c r="G322" s="5" t="s">
        <v>95</v>
      </c>
      <c r="H322" t="s">
        <v>38</v>
      </c>
      <c r="I322" t="s">
        <v>99</v>
      </c>
      <c r="J322" t="s">
        <v>100</v>
      </c>
      <c r="K322" t="s">
        <v>28</v>
      </c>
      <c r="L322" t="s">
        <v>48</v>
      </c>
      <c r="M322" t="s">
        <v>1075</v>
      </c>
      <c r="N322" t="s">
        <v>31</v>
      </c>
      <c r="O322">
        <v>3</v>
      </c>
      <c r="P322">
        <v>876.14</v>
      </c>
      <c r="Q322" s="6" t="s">
        <v>464</v>
      </c>
      <c r="R322" s="8" t="str">
        <f t="shared" ref="R322:R385" si="20">IF(ISBLANK(Q322),IF(AND(ISNUMBER(O322),O322&gt;0,ISNUMBER(P322),ISNUMBER(S322),ISNUMBER(T322),ISNUMBER(U322)),0,""),Q322)</f>
        <v>70%</v>
      </c>
      <c r="S322">
        <v>2628.42</v>
      </c>
      <c r="T322">
        <v>1541.54</v>
      </c>
      <c r="U322">
        <v>1086.8800000000001</v>
      </c>
      <c r="V322" t="s">
        <v>111</v>
      </c>
      <c r="W322" t="s">
        <v>103</v>
      </c>
      <c r="X322" t="str">
        <f t="shared" si="19"/>
        <v>INVALID: Discount above range</v>
      </c>
      <c r="Y322" t="str">
        <f t="shared" ref="Y322:Y385" si="21">IF(AND(U322="Completed",T322="Paid",ISERROR(SEARCH("INVALID",W322))),"Include","Exclude")</f>
        <v>Exclude</v>
      </c>
    </row>
    <row r="323" spans="1:25">
      <c r="A323" t="s">
        <v>1076</v>
      </c>
      <c r="B323" s="3">
        <v>45466</v>
      </c>
      <c r="C323" s="3">
        <v>45473</v>
      </c>
      <c r="D323" s="6">
        <f t="shared" ref="D323:D386" si="22">IF(OR(B323="",C323=""),"",C323-B323)</f>
        <v>7</v>
      </c>
      <c r="E323" t="s">
        <v>1077</v>
      </c>
      <c r="F323" t="s">
        <v>79</v>
      </c>
      <c r="G323" s="5" t="s">
        <v>37</v>
      </c>
      <c r="H323" t="s">
        <v>63</v>
      </c>
      <c r="I323" t="s">
        <v>190</v>
      </c>
      <c r="J323" t="s">
        <v>191</v>
      </c>
      <c r="K323" t="s">
        <v>74</v>
      </c>
      <c r="L323" t="s">
        <v>75</v>
      </c>
      <c r="M323" t="s">
        <v>1078</v>
      </c>
      <c r="N323" t="s">
        <v>44</v>
      </c>
      <c r="O323">
        <v>4</v>
      </c>
      <c r="P323">
        <v>674.82</v>
      </c>
      <c r="Q323" s="6">
        <v>0</v>
      </c>
      <c r="R323" s="8">
        <f t="shared" si="20"/>
        <v>0</v>
      </c>
      <c r="S323">
        <v>2699.28</v>
      </c>
      <c r="T323">
        <v>1759.76</v>
      </c>
      <c r="U323">
        <v>939.52</v>
      </c>
      <c r="V323" t="s">
        <v>155</v>
      </c>
      <c r="W323" t="s">
        <v>68</v>
      </c>
      <c r="X323" t="str">
        <f t="shared" ref="X323:X386" si="23">_xlfn.TEXTJOIN("; ",TRUE,IF(R323&lt;0,"INVALID: Negative discount",""),IF(R323&gt;50%,"INVALID: Discount above range",""),IF(D323&lt;0,"INVALID: Ship date before order date",""),IF(W323="Cancelled","EXCLUDE: Cancelled order",""),IF(V323="Failed","EXCLUDE: Failed payment",""),IF(V323="Refunded","REFUND: Summarize separately",""))</f>
        <v>EXCLUDE: Cancelled order; EXCLUDE: Failed payment</v>
      </c>
      <c r="Y323" t="str">
        <f t="shared" si="21"/>
        <v>Exclude</v>
      </c>
    </row>
    <row r="324" spans="1:25">
      <c r="A324" t="s">
        <v>1079</v>
      </c>
      <c r="B324" s="3">
        <v>45608</v>
      </c>
      <c r="C324" s="3">
        <v>45608</v>
      </c>
      <c r="D324" s="6">
        <f t="shared" si="22"/>
        <v>0</v>
      </c>
      <c r="E324" t="s">
        <v>1080</v>
      </c>
      <c r="F324" t="s">
        <v>47</v>
      </c>
      <c r="G324" s="5" t="s">
        <v>24</v>
      </c>
      <c r="H324" t="s">
        <v>25</v>
      </c>
      <c r="I324" t="s">
        <v>136</v>
      </c>
      <c r="J324" t="s">
        <v>137</v>
      </c>
      <c r="K324" t="s">
        <v>74</v>
      </c>
      <c r="L324" t="s">
        <v>171</v>
      </c>
      <c r="M324" t="s">
        <v>1081</v>
      </c>
      <c r="N324" t="s">
        <v>31</v>
      </c>
      <c r="O324">
        <v>6</v>
      </c>
      <c r="P324">
        <v>1369.48</v>
      </c>
      <c r="Q324" s="6">
        <v>0.15</v>
      </c>
      <c r="R324" s="8">
        <f t="shared" si="20"/>
        <v>0.15</v>
      </c>
      <c r="S324">
        <v>6984.35</v>
      </c>
      <c r="T324">
        <v>4023.63</v>
      </c>
      <c r="U324">
        <v>2960.72</v>
      </c>
      <c r="V324" t="s">
        <v>32</v>
      </c>
      <c r="W324" t="s">
        <v>33</v>
      </c>
      <c r="X324" t="str">
        <f t="shared" si="23"/>
        <v/>
      </c>
      <c r="Y324" t="str">
        <f t="shared" si="21"/>
        <v>Exclude</v>
      </c>
    </row>
    <row r="325" spans="1:25">
      <c r="A325" t="s">
        <v>1082</v>
      </c>
      <c r="B325" s="3">
        <v>45347</v>
      </c>
      <c r="C325" s="3">
        <v>45351</v>
      </c>
      <c r="D325" s="6">
        <f t="shared" si="22"/>
        <v>4</v>
      </c>
      <c r="E325" t="s">
        <v>1083</v>
      </c>
      <c r="F325" t="s">
        <v>47</v>
      </c>
      <c r="G325" s="5" t="s">
        <v>37</v>
      </c>
      <c r="H325" t="s">
        <v>63</v>
      </c>
      <c r="I325" t="s">
        <v>190</v>
      </c>
      <c r="J325" t="s">
        <v>191</v>
      </c>
      <c r="K325" t="s">
        <v>41</v>
      </c>
      <c r="L325" t="s">
        <v>57</v>
      </c>
      <c r="M325" t="s">
        <v>150</v>
      </c>
      <c r="N325" t="s">
        <v>59</v>
      </c>
      <c r="O325">
        <v>9</v>
      </c>
      <c r="P325">
        <v>1331.46</v>
      </c>
      <c r="Q325" s="6">
        <v>0.15</v>
      </c>
      <c r="R325" s="8">
        <f t="shared" si="20"/>
        <v>0.15</v>
      </c>
      <c r="S325">
        <v>10185.67</v>
      </c>
      <c r="T325">
        <v>6479.31</v>
      </c>
      <c r="U325">
        <v>3706.36</v>
      </c>
      <c r="V325" t="s">
        <v>32</v>
      </c>
      <c r="W325" t="s">
        <v>33</v>
      </c>
      <c r="X325" t="str">
        <f t="shared" si="23"/>
        <v/>
      </c>
      <c r="Y325" t="str">
        <f t="shared" si="21"/>
        <v>Exclude</v>
      </c>
    </row>
    <row r="326" spans="1:25">
      <c r="A326" t="s">
        <v>1084</v>
      </c>
      <c r="B326" s="3">
        <v>45869</v>
      </c>
      <c r="C326" s="3">
        <v>45871</v>
      </c>
      <c r="D326" s="6">
        <f t="shared" si="22"/>
        <v>2</v>
      </c>
      <c r="E326" t="s">
        <v>1085</v>
      </c>
      <c r="F326" t="s">
        <v>141</v>
      </c>
      <c r="G326" s="5" t="s">
        <v>95</v>
      </c>
      <c r="H326" t="s">
        <v>54</v>
      </c>
      <c r="I326" t="s">
        <v>84</v>
      </c>
      <c r="J326" t="s">
        <v>85</v>
      </c>
      <c r="K326" t="s">
        <v>28</v>
      </c>
      <c r="L326" t="s">
        <v>91</v>
      </c>
      <c r="M326" t="s">
        <v>1086</v>
      </c>
      <c r="N326" t="s">
        <v>44</v>
      </c>
      <c r="O326">
        <v>1</v>
      </c>
      <c r="P326">
        <v>1947.88</v>
      </c>
      <c r="Q326" s="6">
        <v>0.15</v>
      </c>
      <c r="R326" s="8">
        <f t="shared" si="20"/>
        <v>0.15</v>
      </c>
      <c r="S326">
        <v>1655.7</v>
      </c>
      <c r="T326">
        <v>1354.8</v>
      </c>
      <c r="U326">
        <v>300.89999999999998</v>
      </c>
      <c r="V326" t="s">
        <v>32</v>
      </c>
      <c r="W326" t="s">
        <v>103</v>
      </c>
      <c r="X326" t="str">
        <f t="shared" si="23"/>
        <v/>
      </c>
      <c r="Y326" t="str">
        <f t="shared" si="21"/>
        <v>Exclude</v>
      </c>
    </row>
    <row r="327" spans="1:25">
      <c r="A327" t="s">
        <v>1087</v>
      </c>
      <c r="B327" s="3">
        <v>45916</v>
      </c>
      <c r="C327" s="3">
        <v>45922</v>
      </c>
      <c r="D327" s="6">
        <f t="shared" si="22"/>
        <v>6</v>
      </c>
      <c r="E327" t="s">
        <v>1088</v>
      </c>
      <c r="F327" t="s">
        <v>132</v>
      </c>
      <c r="G327" s="5" t="s">
        <v>95</v>
      </c>
      <c r="H327" t="s">
        <v>38</v>
      </c>
      <c r="I327" t="s">
        <v>99</v>
      </c>
      <c r="J327" t="s">
        <v>100</v>
      </c>
      <c r="K327" t="s">
        <v>74</v>
      </c>
      <c r="L327" t="s">
        <v>80</v>
      </c>
      <c r="M327" t="s">
        <v>1089</v>
      </c>
      <c r="N327" t="s">
        <v>31</v>
      </c>
      <c r="O327">
        <v>5</v>
      </c>
      <c r="P327">
        <v>3671.2</v>
      </c>
      <c r="Q327" s="6">
        <v>0.15</v>
      </c>
      <c r="R327" s="8">
        <f t="shared" si="20"/>
        <v>0.15</v>
      </c>
      <c r="S327">
        <v>15602.6</v>
      </c>
      <c r="T327">
        <v>11908.52</v>
      </c>
      <c r="U327">
        <v>3694.08</v>
      </c>
      <c r="V327" t="s">
        <v>32</v>
      </c>
      <c r="W327" t="s">
        <v>33</v>
      </c>
      <c r="X327" t="str">
        <f t="shared" si="23"/>
        <v/>
      </c>
      <c r="Y327" t="str">
        <f t="shared" si="21"/>
        <v>Exclude</v>
      </c>
    </row>
    <row r="328" spans="1:25">
      <c r="A328" t="s">
        <v>1090</v>
      </c>
      <c r="B328" s="3">
        <v>45860</v>
      </c>
      <c r="C328" s="3">
        <v>45860</v>
      </c>
      <c r="D328" s="6">
        <f t="shared" si="22"/>
        <v>0</v>
      </c>
      <c r="E328" t="s">
        <v>1091</v>
      </c>
      <c r="F328" t="s">
        <v>132</v>
      </c>
      <c r="G328" s="5" t="s">
        <v>90</v>
      </c>
      <c r="H328" t="s">
        <v>38</v>
      </c>
      <c r="I328" t="s">
        <v>229</v>
      </c>
      <c r="J328" t="s">
        <v>230</v>
      </c>
      <c r="K328" t="s">
        <v>41</v>
      </c>
      <c r="L328" t="s">
        <v>57</v>
      </c>
      <c r="M328" t="s">
        <v>1092</v>
      </c>
      <c r="N328" t="s">
        <v>44</v>
      </c>
      <c r="O328">
        <v>5</v>
      </c>
      <c r="P328">
        <v>3187.05</v>
      </c>
      <c r="Q328" s="6">
        <v>0.05</v>
      </c>
      <c r="R328" s="8">
        <f t="shared" si="20"/>
        <v>0.05</v>
      </c>
      <c r="S328">
        <v>15138.49</v>
      </c>
      <c r="T328">
        <v>11235.72</v>
      </c>
      <c r="U328">
        <v>3902.77</v>
      </c>
      <c r="V328" t="s">
        <v>32</v>
      </c>
      <c r="W328" t="s">
        <v>33</v>
      </c>
      <c r="X328" t="str">
        <f t="shared" si="23"/>
        <v/>
      </c>
      <c r="Y328" t="str">
        <f t="shared" si="21"/>
        <v>Exclude</v>
      </c>
    </row>
    <row r="329" spans="1:25">
      <c r="A329" t="s">
        <v>1093</v>
      </c>
      <c r="B329" s="3">
        <v>45497</v>
      </c>
      <c r="C329" s="3">
        <v>45500</v>
      </c>
      <c r="D329" s="6">
        <f t="shared" si="22"/>
        <v>3</v>
      </c>
      <c r="E329" t="s">
        <v>1094</v>
      </c>
      <c r="F329" t="s">
        <v>47</v>
      </c>
      <c r="G329" s="5" t="s">
        <v>24</v>
      </c>
      <c r="H329" t="s">
        <v>63</v>
      </c>
      <c r="I329" t="s">
        <v>26</v>
      </c>
      <c r="J329" t="s">
        <v>109</v>
      </c>
      <c r="K329" t="s">
        <v>74</v>
      </c>
      <c r="L329" t="s">
        <v>75</v>
      </c>
      <c r="M329" t="s">
        <v>1095</v>
      </c>
      <c r="N329" t="s">
        <v>31</v>
      </c>
      <c r="O329">
        <v>3</v>
      </c>
      <c r="P329">
        <v>1834.55</v>
      </c>
      <c r="Q329" s="6">
        <v>0.2</v>
      </c>
      <c r="R329" s="8">
        <f t="shared" si="20"/>
        <v>0.2</v>
      </c>
      <c r="S329">
        <v>4402.92</v>
      </c>
      <c r="T329">
        <v>2993.94</v>
      </c>
      <c r="U329">
        <v>1408.98</v>
      </c>
      <c r="V329" t="s">
        <v>111</v>
      </c>
      <c r="W329" t="s">
        <v>68</v>
      </c>
      <c r="X329" t="str">
        <f t="shared" si="23"/>
        <v>EXCLUDE: Cancelled order</v>
      </c>
      <c r="Y329" t="str">
        <f t="shared" si="21"/>
        <v>Exclude</v>
      </c>
    </row>
    <row r="330" spans="1:25">
      <c r="A330" t="s">
        <v>1096</v>
      </c>
      <c r="B330" s="3">
        <v>45806</v>
      </c>
      <c r="C330" s="3">
        <v>45753</v>
      </c>
      <c r="D330" s="6">
        <f t="shared" si="22"/>
        <v>-53</v>
      </c>
      <c r="E330" t="s">
        <v>1097</v>
      </c>
      <c r="F330" t="s">
        <v>162</v>
      </c>
      <c r="G330" s="5" t="s">
        <v>24</v>
      </c>
      <c r="H330" t="s">
        <v>63</v>
      </c>
      <c r="I330" t="s">
        <v>64</v>
      </c>
      <c r="J330" t="s">
        <v>65</v>
      </c>
      <c r="K330" t="s">
        <v>28</v>
      </c>
      <c r="L330" t="s">
        <v>124</v>
      </c>
      <c r="M330" t="s">
        <v>1098</v>
      </c>
      <c r="N330" t="s">
        <v>50</v>
      </c>
      <c r="O330">
        <v>6</v>
      </c>
      <c r="P330">
        <v>3100.68</v>
      </c>
      <c r="Q330" s="6">
        <v>0</v>
      </c>
      <c r="R330" s="8">
        <f t="shared" si="20"/>
        <v>0</v>
      </c>
      <c r="S330">
        <v>18604.080000000002</v>
      </c>
      <c r="T330">
        <v>15834.3</v>
      </c>
      <c r="U330">
        <v>2769.78</v>
      </c>
      <c r="V330" t="s">
        <v>32</v>
      </c>
      <c r="W330" t="s">
        <v>33</v>
      </c>
      <c r="X330" t="str">
        <f t="shared" si="23"/>
        <v>INVALID: Ship date before order date</v>
      </c>
      <c r="Y330" t="str">
        <f t="shared" si="21"/>
        <v>Exclude</v>
      </c>
    </row>
    <row r="331" spans="1:25">
      <c r="A331" t="s">
        <v>1099</v>
      </c>
      <c r="B331" s="3">
        <v>45789</v>
      </c>
      <c r="C331" s="3">
        <v>45795</v>
      </c>
      <c r="D331" s="6">
        <f t="shared" si="22"/>
        <v>6</v>
      </c>
      <c r="E331" t="s">
        <v>1100</v>
      </c>
      <c r="F331" t="s">
        <v>79</v>
      </c>
      <c r="G331" s="5" t="s">
        <v>37</v>
      </c>
      <c r="H331" t="s">
        <v>63</v>
      </c>
      <c r="I331" t="s">
        <v>64</v>
      </c>
      <c r="J331" t="s">
        <v>65</v>
      </c>
      <c r="K331" t="s">
        <v>28</v>
      </c>
      <c r="L331" t="s">
        <v>124</v>
      </c>
      <c r="M331" t="s">
        <v>1101</v>
      </c>
      <c r="N331" t="s">
        <v>59</v>
      </c>
      <c r="O331">
        <v>4</v>
      </c>
      <c r="P331">
        <v>4053.03</v>
      </c>
      <c r="Q331" s="6">
        <v>0.05</v>
      </c>
      <c r="R331" s="8">
        <f t="shared" si="20"/>
        <v>0.05</v>
      </c>
      <c r="S331">
        <v>15401.51</v>
      </c>
      <c r="T331">
        <v>8650.42</v>
      </c>
      <c r="U331">
        <v>6751.09</v>
      </c>
      <c r="V331" t="s">
        <v>32</v>
      </c>
      <c r="W331" t="s">
        <v>33</v>
      </c>
      <c r="X331" t="str">
        <f t="shared" si="23"/>
        <v/>
      </c>
      <c r="Y331" t="str">
        <f t="shared" si="21"/>
        <v>Exclude</v>
      </c>
    </row>
    <row r="332" spans="1:25">
      <c r="A332" t="s">
        <v>1102</v>
      </c>
      <c r="B332" s="3">
        <v>45428</v>
      </c>
      <c r="C332" s="3">
        <v>45436</v>
      </c>
      <c r="D332" s="6">
        <f t="shared" si="22"/>
        <v>8</v>
      </c>
      <c r="E332" t="s">
        <v>1103</v>
      </c>
      <c r="F332" t="s">
        <v>53</v>
      </c>
      <c r="G332" s="5" t="s">
        <v>95</v>
      </c>
      <c r="H332" t="s">
        <v>25</v>
      </c>
      <c r="I332" t="s">
        <v>122</v>
      </c>
      <c r="J332" t="s">
        <v>123</v>
      </c>
      <c r="K332" t="s">
        <v>74</v>
      </c>
      <c r="L332" t="s">
        <v>75</v>
      </c>
      <c r="M332" t="s">
        <v>1104</v>
      </c>
      <c r="N332" t="s">
        <v>44</v>
      </c>
      <c r="O332">
        <v>1</v>
      </c>
      <c r="P332">
        <v>783.09</v>
      </c>
      <c r="Q332" s="6">
        <v>0</v>
      </c>
      <c r="R332" s="8">
        <f t="shared" si="20"/>
        <v>0</v>
      </c>
      <c r="S332">
        <v>783.09</v>
      </c>
      <c r="T332">
        <v>503.89</v>
      </c>
      <c r="U332">
        <v>279.2</v>
      </c>
      <c r="V332" t="s">
        <v>155</v>
      </c>
      <c r="W332" t="s">
        <v>68</v>
      </c>
      <c r="X332" t="str">
        <f t="shared" si="23"/>
        <v>EXCLUDE: Cancelled order; EXCLUDE: Failed payment</v>
      </c>
      <c r="Y332" t="str">
        <f t="shared" si="21"/>
        <v>Exclude</v>
      </c>
    </row>
    <row r="333" spans="1:25">
      <c r="A333" t="s">
        <v>1105</v>
      </c>
      <c r="B333" s="3">
        <v>45630</v>
      </c>
      <c r="C333" s="3">
        <v>45455</v>
      </c>
      <c r="D333" s="6">
        <f t="shared" si="22"/>
        <v>-175</v>
      </c>
      <c r="E333" t="s">
        <v>1106</v>
      </c>
      <c r="F333" t="s">
        <v>132</v>
      </c>
      <c r="G333" s="5" t="s">
        <v>95</v>
      </c>
      <c r="H333" t="s">
        <v>38</v>
      </c>
      <c r="I333" t="s">
        <v>39</v>
      </c>
      <c r="J333" t="s">
        <v>40</v>
      </c>
      <c r="K333" t="s">
        <v>28</v>
      </c>
      <c r="L333" t="s">
        <v>153</v>
      </c>
      <c r="M333" t="s">
        <v>1107</v>
      </c>
      <c r="N333" t="s">
        <v>31</v>
      </c>
      <c r="O333">
        <v>4</v>
      </c>
      <c r="P333">
        <v>2685.66</v>
      </c>
      <c r="Q333" s="6">
        <v>0</v>
      </c>
      <c r="R333" s="8">
        <f t="shared" si="20"/>
        <v>0</v>
      </c>
      <c r="S333">
        <v>10742.64</v>
      </c>
      <c r="T333">
        <v>6477.37</v>
      </c>
      <c r="U333">
        <v>4265.2700000000004</v>
      </c>
      <c r="V333" t="s">
        <v>32</v>
      </c>
      <c r="W333" t="s">
        <v>103</v>
      </c>
      <c r="X333" t="str">
        <f t="shared" si="23"/>
        <v>INVALID: Ship date before order date</v>
      </c>
      <c r="Y333" t="str">
        <f t="shared" si="21"/>
        <v>Exclude</v>
      </c>
    </row>
    <row r="334" spans="1:25">
      <c r="A334" t="s">
        <v>1108</v>
      </c>
      <c r="B334" s="3">
        <v>45804</v>
      </c>
      <c r="C334" s="3">
        <v>45805</v>
      </c>
      <c r="D334" s="6">
        <f t="shared" si="22"/>
        <v>1</v>
      </c>
      <c r="E334" t="s">
        <v>1109</v>
      </c>
      <c r="F334" t="s">
        <v>128</v>
      </c>
      <c r="G334" s="5" t="s">
        <v>24</v>
      </c>
      <c r="H334" t="s">
        <v>54</v>
      </c>
      <c r="I334" t="s">
        <v>84</v>
      </c>
      <c r="J334" t="s">
        <v>85</v>
      </c>
      <c r="K334" t="s">
        <v>74</v>
      </c>
      <c r="L334" t="s">
        <v>1110</v>
      </c>
      <c r="M334" t="s">
        <v>1111</v>
      </c>
      <c r="N334" t="s">
        <v>31</v>
      </c>
      <c r="O334">
        <v>2</v>
      </c>
      <c r="P334">
        <v>3911.96</v>
      </c>
      <c r="Q334" s="6">
        <v>0</v>
      </c>
      <c r="R334" s="8">
        <f t="shared" si="20"/>
        <v>0</v>
      </c>
      <c r="S334">
        <v>7823.92</v>
      </c>
      <c r="T334">
        <v>6034.63</v>
      </c>
      <c r="U334">
        <v>1789.29</v>
      </c>
      <c r="V334" t="s">
        <v>32</v>
      </c>
      <c r="W334" t="s">
        <v>33</v>
      </c>
      <c r="X334" t="str">
        <f t="shared" si="23"/>
        <v/>
      </c>
      <c r="Y334" t="str">
        <f t="shared" si="21"/>
        <v>Exclude</v>
      </c>
    </row>
    <row r="335" spans="1:25">
      <c r="A335" t="s">
        <v>1112</v>
      </c>
      <c r="B335" s="3">
        <v>45830</v>
      </c>
      <c r="C335" s="3">
        <v>45835</v>
      </c>
      <c r="D335" s="6">
        <f t="shared" si="22"/>
        <v>5</v>
      </c>
      <c r="E335" t="s">
        <v>1113</v>
      </c>
      <c r="F335" t="s">
        <v>141</v>
      </c>
      <c r="G335" s="5" t="s">
        <v>95</v>
      </c>
      <c r="H335" t="s">
        <v>2806</v>
      </c>
      <c r="I335" t="s">
        <v>351</v>
      </c>
      <c r="J335" t="s">
        <v>352</v>
      </c>
      <c r="K335" t="s">
        <v>74</v>
      </c>
      <c r="L335" t="s">
        <v>171</v>
      </c>
      <c r="M335" t="s">
        <v>1114</v>
      </c>
      <c r="N335" t="s">
        <v>50</v>
      </c>
      <c r="O335">
        <v>2</v>
      </c>
      <c r="P335">
        <v>1468.05</v>
      </c>
      <c r="Q335" s="6">
        <v>0</v>
      </c>
      <c r="R335" s="8">
        <f t="shared" si="20"/>
        <v>0</v>
      </c>
      <c r="S335">
        <v>2936.1</v>
      </c>
      <c r="T335">
        <v>1923.1</v>
      </c>
      <c r="U335">
        <v>1013</v>
      </c>
      <c r="V335" t="s">
        <v>32</v>
      </c>
      <c r="W335" t="s">
        <v>33</v>
      </c>
      <c r="X335" t="str">
        <f t="shared" si="23"/>
        <v/>
      </c>
      <c r="Y335" t="str">
        <f t="shared" si="21"/>
        <v>Exclude</v>
      </c>
    </row>
    <row r="336" spans="1:25">
      <c r="A336" t="s">
        <v>1115</v>
      </c>
      <c r="B336" s="3">
        <v>45547</v>
      </c>
      <c r="C336" s="3">
        <v>45552</v>
      </c>
      <c r="D336" s="6">
        <f t="shared" si="22"/>
        <v>5</v>
      </c>
      <c r="E336" t="s">
        <v>1116</v>
      </c>
      <c r="F336" t="s">
        <v>62</v>
      </c>
      <c r="G336" s="5" t="s">
        <v>24</v>
      </c>
      <c r="H336" t="s">
        <v>38</v>
      </c>
      <c r="I336" t="s">
        <v>229</v>
      </c>
      <c r="J336" t="s">
        <v>230</v>
      </c>
      <c r="K336" t="s">
        <v>28</v>
      </c>
      <c r="L336" t="s">
        <v>124</v>
      </c>
      <c r="M336" t="s">
        <v>1117</v>
      </c>
      <c r="N336" t="s">
        <v>50</v>
      </c>
      <c r="O336">
        <v>9</v>
      </c>
      <c r="P336">
        <v>1921.47</v>
      </c>
      <c r="Q336" s="6">
        <v>0.25</v>
      </c>
      <c r="R336" s="8">
        <f t="shared" si="20"/>
        <v>0.25</v>
      </c>
      <c r="S336">
        <v>12969.92</v>
      </c>
      <c r="T336">
        <v>9398.4599999999991</v>
      </c>
      <c r="U336">
        <v>3571.46</v>
      </c>
      <c r="V336" t="s">
        <v>32</v>
      </c>
      <c r="W336" t="s">
        <v>33</v>
      </c>
      <c r="X336" t="str">
        <f t="shared" si="23"/>
        <v/>
      </c>
      <c r="Y336" t="str">
        <f t="shared" si="21"/>
        <v>Exclude</v>
      </c>
    </row>
    <row r="337" spans="1:25">
      <c r="A337" t="s">
        <v>1118</v>
      </c>
      <c r="B337" s="3">
        <v>45824</v>
      </c>
      <c r="C337" s="3">
        <v>45826</v>
      </c>
      <c r="D337" s="6">
        <f t="shared" si="22"/>
        <v>2</v>
      </c>
      <c r="E337" t="s">
        <v>1119</v>
      </c>
      <c r="F337" t="s">
        <v>118</v>
      </c>
      <c r="G337" s="5" t="s">
        <v>95</v>
      </c>
      <c r="H337" t="s">
        <v>63</v>
      </c>
      <c r="I337" t="s">
        <v>72</v>
      </c>
      <c r="J337" t="s">
        <v>73</v>
      </c>
      <c r="K337" t="s">
        <v>28</v>
      </c>
      <c r="L337" t="s">
        <v>29</v>
      </c>
      <c r="M337" t="s">
        <v>1120</v>
      </c>
      <c r="N337" t="s">
        <v>50</v>
      </c>
      <c r="O337">
        <v>3</v>
      </c>
      <c r="P337">
        <v>4289.37</v>
      </c>
      <c r="Q337" s="6">
        <v>0.1</v>
      </c>
      <c r="R337" s="8">
        <f t="shared" si="20"/>
        <v>0.1</v>
      </c>
      <c r="S337">
        <v>11581.3</v>
      </c>
      <c r="T337">
        <v>6829.43</v>
      </c>
      <c r="U337">
        <v>4751.87</v>
      </c>
      <c r="V337" t="s">
        <v>32</v>
      </c>
      <c r="W337" t="s">
        <v>33</v>
      </c>
      <c r="X337" t="str">
        <f t="shared" si="23"/>
        <v/>
      </c>
      <c r="Y337" t="str">
        <f t="shared" si="21"/>
        <v>Exclude</v>
      </c>
    </row>
    <row r="338" spans="1:25">
      <c r="A338" t="s">
        <v>1121</v>
      </c>
      <c r="B338" s="3">
        <v>45368</v>
      </c>
      <c r="C338" s="3">
        <v>45372</v>
      </c>
      <c r="D338" s="6">
        <f t="shared" si="22"/>
        <v>4</v>
      </c>
      <c r="E338" t="s">
        <v>871</v>
      </c>
      <c r="F338" t="s">
        <v>128</v>
      </c>
      <c r="G338" s="5" t="s">
        <v>24</v>
      </c>
      <c r="H338" t="s">
        <v>25</v>
      </c>
      <c r="I338" t="s">
        <v>26</v>
      </c>
      <c r="J338" t="s">
        <v>27</v>
      </c>
      <c r="K338" t="s">
        <v>74</v>
      </c>
      <c r="L338" t="s">
        <v>80</v>
      </c>
      <c r="M338" t="s">
        <v>1122</v>
      </c>
      <c r="N338" t="s">
        <v>50</v>
      </c>
      <c r="O338">
        <v>8</v>
      </c>
      <c r="P338">
        <v>1992.57</v>
      </c>
      <c r="Q338" s="6">
        <v>0</v>
      </c>
      <c r="R338" s="8">
        <f t="shared" si="20"/>
        <v>0</v>
      </c>
      <c r="S338">
        <v>15940.56</v>
      </c>
      <c r="T338">
        <v>12347.15</v>
      </c>
      <c r="U338">
        <v>3593.41</v>
      </c>
      <c r="V338" t="s">
        <v>32</v>
      </c>
      <c r="W338" t="s">
        <v>33</v>
      </c>
      <c r="X338" t="str">
        <f t="shared" si="23"/>
        <v/>
      </c>
      <c r="Y338" t="str">
        <f t="shared" si="21"/>
        <v>Exclude</v>
      </c>
    </row>
    <row r="339" spans="1:25">
      <c r="A339" t="s">
        <v>1123</v>
      </c>
      <c r="B339" s="3">
        <v>45516</v>
      </c>
      <c r="C339" s="3">
        <v>45522</v>
      </c>
      <c r="D339" s="6">
        <f t="shared" si="22"/>
        <v>6</v>
      </c>
      <c r="E339" t="s">
        <v>1124</v>
      </c>
      <c r="F339" t="s">
        <v>62</v>
      </c>
      <c r="G339" s="5" t="s">
        <v>24</v>
      </c>
      <c r="H339" t="s">
        <v>38</v>
      </c>
      <c r="I339" t="s">
        <v>166</v>
      </c>
      <c r="J339" t="s">
        <v>167</v>
      </c>
      <c r="K339" t="s">
        <v>28</v>
      </c>
      <c r="L339" t="s">
        <v>91</v>
      </c>
      <c r="M339" t="s">
        <v>1125</v>
      </c>
      <c r="N339" t="s">
        <v>44</v>
      </c>
      <c r="O339">
        <v>6</v>
      </c>
      <c r="P339">
        <v>1181.74</v>
      </c>
      <c r="Q339" s="6">
        <v>0</v>
      </c>
      <c r="R339" s="8">
        <f t="shared" si="20"/>
        <v>0</v>
      </c>
      <c r="S339">
        <v>7090.44</v>
      </c>
      <c r="T339">
        <v>5672.27</v>
      </c>
      <c r="U339">
        <v>1262.8699999999999</v>
      </c>
      <c r="V339" t="s">
        <v>32</v>
      </c>
      <c r="W339" t="s">
        <v>33</v>
      </c>
      <c r="X339" t="str">
        <f t="shared" si="23"/>
        <v/>
      </c>
      <c r="Y339" t="str">
        <f t="shared" si="21"/>
        <v>Exclude</v>
      </c>
    </row>
    <row r="340" spans="1:25">
      <c r="A340" t="s">
        <v>1126</v>
      </c>
      <c r="B340" s="3">
        <v>45634</v>
      </c>
      <c r="C340" s="3">
        <v>45516</v>
      </c>
      <c r="D340" s="6">
        <f t="shared" si="22"/>
        <v>-118</v>
      </c>
      <c r="E340" t="s">
        <v>1127</v>
      </c>
      <c r="F340" t="s">
        <v>53</v>
      </c>
      <c r="G340" s="5" t="s">
        <v>37</v>
      </c>
      <c r="H340" t="s">
        <v>54</v>
      </c>
      <c r="I340" t="s">
        <v>84</v>
      </c>
      <c r="J340" t="s">
        <v>85</v>
      </c>
      <c r="K340" t="s">
        <v>74</v>
      </c>
      <c r="L340" t="s">
        <v>75</v>
      </c>
      <c r="M340" t="s">
        <v>1128</v>
      </c>
      <c r="N340" t="s">
        <v>50</v>
      </c>
      <c r="O340">
        <v>8</v>
      </c>
      <c r="P340">
        <v>4402.3599999999997</v>
      </c>
      <c r="Q340" s="6">
        <v>0.25</v>
      </c>
      <c r="R340" s="8">
        <f t="shared" si="20"/>
        <v>0.25</v>
      </c>
      <c r="S340">
        <v>26414.16</v>
      </c>
      <c r="T340">
        <v>21822.53</v>
      </c>
      <c r="U340">
        <v>4591.63</v>
      </c>
      <c r="V340" t="s">
        <v>32</v>
      </c>
      <c r="W340" t="s">
        <v>33</v>
      </c>
      <c r="X340" t="str">
        <f t="shared" si="23"/>
        <v>INVALID: Ship date before order date</v>
      </c>
      <c r="Y340" t="str">
        <f t="shared" si="21"/>
        <v>Exclude</v>
      </c>
    </row>
    <row r="341" spans="1:25">
      <c r="A341" t="s">
        <v>1129</v>
      </c>
      <c r="B341" s="3">
        <v>45708</v>
      </c>
      <c r="C341" s="3">
        <v>45710</v>
      </c>
      <c r="D341" s="6">
        <f t="shared" si="22"/>
        <v>2</v>
      </c>
      <c r="E341" t="s">
        <v>1130</v>
      </c>
      <c r="F341" t="s">
        <v>79</v>
      </c>
      <c r="G341" s="5" t="s">
        <v>90</v>
      </c>
      <c r="H341" t="s">
        <v>38</v>
      </c>
      <c r="I341" t="s">
        <v>229</v>
      </c>
      <c r="J341" t="s">
        <v>230</v>
      </c>
      <c r="K341" t="s">
        <v>41</v>
      </c>
      <c r="L341" t="s">
        <v>158</v>
      </c>
      <c r="M341" t="s">
        <v>1131</v>
      </c>
      <c r="N341" t="s">
        <v>59</v>
      </c>
      <c r="O341">
        <v>8</v>
      </c>
      <c r="P341">
        <v>3265.76</v>
      </c>
      <c r="Q341" s="6">
        <v>0.2</v>
      </c>
      <c r="R341" s="8">
        <f t="shared" si="20"/>
        <v>0.2</v>
      </c>
      <c r="S341">
        <v>20900.86</v>
      </c>
      <c r="T341">
        <v>12513.14</v>
      </c>
      <c r="U341">
        <v>8387.7199999999993</v>
      </c>
      <c r="V341" t="s">
        <v>32</v>
      </c>
      <c r="W341" t="s">
        <v>33</v>
      </c>
      <c r="X341" t="str">
        <f t="shared" si="23"/>
        <v/>
      </c>
      <c r="Y341" t="str">
        <f t="shared" si="21"/>
        <v>Exclude</v>
      </c>
    </row>
    <row r="342" spans="1:25">
      <c r="A342" t="s">
        <v>1132</v>
      </c>
      <c r="B342" s="3">
        <v>45312</v>
      </c>
      <c r="C342" s="3">
        <v>45320</v>
      </c>
      <c r="D342" s="6">
        <f t="shared" si="22"/>
        <v>8</v>
      </c>
      <c r="E342" t="s">
        <v>1133</v>
      </c>
      <c r="F342" t="s">
        <v>79</v>
      </c>
      <c r="G342" s="5" t="s">
        <v>24</v>
      </c>
      <c r="H342" t="s">
        <v>54</v>
      </c>
      <c r="I342" t="s">
        <v>175</v>
      </c>
      <c r="J342" t="s">
        <v>176</v>
      </c>
      <c r="K342" t="s">
        <v>28</v>
      </c>
      <c r="L342" t="s">
        <v>153</v>
      </c>
      <c r="M342" t="s">
        <v>1134</v>
      </c>
      <c r="N342" t="s">
        <v>59</v>
      </c>
      <c r="O342">
        <v>5</v>
      </c>
      <c r="P342">
        <v>4058.08</v>
      </c>
      <c r="Q342" s="6">
        <v>0.1</v>
      </c>
      <c r="R342" s="8">
        <f t="shared" si="20"/>
        <v>0.1</v>
      </c>
      <c r="S342">
        <v>18261.36</v>
      </c>
      <c r="T342">
        <v>11399.94</v>
      </c>
      <c r="U342">
        <v>6861.42</v>
      </c>
      <c r="V342" t="s">
        <v>32</v>
      </c>
      <c r="W342" t="s">
        <v>33</v>
      </c>
      <c r="X342" t="str">
        <f t="shared" si="23"/>
        <v/>
      </c>
      <c r="Y342" t="str">
        <f t="shared" si="21"/>
        <v>Exclude</v>
      </c>
    </row>
    <row r="343" spans="1:25">
      <c r="A343" t="s">
        <v>1135</v>
      </c>
      <c r="B343" s="3">
        <v>45908</v>
      </c>
      <c r="C343" s="3">
        <v>45909</v>
      </c>
      <c r="D343" s="6">
        <f t="shared" si="22"/>
        <v>1</v>
      </c>
      <c r="E343" t="s">
        <v>1136</v>
      </c>
      <c r="F343" t="s">
        <v>141</v>
      </c>
      <c r="G343" s="5" t="s">
        <v>95</v>
      </c>
      <c r="H343" t="s">
        <v>63</v>
      </c>
      <c r="I343" t="s">
        <v>180</v>
      </c>
      <c r="J343" t="s">
        <v>181</v>
      </c>
      <c r="K343" t="s">
        <v>41</v>
      </c>
      <c r="L343" t="s">
        <v>66</v>
      </c>
      <c r="M343" t="s">
        <v>1137</v>
      </c>
      <c r="N343" t="s">
        <v>31</v>
      </c>
      <c r="O343">
        <v>2</v>
      </c>
      <c r="P343">
        <v>3960.33</v>
      </c>
      <c r="Q343" s="6">
        <v>0.05</v>
      </c>
      <c r="R343" s="8">
        <f t="shared" si="20"/>
        <v>0.05</v>
      </c>
      <c r="S343">
        <v>7524.63</v>
      </c>
      <c r="T343">
        <v>6229.6</v>
      </c>
      <c r="U343">
        <v>1295.03</v>
      </c>
      <c r="V343" t="s">
        <v>32</v>
      </c>
      <c r="W343" t="s">
        <v>33</v>
      </c>
      <c r="X343" t="str">
        <f t="shared" si="23"/>
        <v/>
      </c>
      <c r="Y343" t="str">
        <f t="shared" si="21"/>
        <v>Exclude</v>
      </c>
    </row>
    <row r="344" spans="1:25">
      <c r="A344" t="s">
        <v>1138</v>
      </c>
      <c r="B344" s="3">
        <v>45862</v>
      </c>
      <c r="C344" s="3">
        <v>45870</v>
      </c>
      <c r="D344" s="6">
        <f t="shared" si="22"/>
        <v>8</v>
      </c>
      <c r="E344" t="s">
        <v>1139</v>
      </c>
      <c r="F344" t="s">
        <v>265</v>
      </c>
      <c r="G344" s="5" t="s">
        <v>37</v>
      </c>
      <c r="H344" t="s">
        <v>38</v>
      </c>
      <c r="I344" t="s">
        <v>229</v>
      </c>
      <c r="J344" t="s">
        <v>230</v>
      </c>
      <c r="K344" t="s">
        <v>28</v>
      </c>
      <c r="L344" t="s">
        <v>153</v>
      </c>
      <c r="M344" t="s">
        <v>1140</v>
      </c>
      <c r="N344" t="s">
        <v>50</v>
      </c>
      <c r="O344">
        <v>8</v>
      </c>
      <c r="P344">
        <v>1528.92</v>
      </c>
      <c r="Q344" s="6">
        <v>0</v>
      </c>
      <c r="R344" s="8">
        <f t="shared" si="20"/>
        <v>0</v>
      </c>
      <c r="S344">
        <v>12231.36</v>
      </c>
      <c r="T344">
        <v>8766.9</v>
      </c>
      <c r="U344">
        <v>3464.46</v>
      </c>
      <c r="V344" t="s">
        <v>32</v>
      </c>
      <c r="W344" t="s">
        <v>33</v>
      </c>
      <c r="X344" t="str">
        <f t="shared" si="23"/>
        <v/>
      </c>
      <c r="Y344" t="str">
        <f t="shared" si="21"/>
        <v>Exclude</v>
      </c>
    </row>
    <row r="345" spans="1:25">
      <c r="A345" t="s">
        <v>1141</v>
      </c>
      <c r="B345" s="3">
        <v>45726</v>
      </c>
      <c r="C345" s="3">
        <v>45879</v>
      </c>
      <c r="D345" s="6">
        <f t="shared" si="22"/>
        <v>153</v>
      </c>
      <c r="E345" t="s">
        <v>1142</v>
      </c>
      <c r="F345" t="s">
        <v>128</v>
      </c>
      <c r="G345" s="5" t="s">
        <v>90</v>
      </c>
      <c r="H345" t="s">
        <v>63</v>
      </c>
      <c r="I345" t="s">
        <v>72</v>
      </c>
      <c r="J345" t="s">
        <v>73</v>
      </c>
      <c r="K345" t="s">
        <v>74</v>
      </c>
      <c r="L345" t="s">
        <v>275</v>
      </c>
      <c r="M345" t="s">
        <v>1143</v>
      </c>
      <c r="N345" t="s">
        <v>44</v>
      </c>
      <c r="O345">
        <v>9</v>
      </c>
      <c r="P345">
        <v>3837</v>
      </c>
      <c r="Q345" s="6">
        <v>0.1</v>
      </c>
      <c r="R345" s="8">
        <f t="shared" si="20"/>
        <v>0.1</v>
      </c>
      <c r="S345">
        <v>31079.7</v>
      </c>
      <c r="T345">
        <v>17758.25</v>
      </c>
      <c r="U345">
        <v>13321.45</v>
      </c>
      <c r="V345" t="s">
        <v>32</v>
      </c>
      <c r="W345" t="s">
        <v>33</v>
      </c>
      <c r="X345" t="str">
        <f t="shared" si="23"/>
        <v/>
      </c>
      <c r="Y345" t="str">
        <f t="shared" si="21"/>
        <v>Exclude</v>
      </c>
    </row>
    <row r="346" spans="1:25">
      <c r="A346" t="s">
        <v>1144</v>
      </c>
      <c r="B346" s="3">
        <v>45362</v>
      </c>
      <c r="C346" s="3">
        <v>45362</v>
      </c>
      <c r="D346" s="6">
        <f t="shared" si="22"/>
        <v>0</v>
      </c>
      <c r="E346" t="s">
        <v>1145</v>
      </c>
      <c r="F346" t="s">
        <v>114</v>
      </c>
      <c r="G346" s="5" t="s">
        <v>24</v>
      </c>
      <c r="H346" t="s">
        <v>25</v>
      </c>
      <c r="I346" t="s">
        <v>122</v>
      </c>
      <c r="J346" t="s">
        <v>123</v>
      </c>
      <c r="K346" t="s">
        <v>41</v>
      </c>
      <c r="L346" t="s">
        <v>158</v>
      </c>
      <c r="M346" t="s">
        <v>1146</v>
      </c>
      <c r="N346" t="s">
        <v>44</v>
      </c>
      <c r="O346">
        <v>9</v>
      </c>
      <c r="P346">
        <v>3456.38</v>
      </c>
      <c r="Q346" s="6">
        <v>0</v>
      </c>
      <c r="R346" s="8">
        <f t="shared" si="20"/>
        <v>0</v>
      </c>
      <c r="S346">
        <v>31107.42</v>
      </c>
      <c r="T346">
        <v>20146.66</v>
      </c>
      <c r="U346">
        <v>10960.76</v>
      </c>
      <c r="V346" t="s">
        <v>111</v>
      </c>
      <c r="W346" t="s">
        <v>103</v>
      </c>
      <c r="X346" t="str">
        <f t="shared" si="23"/>
        <v/>
      </c>
      <c r="Y346" t="str">
        <f t="shared" si="21"/>
        <v>Exclude</v>
      </c>
    </row>
    <row r="347" spans="1:25">
      <c r="A347" t="s">
        <v>1147</v>
      </c>
      <c r="B347" s="3">
        <v>45549</v>
      </c>
      <c r="C347" s="3">
        <v>45557</v>
      </c>
      <c r="D347" s="6">
        <f t="shared" si="22"/>
        <v>8</v>
      </c>
      <c r="E347" t="s">
        <v>1148</v>
      </c>
      <c r="F347" t="s">
        <v>23</v>
      </c>
      <c r="G347" s="5" t="s">
        <v>24</v>
      </c>
      <c r="H347" t="s">
        <v>63</v>
      </c>
      <c r="I347" t="s">
        <v>72</v>
      </c>
      <c r="J347" t="s">
        <v>73</v>
      </c>
      <c r="K347" t="s">
        <v>41</v>
      </c>
      <c r="L347" t="s">
        <v>57</v>
      </c>
      <c r="M347" t="s">
        <v>1149</v>
      </c>
      <c r="N347" t="s">
        <v>31</v>
      </c>
      <c r="O347">
        <v>2</v>
      </c>
      <c r="P347">
        <v>2765.3</v>
      </c>
      <c r="Q347" s="6">
        <v>0</v>
      </c>
      <c r="R347" s="8">
        <f t="shared" si="20"/>
        <v>0</v>
      </c>
      <c r="S347">
        <v>5530.6</v>
      </c>
      <c r="T347">
        <v>4453.1099999999997</v>
      </c>
      <c r="U347">
        <v>1077.49</v>
      </c>
      <c r="V347" t="s">
        <v>32</v>
      </c>
      <c r="W347" t="s">
        <v>33</v>
      </c>
      <c r="X347" t="str">
        <f t="shared" si="23"/>
        <v/>
      </c>
      <c r="Y347" t="str">
        <f t="shared" si="21"/>
        <v>Exclude</v>
      </c>
    </row>
    <row r="348" spans="1:25">
      <c r="A348" t="s">
        <v>1150</v>
      </c>
      <c r="B348" s="3">
        <v>45860</v>
      </c>
      <c r="C348" s="3">
        <v>45866</v>
      </c>
      <c r="D348" s="6">
        <f t="shared" si="22"/>
        <v>6</v>
      </c>
      <c r="E348" t="s">
        <v>1151</v>
      </c>
      <c r="F348" t="s">
        <v>118</v>
      </c>
      <c r="G348" s="5" t="s">
        <v>90</v>
      </c>
      <c r="H348" t="s">
        <v>54</v>
      </c>
      <c r="I348" t="s">
        <v>185</v>
      </c>
      <c r="J348" t="s">
        <v>186</v>
      </c>
      <c r="K348" t="s">
        <v>41</v>
      </c>
      <c r="L348" t="s">
        <v>66</v>
      </c>
      <c r="M348" t="s">
        <v>1152</v>
      </c>
      <c r="N348" t="s">
        <v>31</v>
      </c>
      <c r="O348">
        <v>6</v>
      </c>
      <c r="P348">
        <v>1607.46</v>
      </c>
      <c r="Q348" s="6">
        <v>0.2</v>
      </c>
      <c r="R348" s="8">
        <f t="shared" si="20"/>
        <v>0.2</v>
      </c>
      <c r="S348">
        <v>7715.81</v>
      </c>
      <c r="T348">
        <v>4258.42</v>
      </c>
      <c r="U348">
        <v>3457.39</v>
      </c>
      <c r="V348" t="s">
        <v>32</v>
      </c>
      <c r="W348" t="s">
        <v>33</v>
      </c>
      <c r="X348" t="str">
        <f t="shared" si="23"/>
        <v/>
      </c>
      <c r="Y348" t="str">
        <f t="shared" si="21"/>
        <v>Exclude</v>
      </c>
    </row>
    <row r="349" spans="1:25">
      <c r="A349" t="s">
        <v>1153</v>
      </c>
      <c r="B349" s="3">
        <v>45627</v>
      </c>
      <c r="C349" s="3">
        <v>45516</v>
      </c>
      <c r="D349" s="6">
        <f t="shared" si="22"/>
        <v>-111</v>
      </c>
      <c r="E349" t="s">
        <v>1154</v>
      </c>
      <c r="F349" t="s">
        <v>128</v>
      </c>
      <c r="G349" s="5" t="s">
        <v>37</v>
      </c>
      <c r="H349" t="s">
        <v>63</v>
      </c>
      <c r="I349" t="s">
        <v>190</v>
      </c>
      <c r="J349" t="s">
        <v>191</v>
      </c>
      <c r="K349" t="s">
        <v>41</v>
      </c>
      <c r="L349" t="s">
        <v>66</v>
      </c>
      <c r="M349" t="s">
        <v>1155</v>
      </c>
      <c r="N349" t="s">
        <v>31</v>
      </c>
      <c r="O349">
        <v>5</v>
      </c>
      <c r="P349">
        <v>2981.49</v>
      </c>
      <c r="Q349" s="6">
        <v>0.2</v>
      </c>
      <c r="R349" s="8">
        <f t="shared" si="20"/>
        <v>0.2</v>
      </c>
      <c r="S349">
        <v>11925.96</v>
      </c>
      <c r="T349">
        <v>10103.51</v>
      </c>
      <c r="U349">
        <v>1822.45</v>
      </c>
      <c r="V349" t="s">
        <v>102</v>
      </c>
      <c r="W349" t="s">
        <v>103</v>
      </c>
      <c r="X349" t="str">
        <f t="shared" si="23"/>
        <v>INVALID: Ship date before order date; REFUND: Summarize separately</v>
      </c>
      <c r="Y349" t="str">
        <f t="shared" si="21"/>
        <v>Exclude</v>
      </c>
    </row>
    <row r="350" spans="1:25">
      <c r="A350" t="s">
        <v>1156</v>
      </c>
      <c r="B350" s="3">
        <v>45328</v>
      </c>
      <c r="C350" s="3">
        <v>45479</v>
      </c>
      <c r="D350" s="6">
        <f t="shared" si="22"/>
        <v>151</v>
      </c>
      <c r="E350" t="s">
        <v>1157</v>
      </c>
      <c r="F350" t="s">
        <v>128</v>
      </c>
      <c r="G350" s="5" t="s">
        <v>90</v>
      </c>
      <c r="H350" t="s">
        <v>54</v>
      </c>
      <c r="I350" t="s">
        <v>175</v>
      </c>
      <c r="J350" t="s">
        <v>176</v>
      </c>
      <c r="K350" t="s">
        <v>74</v>
      </c>
      <c r="L350" t="s">
        <v>171</v>
      </c>
      <c r="M350" t="s">
        <v>1158</v>
      </c>
      <c r="N350" t="s">
        <v>44</v>
      </c>
      <c r="O350">
        <v>9</v>
      </c>
      <c r="P350">
        <v>2860.26</v>
      </c>
      <c r="Q350" s="6">
        <v>0.25</v>
      </c>
      <c r="R350" s="8">
        <f t="shared" si="20"/>
        <v>0.25</v>
      </c>
      <c r="S350">
        <v>19306.759999999998</v>
      </c>
      <c r="T350">
        <v>14442.38</v>
      </c>
      <c r="U350">
        <v>4864.38</v>
      </c>
      <c r="V350" t="s">
        <v>32</v>
      </c>
      <c r="W350" t="s">
        <v>33</v>
      </c>
      <c r="X350" t="str">
        <f t="shared" si="23"/>
        <v/>
      </c>
      <c r="Y350" t="str">
        <f t="shared" si="21"/>
        <v>Exclude</v>
      </c>
    </row>
    <row r="351" spans="1:25">
      <c r="A351" t="s">
        <v>1159</v>
      </c>
      <c r="B351" s="3">
        <v>45927</v>
      </c>
      <c r="C351" s="3">
        <v>45929</v>
      </c>
      <c r="D351" s="6">
        <f t="shared" si="22"/>
        <v>2</v>
      </c>
      <c r="E351" t="s">
        <v>1160</v>
      </c>
      <c r="F351" t="s">
        <v>265</v>
      </c>
      <c r="G351" s="5" t="s">
        <v>95</v>
      </c>
      <c r="H351" t="s">
        <v>38</v>
      </c>
      <c r="I351" t="s">
        <v>229</v>
      </c>
      <c r="J351" t="s">
        <v>230</v>
      </c>
      <c r="K351" t="s">
        <v>41</v>
      </c>
      <c r="L351" t="s">
        <v>57</v>
      </c>
      <c r="M351" t="s">
        <v>1161</v>
      </c>
      <c r="N351" t="s">
        <v>31</v>
      </c>
      <c r="O351">
        <v>9</v>
      </c>
      <c r="P351">
        <v>2867.55</v>
      </c>
      <c r="Q351" s="6">
        <v>0.25</v>
      </c>
      <c r="R351" s="8">
        <f t="shared" si="20"/>
        <v>0.25</v>
      </c>
      <c r="S351">
        <v>19355.96</v>
      </c>
      <c r="T351">
        <v>15012.45</v>
      </c>
      <c r="U351">
        <v>4017.4</v>
      </c>
      <c r="V351" t="s">
        <v>32</v>
      </c>
      <c r="W351" t="s">
        <v>33</v>
      </c>
      <c r="X351" t="str">
        <f t="shared" si="23"/>
        <v/>
      </c>
      <c r="Y351" t="str">
        <f t="shared" si="21"/>
        <v>Exclude</v>
      </c>
    </row>
    <row r="352" spans="1:25">
      <c r="A352" t="s">
        <v>1162</v>
      </c>
      <c r="B352" s="3">
        <v>45298</v>
      </c>
      <c r="C352" s="3">
        <v>45305</v>
      </c>
      <c r="D352" s="6">
        <f t="shared" si="22"/>
        <v>7</v>
      </c>
      <c r="E352" t="s">
        <v>1163</v>
      </c>
      <c r="F352" t="s">
        <v>132</v>
      </c>
      <c r="G352" s="5" t="s">
        <v>37</v>
      </c>
      <c r="H352" t="s">
        <v>38</v>
      </c>
      <c r="I352" t="s">
        <v>229</v>
      </c>
      <c r="J352" t="s">
        <v>230</v>
      </c>
      <c r="K352" t="s">
        <v>41</v>
      </c>
      <c r="L352" t="s">
        <v>57</v>
      </c>
      <c r="M352" t="s">
        <v>1164</v>
      </c>
      <c r="N352" t="s">
        <v>31</v>
      </c>
      <c r="O352">
        <v>4</v>
      </c>
      <c r="P352">
        <v>3309.54</v>
      </c>
      <c r="Q352" s="6">
        <v>0.1</v>
      </c>
      <c r="R352" s="8">
        <f t="shared" si="20"/>
        <v>0.1</v>
      </c>
      <c r="S352">
        <v>11914.34</v>
      </c>
      <c r="T352">
        <v>9771.24</v>
      </c>
      <c r="U352">
        <v>2143.1</v>
      </c>
      <c r="V352" t="s">
        <v>102</v>
      </c>
      <c r="W352" t="s">
        <v>103</v>
      </c>
      <c r="X352" t="str">
        <f t="shared" si="23"/>
        <v>REFUND: Summarize separately</v>
      </c>
      <c r="Y352" t="str">
        <f t="shared" si="21"/>
        <v>Exclude</v>
      </c>
    </row>
    <row r="353" spans="1:25">
      <c r="A353" t="s">
        <v>1165</v>
      </c>
      <c r="B353" s="3">
        <v>45800</v>
      </c>
      <c r="C353" s="3">
        <v>45804</v>
      </c>
      <c r="D353" s="6">
        <f t="shared" si="22"/>
        <v>4</v>
      </c>
      <c r="E353" t="s">
        <v>1166</v>
      </c>
      <c r="F353" t="s">
        <v>71</v>
      </c>
      <c r="G353" s="5" t="s">
        <v>37</v>
      </c>
      <c r="H353" t="s">
        <v>54</v>
      </c>
      <c r="I353" t="s">
        <v>55</v>
      </c>
      <c r="J353" t="s">
        <v>56</v>
      </c>
      <c r="K353" t="s">
        <v>28</v>
      </c>
      <c r="L353" t="s">
        <v>124</v>
      </c>
      <c r="M353" t="s">
        <v>1167</v>
      </c>
      <c r="N353" t="s">
        <v>50</v>
      </c>
      <c r="O353">
        <v>6</v>
      </c>
      <c r="P353">
        <v>719.44</v>
      </c>
      <c r="Q353" s="6">
        <v>0.25</v>
      </c>
      <c r="R353" s="8">
        <f t="shared" si="20"/>
        <v>0.25</v>
      </c>
      <c r="S353">
        <v>3237.48</v>
      </c>
      <c r="T353">
        <v>2118.34</v>
      </c>
      <c r="U353">
        <v>1119.1400000000001</v>
      </c>
      <c r="V353" t="s">
        <v>111</v>
      </c>
      <c r="W353" t="s">
        <v>68</v>
      </c>
      <c r="X353" t="str">
        <f t="shared" si="23"/>
        <v>EXCLUDE: Cancelled order</v>
      </c>
      <c r="Y353" t="str">
        <f t="shared" si="21"/>
        <v>Exclude</v>
      </c>
    </row>
    <row r="354" spans="1:25">
      <c r="A354" t="s">
        <v>1168</v>
      </c>
      <c r="B354" s="3">
        <v>45884</v>
      </c>
      <c r="C354" s="3">
        <v>45886</v>
      </c>
      <c r="D354" s="6">
        <f t="shared" si="22"/>
        <v>2</v>
      </c>
      <c r="E354" t="s">
        <v>1169</v>
      </c>
      <c r="F354" t="s">
        <v>162</v>
      </c>
      <c r="G354" s="5" t="s">
        <v>37</v>
      </c>
      <c r="H354" t="s">
        <v>38</v>
      </c>
      <c r="I354" t="s">
        <v>166</v>
      </c>
      <c r="J354" t="s">
        <v>167</v>
      </c>
      <c r="K354" t="s">
        <v>74</v>
      </c>
      <c r="L354" t="s">
        <v>80</v>
      </c>
      <c r="M354" t="s">
        <v>1170</v>
      </c>
      <c r="N354" t="s">
        <v>50</v>
      </c>
      <c r="O354">
        <v>5</v>
      </c>
      <c r="P354">
        <v>2862.6</v>
      </c>
      <c r="Q354" s="6">
        <v>0.25</v>
      </c>
      <c r="R354" s="8">
        <f t="shared" si="20"/>
        <v>0.25</v>
      </c>
      <c r="S354">
        <v>10734.75</v>
      </c>
      <c r="T354">
        <v>6475.73</v>
      </c>
      <c r="U354">
        <v>4259.0200000000004</v>
      </c>
      <c r="V354" t="s">
        <v>32</v>
      </c>
      <c r="W354" t="s">
        <v>33</v>
      </c>
      <c r="X354" t="str">
        <f t="shared" si="23"/>
        <v/>
      </c>
      <c r="Y354" t="str">
        <f t="shared" si="21"/>
        <v>Exclude</v>
      </c>
    </row>
    <row r="355" spans="1:25">
      <c r="A355" t="s">
        <v>1171</v>
      </c>
      <c r="B355" s="3">
        <v>45709</v>
      </c>
      <c r="C355" s="3">
        <v>45715</v>
      </c>
      <c r="D355" s="6">
        <f t="shared" si="22"/>
        <v>6</v>
      </c>
      <c r="E355" t="s">
        <v>1172</v>
      </c>
      <c r="F355" t="s">
        <v>62</v>
      </c>
      <c r="G355" s="5" t="s">
        <v>24</v>
      </c>
      <c r="H355" t="s">
        <v>25</v>
      </c>
      <c r="I355" t="s">
        <v>26</v>
      </c>
      <c r="J355" t="s">
        <v>27</v>
      </c>
      <c r="K355" t="s">
        <v>28</v>
      </c>
      <c r="L355" t="s">
        <v>48</v>
      </c>
      <c r="M355" t="s">
        <v>1173</v>
      </c>
      <c r="N355" t="s">
        <v>44</v>
      </c>
      <c r="O355">
        <v>9</v>
      </c>
      <c r="P355">
        <v>1431.67</v>
      </c>
      <c r="Q355" s="6">
        <v>0.2</v>
      </c>
      <c r="R355" s="8">
        <f t="shared" si="20"/>
        <v>0.2</v>
      </c>
      <c r="S355">
        <v>10308.02</v>
      </c>
      <c r="T355">
        <v>5822.31</v>
      </c>
      <c r="U355">
        <v>4485.71</v>
      </c>
      <c r="V355" t="s">
        <v>32</v>
      </c>
      <c r="W355" t="s">
        <v>33</v>
      </c>
      <c r="X355" t="str">
        <f t="shared" si="23"/>
        <v/>
      </c>
      <c r="Y355" t="str">
        <f t="shared" si="21"/>
        <v>Exclude</v>
      </c>
    </row>
    <row r="356" spans="1:25">
      <c r="A356" t="s">
        <v>1174</v>
      </c>
      <c r="B356" s="3">
        <v>45653</v>
      </c>
      <c r="C356" s="3">
        <v>45657</v>
      </c>
      <c r="D356" s="6">
        <f t="shared" si="22"/>
        <v>4</v>
      </c>
      <c r="E356" t="s">
        <v>1175</v>
      </c>
      <c r="F356" t="s">
        <v>265</v>
      </c>
      <c r="G356" s="5" t="s">
        <v>90</v>
      </c>
      <c r="H356" t="s">
        <v>25</v>
      </c>
      <c r="I356" t="s">
        <v>122</v>
      </c>
      <c r="J356" t="s">
        <v>123</v>
      </c>
      <c r="K356" t="s">
        <v>41</v>
      </c>
      <c r="L356" t="s">
        <v>57</v>
      </c>
      <c r="M356" t="s">
        <v>1176</v>
      </c>
      <c r="N356" t="s">
        <v>59</v>
      </c>
      <c r="O356">
        <v>6</v>
      </c>
      <c r="P356">
        <v>3346.78</v>
      </c>
      <c r="Q356" s="6">
        <v>-0.06</v>
      </c>
      <c r="R356" s="8">
        <f t="shared" si="20"/>
        <v>-0.06</v>
      </c>
      <c r="S356">
        <v>20080.68</v>
      </c>
      <c r="T356">
        <v>12908.84</v>
      </c>
      <c r="U356">
        <v>7171.84</v>
      </c>
      <c r="V356" t="s">
        <v>111</v>
      </c>
      <c r="W356" t="s">
        <v>68</v>
      </c>
      <c r="X356" t="str">
        <f t="shared" si="23"/>
        <v>INVALID: Negative discount; EXCLUDE: Cancelled order</v>
      </c>
      <c r="Y356" t="str">
        <f t="shared" si="21"/>
        <v>Exclude</v>
      </c>
    </row>
    <row r="357" spans="1:25">
      <c r="A357" t="s">
        <v>1177</v>
      </c>
      <c r="B357" s="3">
        <v>45424</v>
      </c>
      <c r="C357" s="3">
        <v>45540</v>
      </c>
      <c r="D357" s="6">
        <f t="shared" si="22"/>
        <v>116</v>
      </c>
      <c r="E357" t="s">
        <v>1178</v>
      </c>
      <c r="F357" t="s">
        <v>114</v>
      </c>
      <c r="G357" s="5" t="s">
        <v>90</v>
      </c>
      <c r="H357" t="s">
        <v>63</v>
      </c>
      <c r="I357" t="s">
        <v>26</v>
      </c>
      <c r="J357" t="s">
        <v>109</v>
      </c>
      <c r="K357" t="s">
        <v>41</v>
      </c>
      <c r="L357" t="s">
        <v>42</v>
      </c>
      <c r="M357" t="s">
        <v>1179</v>
      </c>
      <c r="N357" t="s">
        <v>59</v>
      </c>
      <c r="O357">
        <v>5</v>
      </c>
      <c r="P357">
        <v>3203.48</v>
      </c>
      <c r="Q357" s="6">
        <v>0</v>
      </c>
      <c r="R357" s="8">
        <f t="shared" si="20"/>
        <v>0</v>
      </c>
      <c r="S357">
        <v>16017.4</v>
      </c>
      <c r="T357">
        <v>9557.7999999999993</v>
      </c>
      <c r="U357">
        <v>6459.6</v>
      </c>
      <c r="V357" t="s">
        <v>111</v>
      </c>
      <c r="W357" t="s">
        <v>68</v>
      </c>
      <c r="X357" t="str">
        <f t="shared" si="23"/>
        <v>EXCLUDE: Cancelled order</v>
      </c>
      <c r="Y357" t="str">
        <f t="shared" si="21"/>
        <v>Exclude</v>
      </c>
    </row>
    <row r="358" spans="1:25">
      <c r="A358" t="s">
        <v>1180</v>
      </c>
      <c r="B358" s="3">
        <v>45835</v>
      </c>
      <c r="C358" s="3">
        <v>45837</v>
      </c>
      <c r="D358" s="6">
        <f t="shared" si="22"/>
        <v>2</v>
      </c>
      <c r="E358" t="s">
        <v>1181</v>
      </c>
      <c r="F358" t="s">
        <v>141</v>
      </c>
      <c r="G358" s="5" t="s">
        <v>95</v>
      </c>
      <c r="H358" t="s">
        <v>54</v>
      </c>
      <c r="I358" t="s">
        <v>55</v>
      </c>
      <c r="J358" t="s">
        <v>56</v>
      </c>
      <c r="K358" t="s">
        <v>41</v>
      </c>
      <c r="L358" t="s">
        <v>66</v>
      </c>
      <c r="M358" t="s">
        <v>1182</v>
      </c>
      <c r="N358" t="s">
        <v>50</v>
      </c>
      <c r="O358">
        <v>5</v>
      </c>
      <c r="P358">
        <v>621.70000000000005</v>
      </c>
      <c r="Q358" s="6">
        <v>0.2</v>
      </c>
      <c r="R358" s="8">
        <f t="shared" si="20"/>
        <v>0.2</v>
      </c>
      <c r="S358">
        <v>2486.8000000000002</v>
      </c>
      <c r="T358">
        <v>2131.73</v>
      </c>
      <c r="U358">
        <v>355.07</v>
      </c>
      <c r="V358" t="s">
        <v>111</v>
      </c>
      <c r="W358" t="s">
        <v>103</v>
      </c>
      <c r="X358" t="str">
        <f t="shared" si="23"/>
        <v/>
      </c>
      <c r="Y358" t="str">
        <f t="shared" si="21"/>
        <v>Exclude</v>
      </c>
    </row>
    <row r="359" spans="1:25">
      <c r="A359" t="s">
        <v>1183</v>
      </c>
      <c r="B359" s="3">
        <v>45678</v>
      </c>
      <c r="C359" s="3">
        <v>45686</v>
      </c>
      <c r="D359" s="6">
        <f t="shared" si="22"/>
        <v>8</v>
      </c>
      <c r="E359" t="s">
        <v>1184</v>
      </c>
      <c r="F359" t="s">
        <v>36</v>
      </c>
      <c r="G359" s="5" t="s">
        <v>95</v>
      </c>
      <c r="H359" t="s">
        <v>54</v>
      </c>
      <c r="I359" t="s">
        <v>84</v>
      </c>
      <c r="J359" t="s">
        <v>85</v>
      </c>
      <c r="K359" t="s">
        <v>74</v>
      </c>
      <c r="L359" t="s">
        <v>275</v>
      </c>
      <c r="M359" t="s">
        <v>1185</v>
      </c>
      <c r="N359" t="s">
        <v>31</v>
      </c>
      <c r="O359">
        <v>8</v>
      </c>
      <c r="P359">
        <v>546.13</v>
      </c>
      <c r="Q359" s="6">
        <v>0</v>
      </c>
      <c r="R359" s="8">
        <f t="shared" si="20"/>
        <v>0</v>
      </c>
      <c r="S359">
        <v>4369.04</v>
      </c>
      <c r="T359">
        <v>3716.88</v>
      </c>
      <c r="U359">
        <v>652.16</v>
      </c>
      <c r="V359" t="s">
        <v>32</v>
      </c>
      <c r="W359" t="s">
        <v>68</v>
      </c>
      <c r="X359" t="str">
        <f t="shared" si="23"/>
        <v>EXCLUDE: Cancelled order</v>
      </c>
      <c r="Y359" t="str">
        <f t="shared" si="21"/>
        <v>Exclude</v>
      </c>
    </row>
    <row r="360" spans="1:25">
      <c r="A360" t="s">
        <v>1186</v>
      </c>
      <c r="B360" s="3">
        <v>45908</v>
      </c>
      <c r="C360" s="3">
        <v>45846</v>
      </c>
      <c r="D360" s="6">
        <f t="shared" si="22"/>
        <v>-62</v>
      </c>
      <c r="E360" t="s">
        <v>1187</v>
      </c>
      <c r="F360" t="s">
        <v>71</v>
      </c>
      <c r="G360" s="5" t="s">
        <v>95</v>
      </c>
      <c r="H360" t="s">
        <v>63</v>
      </c>
      <c r="I360" t="s">
        <v>180</v>
      </c>
      <c r="J360" t="s">
        <v>181</v>
      </c>
      <c r="K360" t="s">
        <v>41</v>
      </c>
      <c r="L360" t="s">
        <v>158</v>
      </c>
      <c r="M360" t="s">
        <v>1188</v>
      </c>
      <c r="N360" t="s">
        <v>31</v>
      </c>
      <c r="O360">
        <v>5</v>
      </c>
      <c r="P360">
        <v>1253.92</v>
      </c>
      <c r="Q360" s="6">
        <v>0.05</v>
      </c>
      <c r="R360" s="8">
        <f t="shared" si="20"/>
        <v>0.05</v>
      </c>
      <c r="S360">
        <v>5956.12</v>
      </c>
      <c r="T360">
        <v>4379.18</v>
      </c>
      <c r="U360">
        <v>1576.94</v>
      </c>
      <c r="V360" t="s">
        <v>111</v>
      </c>
      <c r="W360" t="s">
        <v>103</v>
      </c>
      <c r="X360" t="str">
        <f t="shared" si="23"/>
        <v>INVALID: Ship date before order date</v>
      </c>
      <c r="Y360" t="str">
        <f t="shared" si="21"/>
        <v>Exclude</v>
      </c>
    </row>
    <row r="361" spans="1:25">
      <c r="A361" t="s">
        <v>1189</v>
      </c>
      <c r="B361" s="3">
        <v>45525</v>
      </c>
      <c r="C361" s="3">
        <v>45526</v>
      </c>
      <c r="D361" s="6">
        <f t="shared" si="22"/>
        <v>1</v>
      </c>
      <c r="E361" t="s">
        <v>1190</v>
      </c>
      <c r="F361" t="s">
        <v>47</v>
      </c>
      <c r="G361" s="5" t="s">
        <v>24</v>
      </c>
      <c r="H361" t="s">
        <v>54</v>
      </c>
      <c r="I361" t="s">
        <v>248</v>
      </c>
      <c r="J361" t="s">
        <v>249</v>
      </c>
      <c r="K361" t="s">
        <v>74</v>
      </c>
      <c r="L361" t="s">
        <v>171</v>
      </c>
      <c r="M361" t="s">
        <v>1191</v>
      </c>
      <c r="N361" t="s">
        <v>44</v>
      </c>
      <c r="O361">
        <v>9</v>
      </c>
      <c r="P361">
        <v>616.96</v>
      </c>
      <c r="Q361" s="6">
        <v>0.1</v>
      </c>
      <c r="R361" s="8">
        <f t="shared" si="20"/>
        <v>0.1</v>
      </c>
      <c r="S361">
        <v>4997.38</v>
      </c>
      <c r="T361">
        <v>2971.39</v>
      </c>
      <c r="U361">
        <v>2025.99</v>
      </c>
      <c r="V361" t="s">
        <v>32</v>
      </c>
      <c r="W361" t="s">
        <v>33</v>
      </c>
      <c r="X361" t="str">
        <f t="shared" si="23"/>
        <v/>
      </c>
      <c r="Y361" t="str">
        <f t="shared" si="21"/>
        <v>Exclude</v>
      </c>
    </row>
    <row r="362" spans="1:25">
      <c r="A362" t="s">
        <v>1192</v>
      </c>
      <c r="B362" s="3">
        <v>45460</v>
      </c>
      <c r="C362" s="3">
        <v>45463</v>
      </c>
      <c r="D362" s="6">
        <f t="shared" si="22"/>
        <v>3</v>
      </c>
      <c r="E362" t="s">
        <v>1193</v>
      </c>
      <c r="F362" t="s">
        <v>132</v>
      </c>
      <c r="G362" s="5" t="s">
        <v>37</v>
      </c>
      <c r="H362" t="s">
        <v>63</v>
      </c>
      <c r="I362" t="s">
        <v>180</v>
      </c>
      <c r="J362" t="s">
        <v>181</v>
      </c>
      <c r="K362" t="s">
        <v>41</v>
      </c>
      <c r="L362" t="s">
        <v>57</v>
      </c>
      <c r="M362" t="s">
        <v>1194</v>
      </c>
      <c r="N362" t="s">
        <v>59</v>
      </c>
      <c r="O362">
        <v>7</v>
      </c>
      <c r="P362">
        <v>3155.25</v>
      </c>
      <c r="Q362" s="6">
        <v>0.2</v>
      </c>
      <c r="R362" s="8">
        <f t="shared" si="20"/>
        <v>0.2</v>
      </c>
      <c r="S362">
        <v>17669.400000000001</v>
      </c>
      <c r="T362">
        <v>13718.77</v>
      </c>
      <c r="U362">
        <v>3950.63</v>
      </c>
      <c r="V362" t="s">
        <v>102</v>
      </c>
      <c r="W362" t="s">
        <v>68</v>
      </c>
      <c r="X362" t="str">
        <f t="shared" si="23"/>
        <v>EXCLUDE: Cancelled order; REFUND: Summarize separately</v>
      </c>
      <c r="Y362" t="str">
        <f t="shared" si="21"/>
        <v>Exclude</v>
      </c>
    </row>
    <row r="363" spans="1:25">
      <c r="A363" t="s">
        <v>1195</v>
      </c>
      <c r="B363" s="3">
        <v>45748</v>
      </c>
      <c r="C363" s="3">
        <v>45692</v>
      </c>
      <c r="D363" s="6">
        <f t="shared" si="22"/>
        <v>-56</v>
      </c>
      <c r="E363" t="s">
        <v>1196</v>
      </c>
      <c r="F363" t="s">
        <v>141</v>
      </c>
      <c r="G363" s="5" t="s">
        <v>90</v>
      </c>
      <c r="H363" t="s">
        <v>38</v>
      </c>
      <c r="I363" t="s">
        <v>39</v>
      </c>
      <c r="J363" t="s">
        <v>40</v>
      </c>
      <c r="K363" t="s">
        <v>41</v>
      </c>
      <c r="L363" t="s">
        <v>66</v>
      </c>
      <c r="M363" t="s">
        <v>1197</v>
      </c>
      <c r="N363" t="s">
        <v>31</v>
      </c>
      <c r="O363">
        <v>9</v>
      </c>
      <c r="P363">
        <v>4165.58</v>
      </c>
      <c r="Q363" s="6">
        <v>0.05</v>
      </c>
      <c r="R363" s="8">
        <f t="shared" si="20"/>
        <v>0.05</v>
      </c>
      <c r="S363">
        <v>35615.71</v>
      </c>
      <c r="T363">
        <v>20389.71</v>
      </c>
      <c r="U363">
        <v>15226</v>
      </c>
      <c r="V363" t="s">
        <v>111</v>
      </c>
      <c r="W363" t="s">
        <v>103</v>
      </c>
      <c r="X363" t="str">
        <f t="shared" si="23"/>
        <v>INVALID: Ship date before order date</v>
      </c>
      <c r="Y363" t="str">
        <f t="shared" si="21"/>
        <v>Exclude</v>
      </c>
    </row>
    <row r="364" spans="1:25">
      <c r="A364" t="s">
        <v>1198</v>
      </c>
      <c r="B364" s="3">
        <v>45527</v>
      </c>
      <c r="C364" s="3">
        <v>45529</v>
      </c>
      <c r="D364" s="6">
        <f t="shared" si="22"/>
        <v>2</v>
      </c>
      <c r="E364" t="s">
        <v>1199</v>
      </c>
      <c r="F364" t="s">
        <v>71</v>
      </c>
      <c r="G364" s="5" t="s">
        <v>24</v>
      </c>
      <c r="H364" t="s">
        <v>63</v>
      </c>
      <c r="I364" t="s">
        <v>190</v>
      </c>
      <c r="J364" t="s">
        <v>191</v>
      </c>
      <c r="K364" t="s">
        <v>74</v>
      </c>
      <c r="L364" t="s">
        <v>275</v>
      </c>
      <c r="M364" t="s">
        <v>1200</v>
      </c>
      <c r="N364" t="s">
        <v>44</v>
      </c>
      <c r="O364">
        <v>4</v>
      </c>
      <c r="P364">
        <v>491.16</v>
      </c>
      <c r="Q364" s="6">
        <v>0.05</v>
      </c>
      <c r="R364" s="8">
        <f t="shared" si="20"/>
        <v>0.05</v>
      </c>
      <c r="S364">
        <v>1866.41</v>
      </c>
      <c r="T364">
        <v>1576.49</v>
      </c>
      <c r="U364">
        <v>289.92</v>
      </c>
      <c r="V364" t="s">
        <v>32</v>
      </c>
      <c r="W364" t="s">
        <v>33</v>
      </c>
      <c r="X364" t="str">
        <f t="shared" si="23"/>
        <v/>
      </c>
      <c r="Y364" t="str">
        <f t="shared" si="21"/>
        <v>Exclude</v>
      </c>
    </row>
    <row r="365" spans="1:25">
      <c r="A365" t="s">
        <v>1201</v>
      </c>
      <c r="B365" s="3">
        <v>45845</v>
      </c>
      <c r="C365" s="3">
        <v>45998</v>
      </c>
      <c r="D365" s="6">
        <f t="shared" si="22"/>
        <v>153</v>
      </c>
      <c r="E365" t="s">
        <v>1202</v>
      </c>
      <c r="F365" t="s">
        <v>162</v>
      </c>
      <c r="G365" s="5" t="s">
        <v>90</v>
      </c>
      <c r="H365" t="s">
        <v>38</v>
      </c>
      <c r="I365" t="s">
        <v>99</v>
      </c>
      <c r="J365" t="s">
        <v>100</v>
      </c>
      <c r="K365" t="s">
        <v>41</v>
      </c>
      <c r="L365" t="s">
        <v>42</v>
      </c>
      <c r="M365" t="s">
        <v>1203</v>
      </c>
      <c r="N365" t="s">
        <v>31</v>
      </c>
      <c r="O365">
        <v>5</v>
      </c>
      <c r="P365">
        <v>1831.37</v>
      </c>
      <c r="Q365" s="6">
        <v>0.25</v>
      </c>
      <c r="R365" s="8">
        <f t="shared" si="20"/>
        <v>0.25</v>
      </c>
      <c r="S365">
        <v>6867.64</v>
      </c>
      <c r="T365">
        <v>5205.3599999999997</v>
      </c>
      <c r="U365">
        <v>1662.28</v>
      </c>
      <c r="V365" t="s">
        <v>32</v>
      </c>
      <c r="W365" t="s">
        <v>33</v>
      </c>
      <c r="X365" t="str">
        <f t="shared" si="23"/>
        <v/>
      </c>
      <c r="Y365" t="str">
        <f t="shared" si="21"/>
        <v>Exclude</v>
      </c>
    </row>
    <row r="366" spans="1:25">
      <c r="A366" t="s">
        <v>1204</v>
      </c>
      <c r="B366" s="3">
        <v>45737</v>
      </c>
      <c r="C366" s="3">
        <v>45740</v>
      </c>
      <c r="D366" s="6">
        <f t="shared" si="22"/>
        <v>3</v>
      </c>
      <c r="E366" t="s">
        <v>1205</v>
      </c>
      <c r="F366" t="s">
        <v>128</v>
      </c>
      <c r="G366" s="5" t="s">
        <v>37</v>
      </c>
      <c r="H366" t="s">
        <v>54</v>
      </c>
      <c r="I366" t="s">
        <v>84</v>
      </c>
      <c r="J366" t="s">
        <v>85</v>
      </c>
      <c r="K366" t="s">
        <v>41</v>
      </c>
      <c r="L366" t="s">
        <v>66</v>
      </c>
      <c r="M366" t="s">
        <v>1206</v>
      </c>
      <c r="N366" t="s">
        <v>31</v>
      </c>
      <c r="O366">
        <v>5</v>
      </c>
      <c r="P366">
        <v>1239.1500000000001</v>
      </c>
      <c r="Q366" s="6">
        <v>0</v>
      </c>
      <c r="R366" s="8">
        <f t="shared" si="20"/>
        <v>0</v>
      </c>
      <c r="S366">
        <v>6195.75</v>
      </c>
      <c r="T366">
        <v>3967.02</v>
      </c>
      <c r="U366">
        <v>2228.73</v>
      </c>
      <c r="V366" t="s">
        <v>32</v>
      </c>
      <c r="W366" t="s">
        <v>33</v>
      </c>
      <c r="X366" t="str">
        <f t="shared" si="23"/>
        <v/>
      </c>
      <c r="Y366" t="str">
        <f t="shared" si="21"/>
        <v>Exclude</v>
      </c>
    </row>
    <row r="367" spans="1:25">
      <c r="A367" t="s">
        <v>1207</v>
      </c>
      <c r="B367" s="3">
        <v>45458</v>
      </c>
      <c r="C367" s="3">
        <v>45464</v>
      </c>
      <c r="D367" s="6">
        <f t="shared" si="22"/>
        <v>6</v>
      </c>
      <c r="E367" t="s">
        <v>1208</v>
      </c>
      <c r="F367" t="s">
        <v>89</v>
      </c>
      <c r="G367" s="5" t="s">
        <v>90</v>
      </c>
      <c r="H367" t="s">
        <v>63</v>
      </c>
      <c r="I367" t="s">
        <v>190</v>
      </c>
      <c r="J367" t="s">
        <v>191</v>
      </c>
      <c r="K367" t="s">
        <v>74</v>
      </c>
      <c r="L367" t="s">
        <v>75</v>
      </c>
      <c r="M367" t="s">
        <v>1209</v>
      </c>
      <c r="N367" t="s">
        <v>50</v>
      </c>
      <c r="O367">
        <v>8</v>
      </c>
      <c r="P367">
        <v>1706.4</v>
      </c>
      <c r="Q367" s="6">
        <v>0</v>
      </c>
      <c r="R367" s="8">
        <f t="shared" si="20"/>
        <v>0</v>
      </c>
      <c r="S367">
        <v>12968.64</v>
      </c>
      <c r="T367">
        <v>10119.61</v>
      </c>
      <c r="U367">
        <v>2849.03</v>
      </c>
      <c r="V367" t="s">
        <v>32</v>
      </c>
      <c r="W367" t="s">
        <v>33</v>
      </c>
      <c r="X367" t="str">
        <f t="shared" si="23"/>
        <v/>
      </c>
      <c r="Y367" t="str">
        <f t="shared" si="21"/>
        <v>Exclude</v>
      </c>
    </row>
    <row r="368" spans="1:25">
      <c r="A368" t="s">
        <v>1210</v>
      </c>
      <c r="B368" s="3">
        <v>45673</v>
      </c>
      <c r="C368" s="3">
        <v>45679</v>
      </c>
      <c r="D368" s="6">
        <f t="shared" si="22"/>
        <v>6</v>
      </c>
      <c r="E368" t="s">
        <v>1211</v>
      </c>
      <c r="F368" t="s">
        <v>132</v>
      </c>
      <c r="G368" s="5" t="s">
        <v>90</v>
      </c>
      <c r="H368" t="s">
        <v>25</v>
      </c>
      <c r="I368" t="s">
        <v>26</v>
      </c>
      <c r="J368" t="s">
        <v>27</v>
      </c>
      <c r="K368" t="s">
        <v>41</v>
      </c>
      <c r="L368" t="s">
        <v>42</v>
      </c>
      <c r="M368" t="s">
        <v>1212</v>
      </c>
      <c r="N368" t="s">
        <v>44</v>
      </c>
      <c r="O368">
        <v>2</v>
      </c>
      <c r="P368">
        <v>4418.28</v>
      </c>
      <c r="Q368" s="6">
        <v>0</v>
      </c>
      <c r="R368" s="8">
        <f t="shared" si="20"/>
        <v>0</v>
      </c>
      <c r="S368">
        <v>8836.56</v>
      </c>
      <c r="T368">
        <v>5867.75</v>
      </c>
      <c r="U368">
        <v>2968.81</v>
      </c>
      <c r="V368" t="s">
        <v>32</v>
      </c>
      <c r="W368" t="s">
        <v>33</v>
      </c>
      <c r="X368" t="str">
        <f t="shared" si="23"/>
        <v/>
      </c>
      <c r="Y368" t="str">
        <f t="shared" si="21"/>
        <v>Exclude</v>
      </c>
    </row>
    <row r="369" spans="1:25">
      <c r="A369" t="s">
        <v>1213</v>
      </c>
      <c r="B369" s="3">
        <v>45366</v>
      </c>
      <c r="C369" s="3">
        <v>45367</v>
      </c>
      <c r="D369" s="6">
        <f t="shared" si="22"/>
        <v>1</v>
      </c>
      <c r="E369" t="s">
        <v>1214</v>
      </c>
      <c r="F369" t="s">
        <v>141</v>
      </c>
      <c r="G369" s="5" t="s">
        <v>24</v>
      </c>
      <c r="H369" t="s">
        <v>25</v>
      </c>
      <c r="I369" t="s">
        <v>351</v>
      </c>
      <c r="J369" t="s">
        <v>352</v>
      </c>
      <c r="K369" t="s">
        <v>28</v>
      </c>
      <c r="L369" t="s">
        <v>48</v>
      </c>
      <c r="M369" t="s">
        <v>1215</v>
      </c>
      <c r="N369" t="s">
        <v>59</v>
      </c>
      <c r="O369">
        <v>6</v>
      </c>
      <c r="P369">
        <v>3815.09</v>
      </c>
      <c r="Q369" s="6">
        <v>0.15</v>
      </c>
      <c r="R369" s="8">
        <f t="shared" si="20"/>
        <v>0.15</v>
      </c>
      <c r="S369">
        <v>19456.96</v>
      </c>
      <c r="T369">
        <v>14520.06</v>
      </c>
      <c r="U369">
        <v>4936.8999999999996</v>
      </c>
      <c r="V369" t="s">
        <v>155</v>
      </c>
      <c r="W369" t="s">
        <v>68</v>
      </c>
      <c r="X369" t="str">
        <f t="shared" si="23"/>
        <v>EXCLUDE: Cancelled order; EXCLUDE: Failed payment</v>
      </c>
      <c r="Y369" t="str">
        <f t="shared" si="21"/>
        <v>Exclude</v>
      </c>
    </row>
    <row r="370" spans="1:25">
      <c r="A370" t="s">
        <v>1216</v>
      </c>
      <c r="B370" s="3">
        <v>45844</v>
      </c>
      <c r="C370" s="3">
        <v>45844</v>
      </c>
      <c r="D370" s="6">
        <f t="shared" si="22"/>
        <v>0</v>
      </c>
      <c r="E370" t="s">
        <v>1217</v>
      </c>
      <c r="F370" t="s">
        <v>128</v>
      </c>
      <c r="G370" s="5" t="s">
        <v>95</v>
      </c>
      <c r="H370" t="s">
        <v>25</v>
      </c>
      <c r="I370" t="s">
        <v>26</v>
      </c>
      <c r="J370" t="s">
        <v>27</v>
      </c>
      <c r="K370" t="s">
        <v>74</v>
      </c>
      <c r="L370" t="s">
        <v>75</v>
      </c>
      <c r="M370" t="s">
        <v>1218</v>
      </c>
      <c r="N370" t="s">
        <v>44</v>
      </c>
      <c r="O370">
        <v>9</v>
      </c>
      <c r="P370">
        <v>243.19</v>
      </c>
      <c r="Q370" s="6">
        <v>0.05</v>
      </c>
      <c r="R370" s="8">
        <f t="shared" si="20"/>
        <v>0.05</v>
      </c>
      <c r="S370">
        <v>2079.27</v>
      </c>
      <c r="T370">
        <v>1512.17</v>
      </c>
      <c r="U370">
        <v>567.1</v>
      </c>
      <c r="V370" t="s">
        <v>102</v>
      </c>
      <c r="W370" t="s">
        <v>103</v>
      </c>
      <c r="X370" t="str">
        <f t="shared" si="23"/>
        <v>REFUND: Summarize separately</v>
      </c>
      <c r="Y370" t="str">
        <f t="shared" si="21"/>
        <v>Exclude</v>
      </c>
    </row>
    <row r="371" spans="1:25">
      <c r="A371" t="s">
        <v>1219</v>
      </c>
      <c r="B371" s="3">
        <v>45680</v>
      </c>
      <c r="C371" s="3">
        <v>45687</v>
      </c>
      <c r="D371" s="6">
        <f t="shared" si="22"/>
        <v>7</v>
      </c>
      <c r="E371" t="s">
        <v>1220</v>
      </c>
      <c r="F371" t="s">
        <v>114</v>
      </c>
      <c r="G371" s="5" t="s">
        <v>24</v>
      </c>
      <c r="H371" t="s">
        <v>25</v>
      </c>
      <c r="I371" t="s">
        <v>351</v>
      </c>
      <c r="J371" t="s">
        <v>352</v>
      </c>
      <c r="K371" t="s">
        <v>28</v>
      </c>
      <c r="L371" t="s">
        <v>91</v>
      </c>
      <c r="M371" t="s">
        <v>1221</v>
      </c>
      <c r="N371" t="s">
        <v>59</v>
      </c>
      <c r="O371">
        <v>9</v>
      </c>
      <c r="P371">
        <v>1169.3699999999999</v>
      </c>
      <c r="Q371" s="6">
        <v>0.15</v>
      </c>
      <c r="R371" s="8">
        <f t="shared" si="20"/>
        <v>0.15</v>
      </c>
      <c r="S371">
        <v>8945.68</v>
      </c>
      <c r="T371">
        <v>6740.35</v>
      </c>
      <c r="U371">
        <v>2205.33</v>
      </c>
      <c r="V371" t="s">
        <v>32</v>
      </c>
      <c r="W371" t="s">
        <v>33</v>
      </c>
      <c r="X371" t="str">
        <f t="shared" si="23"/>
        <v/>
      </c>
      <c r="Y371" t="str">
        <f t="shared" si="21"/>
        <v>Exclude</v>
      </c>
    </row>
    <row r="372" spans="1:25">
      <c r="A372" t="s">
        <v>1222</v>
      </c>
      <c r="B372" s="3">
        <v>45519</v>
      </c>
      <c r="C372" s="3">
        <v>45525</v>
      </c>
      <c r="D372" s="6">
        <f t="shared" si="22"/>
        <v>6</v>
      </c>
      <c r="E372" t="s">
        <v>1223</v>
      </c>
      <c r="F372" t="s">
        <v>62</v>
      </c>
      <c r="G372" s="5" t="s">
        <v>37</v>
      </c>
      <c r="H372" t="s">
        <v>63</v>
      </c>
      <c r="I372" t="s">
        <v>26</v>
      </c>
      <c r="J372" t="s">
        <v>109</v>
      </c>
      <c r="K372" t="s">
        <v>74</v>
      </c>
      <c r="L372" t="s">
        <v>80</v>
      </c>
      <c r="M372" t="s">
        <v>1224</v>
      </c>
      <c r="N372" t="s">
        <v>50</v>
      </c>
      <c r="O372">
        <v>7</v>
      </c>
      <c r="P372">
        <v>2333.81</v>
      </c>
      <c r="Q372" s="6">
        <v>0.2</v>
      </c>
      <c r="R372" s="8">
        <f t="shared" si="20"/>
        <v>0.2</v>
      </c>
      <c r="S372">
        <v>13069.34</v>
      </c>
      <c r="T372">
        <v>8768.59</v>
      </c>
      <c r="U372">
        <v>4300.75</v>
      </c>
      <c r="V372" t="s">
        <v>32</v>
      </c>
      <c r="W372" t="s">
        <v>33</v>
      </c>
      <c r="X372" t="str">
        <f t="shared" si="23"/>
        <v/>
      </c>
      <c r="Y372" t="str">
        <f t="shared" si="21"/>
        <v>Exclude</v>
      </c>
    </row>
    <row r="373" spans="1:25">
      <c r="A373" t="s">
        <v>1225</v>
      </c>
      <c r="B373" s="3">
        <v>45313</v>
      </c>
      <c r="C373" s="3">
        <v>45315</v>
      </c>
      <c r="D373" s="6">
        <f t="shared" si="22"/>
        <v>2</v>
      </c>
      <c r="E373" t="s">
        <v>1226</v>
      </c>
      <c r="F373" t="s">
        <v>162</v>
      </c>
      <c r="G373" s="5" t="s">
        <v>95</v>
      </c>
      <c r="H373" t="s">
        <v>63</v>
      </c>
      <c r="I373" t="s">
        <v>64</v>
      </c>
      <c r="J373" t="s">
        <v>65</v>
      </c>
      <c r="K373" t="s">
        <v>28</v>
      </c>
      <c r="L373" t="s">
        <v>48</v>
      </c>
      <c r="M373" t="s">
        <v>1227</v>
      </c>
      <c r="N373" t="s">
        <v>59</v>
      </c>
      <c r="O373">
        <v>6</v>
      </c>
      <c r="P373">
        <v>1026.06</v>
      </c>
      <c r="Q373" s="6">
        <v>0</v>
      </c>
      <c r="R373" s="8">
        <f t="shared" si="20"/>
        <v>0</v>
      </c>
      <c r="S373">
        <v>4617.2700000000004</v>
      </c>
      <c r="T373">
        <v>2981.94</v>
      </c>
      <c r="U373">
        <v>1635.33</v>
      </c>
      <c r="V373" t="s">
        <v>102</v>
      </c>
      <c r="W373" t="s">
        <v>68</v>
      </c>
      <c r="X373" t="str">
        <f t="shared" si="23"/>
        <v>EXCLUDE: Cancelled order; REFUND: Summarize separately</v>
      </c>
      <c r="Y373" t="str">
        <f t="shared" si="21"/>
        <v>Exclude</v>
      </c>
    </row>
    <row r="374" spans="1:25">
      <c r="A374" t="s">
        <v>1228</v>
      </c>
      <c r="B374" s="3">
        <v>45885</v>
      </c>
      <c r="C374" s="3">
        <v>45887</v>
      </c>
      <c r="D374" s="6">
        <f t="shared" si="22"/>
        <v>2</v>
      </c>
      <c r="E374" t="s">
        <v>644</v>
      </c>
      <c r="F374" t="s">
        <v>265</v>
      </c>
      <c r="G374" s="5" t="s">
        <v>24</v>
      </c>
      <c r="H374" t="s">
        <v>38</v>
      </c>
      <c r="I374" t="s">
        <v>229</v>
      </c>
      <c r="J374" t="s">
        <v>230</v>
      </c>
      <c r="K374" t="s">
        <v>41</v>
      </c>
      <c r="L374" t="s">
        <v>66</v>
      </c>
      <c r="M374" t="s">
        <v>1229</v>
      </c>
      <c r="N374" t="s">
        <v>44</v>
      </c>
      <c r="O374">
        <v>5</v>
      </c>
      <c r="P374">
        <v>1530.36</v>
      </c>
      <c r="Q374" s="6">
        <v>0</v>
      </c>
      <c r="R374" s="8">
        <f t="shared" si="20"/>
        <v>0</v>
      </c>
      <c r="S374">
        <v>7651.8</v>
      </c>
      <c r="T374">
        <v>5171.78</v>
      </c>
      <c r="U374">
        <v>2480.02</v>
      </c>
      <c r="V374" t="s">
        <v>32</v>
      </c>
      <c r="W374" t="s">
        <v>33</v>
      </c>
      <c r="X374" t="str">
        <f t="shared" si="23"/>
        <v/>
      </c>
      <c r="Y374" t="str">
        <f t="shared" si="21"/>
        <v>Exclude</v>
      </c>
    </row>
    <row r="375" spans="1:25">
      <c r="A375" t="s">
        <v>1230</v>
      </c>
      <c r="B375" s="3">
        <v>45760</v>
      </c>
      <c r="C375" s="3">
        <v>45760</v>
      </c>
      <c r="D375" s="6">
        <f t="shared" si="22"/>
        <v>0</v>
      </c>
      <c r="E375" t="s">
        <v>1231</v>
      </c>
      <c r="F375" t="s">
        <v>132</v>
      </c>
      <c r="G375" s="5" t="s">
        <v>37</v>
      </c>
      <c r="H375" t="s">
        <v>25</v>
      </c>
      <c r="I375" t="s">
        <v>136</v>
      </c>
      <c r="J375" t="s">
        <v>137</v>
      </c>
      <c r="K375" t="s">
        <v>28</v>
      </c>
      <c r="L375" t="s">
        <v>124</v>
      </c>
      <c r="M375" t="s">
        <v>1232</v>
      </c>
      <c r="N375" t="s">
        <v>31</v>
      </c>
      <c r="O375">
        <v>9</v>
      </c>
      <c r="P375">
        <v>1118.68</v>
      </c>
      <c r="Q375" s="6">
        <v>0</v>
      </c>
      <c r="R375" s="8">
        <f t="shared" si="20"/>
        <v>0</v>
      </c>
      <c r="S375">
        <v>10068.120000000001</v>
      </c>
      <c r="T375">
        <v>8595.3700000000008</v>
      </c>
      <c r="U375">
        <v>1472.75</v>
      </c>
      <c r="V375" t="s">
        <v>32</v>
      </c>
      <c r="W375" t="s">
        <v>33</v>
      </c>
      <c r="X375" t="str">
        <f t="shared" si="23"/>
        <v/>
      </c>
      <c r="Y375" t="str">
        <f t="shared" si="21"/>
        <v>Exclude</v>
      </c>
    </row>
    <row r="376" spans="1:25">
      <c r="A376" t="s">
        <v>1233</v>
      </c>
      <c r="B376" s="3">
        <v>45715</v>
      </c>
      <c r="C376" s="3">
        <v>45716</v>
      </c>
      <c r="D376" s="6">
        <f t="shared" si="22"/>
        <v>1</v>
      </c>
      <c r="E376" t="s">
        <v>1234</v>
      </c>
      <c r="F376" t="s">
        <v>89</v>
      </c>
      <c r="G376" s="5" t="s">
        <v>37</v>
      </c>
      <c r="H376" t="s">
        <v>25</v>
      </c>
      <c r="I376" t="s">
        <v>136</v>
      </c>
      <c r="J376" t="s">
        <v>137</v>
      </c>
      <c r="K376" t="s">
        <v>28</v>
      </c>
      <c r="L376" t="s">
        <v>91</v>
      </c>
      <c r="M376" t="s">
        <v>1235</v>
      </c>
      <c r="N376" t="s">
        <v>59</v>
      </c>
      <c r="O376">
        <v>6</v>
      </c>
      <c r="P376">
        <v>2393.25</v>
      </c>
      <c r="Q376" s="6">
        <v>0</v>
      </c>
      <c r="R376" s="8">
        <f t="shared" si="20"/>
        <v>0</v>
      </c>
      <c r="S376">
        <v>14359.5</v>
      </c>
      <c r="T376">
        <v>8117.71</v>
      </c>
      <c r="U376">
        <v>6241.79</v>
      </c>
      <c r="V376" t="s">
        <v>32</v>
      </c>
      <c r="W376" t="s">
        <v>33</v>
      </c>
      <c r="X376" t="str">
        <f t="shared" si="23"/>
        <v/>
      </c>
      <c r="Y376" t="str">
        <f t="shared" si="21"/>
        <v>Exclude</v>
      </c>
    </row>
    <row r="377" spans="1:25">
      <c r="A377" t="s">
        <v>1236</v>
      </c>
      <c r="B377" s="3">
        <v>45657</v>
      </c>
      <c r="C377" s="3">
        <v>45748</v>
      </c>
      <c r="D377" s="6">
        <f t="shared" si="22"/>
        <v>91</v>
      </c>
      <c r="E377" t="s">
        <v>1237</v>
      </c>
      <c r="F377" t="s">
        <v>71</v>
      </c>
      <c r="G377" s="5" t="s">
        <v>24</v>
      </c>
      <c r="H377" t="s">
        <v>25</v>
      </c>
      <c r="I377" t="s">
        <v>351</v>
      </c>
      <c r="J377" t="s">
        <v>352</v>
      </c>
      <c r="K377" t="s">
        <v>41</v>
      </c>
      <c r="L377" t="s">
        <v>66</v>
      </c>
      <c r="M377" t="s">
        <v>1238</v>
      </c>
      <c r="N377" t="s">
        <v>44</v>
      </c>
      <c r="O377">
        <v>3</v>
      </c>
      <c r="P377">
        <v>1166.6099999999999</v>
      </c>
      <c r="Q377" s="6">
        <v>0.25</v>
      </c>
      <c r="R377" s="8">
        <f t="shared" si="20"/>
        <v>0.25</v>
      </c>
      <c r="S377">
        <v>2624.87</v>
      </c>
      <c r="T377">
        <v>2253.88</v>
      </c>
      <c r="U377">
        <v>370.99</v>
      </c>
      <c r="V377" t="s">
        <v>32</v>
      </c>
      <c r="W377" t="s">
        <v>33</v>
      </c>
      <c r="X377" t="str">
        <f t="shared" si="23"/>
        <v/>
      </c>
      <c r="Y377" t="str">
        <f t="shared" si="21"/>
        <v>Exclude</v>
      </c>
    </row>
    <row r="378" spans="1:25">
      <c r="A378" t="s">
        <v>1239</v>
      </c>
      <c r="B378" s="3">
        <v>45655</v>
      </c>
      <c r="C378" s="3">
        <v>45657</v>
      </c>
      <c r="D378" s="6">
        <f t="shared" si="22"/>
        <v>2</v>
      </c>
      <c r="E378" t="s">
        <v>1240</v>
      </c>
      <c r="F378" t="s">
        <v>47</v>
      </c>
      <c r="G378" s="5" t="s">
        <v>37</v>
      </c>
      <c r="H378" t="s">
        <v>38</v>
      </c>
      <c r="I378" t="s">
        <v>145</v>
      </c>
      <c r="J378" t="s">
        <v>146</v>
      </c>
      <c r="K378" t="s">
        <v>41</v>
      </c>
      <c r="L378" t="s">
        <v>66</v>
      </c>
      <c r="M378" t="s">
        <v>1241</v>
      </c>
      <c r="N378" t="s">
        <v>50</v>
      </c>
      <c r="O378">
        <v>6</v>
      </c>
      <c r="P378">
        <v>1844.78</v>
      </c>
      <c r="Q378" s="6">
        <v>0.2</v>
      </c>
      <c r="R378" s="8">
        <f t="shared" si="20"/>
        <v>0.2</v>
      </c>
      <c r="S378">
        <v>8854.94</v>
      </c>
      <c r="T378">
        <v>7433.95</v>
      </c>
      <c r="U378">
        <v>1420.99</v>
      </c>
      <c r="V378" t="s">
        <v>32</v>
      </c>
      <c r="W378" t="s">
        <v>33</v>
      </c>
      <c r="X378" t="str">
        <f t="shared" si="23"/>
        <v/>
      </c>
      <c r="Y378" t="str">
        <f t="shared" si="21"/>
        <v>Exclude</v>
      </c>
    </row>
    <row r="379" spans="1:25">
      <c r="A379" t="s">
        <v>1242</v>
      </c>
      <c r="B379" s="3">
        <v>45801</v>
      </c>
      <c r="C379" s="3">
        <v>45807</v>
      </c>
      <c r="D379" s="6">
        <f t="shared" si="22"/>
        <v>6</v>
      </c>
      <c r="E379" t="s">
        <v>1243</v>
      </c>
      <c r="F379" t="s">
        <v>265</v>
      </c>
      <c r="G379" s="5" t="s">
        <v>37</v>
      </c>
      <c r="H379" t="s">
        <v>38</v>
      </c>
      <c r="I379" t="s">
        <v>39</v>
      </c>
      <c r="J379" t="s">
        <v>40</v>
      </c>
      <c r="K379" t="s">
        <v>28</v>
      </c>
      <c r="L379" t="s">
        <v>1244</v>
      </c>
      <c r="M379" t="s">
        <v>1245</v>
      </c>
      <c r="N379" t="s">
        <v>44</v>
      </c>
      <c r="O379">
        <v>1</v>
      </c>
      <c r="P379">
        <v>2564.7399999999998</v>
      </c>
      <c r="Q379" s="6">
        <v>0</v>
      </c>
      <c r="R379" s="8">
        <f t="shared" si="20"/>
        <v>0</v>
      </c>
      <c r="S379">
        <v>2564.7399999999998</v>
      </c>
      <c r="T379">
        <v>1754.58</v>
      </c>
      <c r="U379">
        <v>810.16</v>
      </c>
      <c r="V379" t="s">
        <v>32</v>
      </c>
      <c r="W379" t="s">
        <v>33</v>
      </c>
      <c r="X379" t="str">
        <f t="shared" si="23"/>
        <v/>
      </c>
      <c r="Y379" t="str">
        <f t="shared" si="21"/>
        <v>Exclude</v>
      </c>
    </row>
    <row r="380" spans="1:25">
      <c r="A380" t="s">
        <v>1246</v>
      </c>
      <c r="B380" s="3">
        <v>45799</v>
      </c>
      <c r="C380" s="3">
        <v>45799</v>
      </c>
      <c r="D380" s="6">
        <f t="shared" si="22"/>
        <v>0</v>
      </c>
      <c r="E380" t="s">
        <v>1247</v>
      </c>
      <c r="F380" t="s">
        <v>36</v>
      </c>
      <c r="G380" s="5" t="s">
        <v>24</v>
      </c>
      <c r="H380" t="s">
        <v>63</v>
      </c>
      <c r="I380" t="s">
        <v>190</v>
      </c>
      <c r="J380" t="s">
        <v>191</v>
      </c>
      <c r="K380" t="s">
        <v>74</v>
      </c>
      <c r="L380" t="s">
        <v>75</v>
      </c>
      <c r="M380" t="s">
        <v>1248</v>
      </c>
      <c r="N380" t="s">
        <v>59</v>
      </c>
      <c r="O380">
        <v>2</v>
      </c>
      <c r="P380">
        <v>3910.61</v>
      </c>
      <c r="Q380" s="6">
        <v>0</v>
      </c>
      <c r="R380" s="8">
        <f t="shared" si="20"/>
        <v>0</v>
      </c>
      <c r="S380">
        <v>7821.22</v>
      </c>
      <c r="T380">
        <v>4994.46</v>
      </c>
      <c r="U380">
        <v>2826.76</v>
      </c>
      <c r="V380" t="s">
        <v>32</v>
      </c>
      <c r="W380" t="s">
        <v>33</v>
      </c>
      <c r="X380" t="str">
        <f t="shared" si="23"/>
        <v/>
      </c>
      <c r="Y380" t="str">
        <f t="shared" si="21"/>
        <v>Exclude</v>
      </c>
    </row>
    <row r="381" spans="1:25">
      <c r="A381" t="s">
        <v>1249</v>
      </c>
      <c r="B381" s="3">
        <v>45554</v>
      </c>
      <c r="C381" s="3">
        <v>45558</v>
      </c>
      <c r="D381" s="6">
        <f t="shared" si="22"/>
        <v>4</v>
      </c>
      <c r="E381" t="s">
        <v>1250</v>
      </c>
      <c r="F381" t="s">
        <v>36</v>
      </c>
      <c r="G381" s="5" t="s">
        <v>37</v>
      </c>
      <c r="H381" t="s">
        <v>54</v>
      </c>
      <c r="I381" t="s">
        <v>185</v>
      </c>
      <c r="J381" t="s">
        <v>186</v>
      </c>
      <c r="K381" t="s">
        <v>28</v>
      </c>
      <c r="L381" t="s">
        <v>29</v>
      </c>
      <c r="M381" t="s">
        <v>1251</v>
      </c>
      <c r="N381" t="s">
        <v>59</v>
      </c>
      <c r="O381">
        <v>7</v>
      </c>
      <c r="P381">
        <v>1136.68</v>
      </c>
      <c r="Q381" s="6">
        <v>0</v>
      </c>
      <c r="R381" s="8">
        <f t="shared" si="20"/>
        <v>0</v>
      </c>
      <c r="S381">
        <v>7956.76</v>
      </c>
      <c r="T381">
        <v>4799.54</v>
      </c>
      <c r="U381">
        <v>3157.22</v>
      </c>
      <c r="V381" t="s">
        <v>32</v>
      </c>
      <c r="W381" t="s">
        <v>33</v>
      </c>
      <c r="X381" t="str">
        <f t="shared" si="23"/>
        <v/>
      </c>
      <c r="Y381" t="str">
        <f t="shared" si="21"/>
        <v>Exclude</v>
      </c>
    </row>
    <row r="382" spans="1:25">
      <c r="A382" t="s">
        <v>1252</v>
      </c>
      <c r="B382" s="3">
        <v>45389</v>
      </c>
      <c r="C382" s="3">
        <v>45396</v>
      </c>
      <c r="D382" s="6">
        <f t="shared" si="22"/>
        <v>7</v>
      </c>
      <c r="E382" t="s">
        <v>1253</v>
      </c>
      <c r="F382" t="s">
        <v>71</v>
      </c>
      <c r="G382" s="5" t="s">
        <v>24</v>
      </c>
      <c r="H382" t="s">
        <v>63</v>
      </c>
      <c r="I382" t="s">
        <v>64</v>
      </c>
      <c r="J382" t="s">
        <v>65</v>
      </c>
      <c r="K382" t="s">
        <v>41</v>
      </c>
      <c r="L382" t="s">
        <v>158</v>
      </c>
      <c r="M382" t="s">
        <v>1254</v>
      </c>
      <c r="N382" t="s">
        <v>44</v>
      </c>
      <c r="O382">
        <v>5</v>
      </c>
      <c r="P382">
        <v>2235.85</v>
      </c>
      <c r="Q382" s="6">
        <v>0.25</v>
      </c>
      <c r="R382" s="8">
        <f t="shared" si="20"/>
        <v>0.25</v>
      </c>
      <c r="S382">
        <v>8384.44</v>
      </c>
      <c r="T382">
        <v>4765.96</v>
      </c>
      <c r="U382">
        <v>3618.48</v>
      </c>
      <c r="V382" t="s">
        <v>32</v>
      </c>
      <c r="W382" t="s">
        <v>103</v>
      </c>
      <c r="X382" t="str">
        <f t="shared" si="23"/>
        <v/>
      </c>
      <c r="Y382" t="str">
        <f t="shared" si="21"/>
        <v>Exclude</v>
      </c>
    </row>
    <row r="383" spans="1:25">
      <c r="A383" t="s">
        <v>1255</v>
      </c>
      <c r="B383" s="3">
        <v>45919</v>
      </c>
      <c r="C383" s="3">
        <v>45923</v>
      </c>
      <c r="D383" s="6">
        <f t="shared" si="22"/>
        <v>4</v>
      </c>
      <c r="E383" t="s">
        <v>1256</v>
      </c>
      <c r="F383" t="s">
        <v>53</v>
      </c>
      <c r="G383" s="5" t="s">
        <v>95</v>
      </c>
      <c r="H383" t="s">
        <v>25</v>
      </c>
      <c r="I383" t="s">
        <v>351</v>
      </c>
      <c r="J383" t="s">
        <v>352</v>
      </c>
      <c r="K383" t="s">
        <v>28</v>
      </c>
      <c r="L383" t="s">
        <v>153</v>
      </c>
      <c r="M383" t="s">
        <v>1257</v>
      </c>
      <c r="N383" t="s">
        <v>59</v>
      </c>
      <c r="O383">
        <v>4</v>
      </c>
      <c r="P383">
        <v>4387.1499999999996</v>
      </c>
      <c r="Q383" s="6">
        <v>0.05</v>
      </c>
      <c r="R383" s="8">
        <f t="shared" si="20"/>
        <v>0.05</v>
      </c>
      <c r="S383">
        <v>16671.169999999998</v>
      </c>
      <c r="T383">
        <v>10833.19</v>
      </c>
      <c r="U383">
        <v>5837.98</v>
      </c>
      <c r="V383" t="s">
        <v>155</v>
      </c>
      <c r="W383" t="s">
        <v>68</v>
      </c>
      <c r="X383" t="str">
        <f t="shared" si="23"/>
        <v>EXCLUDE: Cancelled order; EXCLUDE: Failed payment</v>
      </c>
      <c r="Y383" t="str">
        <f t="shared" si="21"/>
        <v>Exclude</v>
      </c>
    </row>
    <row r="384" spans="1:25">
      <c r="A384" t="s">
        <v>1258</v>
      </c>
      <c r="B384" s="3">
        <v>45720</v>
      </c>
      <c r="C384" s="3">
        <v>45872</v>
      </c>
      <c r="D384" s="6">
        <f t="shared" si="22"/>
        <v>152</v>
      </c>
      <c r="E384" t="s">
        <v>157</v>
      </c>
      <c r="F384" t="s">
        <v>53</v>
      </c>
      <c r="G384" s="5" t="s">
        <v>37</v>
      </c>
      <c r="H384" t="s">
        <v>38</v>
      </c>
      <c r="I384" t="s">
        <v>145</v>
      </c>
      <c r="J384" t="s">
        <v>146</v>
      </c>
      <c r="K384" t="s">
        <v>1259</v>
      </c>
      <c r="L384" t="s">
        <v>171</v>
      </c>
      <c r="M384" t="s">
        <v>1260</v>
      </c>
      <c r="N384" t="s">
        <v>50</v>
      </c>
      <c r="O384">
        <v>3</v>
      </c>
      <c r="P384">
        <v>4361.8500000000004</v>
      </c>
      <c r="Q384" s="6">
        <v>0.2</v>
      </c>
      <c r="R384" s="8">
        <f t="shared" si="20"/>
        <v>0.2</v>
      </c>
      <c r="S384">
        <v>10468.44</v>
      </c>
      <c r="T384">
        <v>8399.8700000000008</v>
      </c>
      <c r="U384">
        <v>2068.5700000000002</v>
      </c>
      <c r="V384" t="s">
        <v>32</v>
      </c>
      <c r="W384" t="s">
        <v>33</v>
      </c>
      <c r="X384" t="str">
        <f t="shared" si="23"/>
        <v/>
      </c>
      <c r="Y384" t="str">
        <f t="shared" si="21"/>
        <v>Exclude</v>
      </c>
    </row>
    <row r="385" spans="1:25">
      <c r="A385" t="s">
        <v>1261</v>
      </c>
      <c r="B385" s="3">
        <v>45836</v>
      </c>
      <c r="C385" s="3">
        <v>45784</v>
      </c>
      <c r="D385" s="6">
        <f t="shared" si="22"/>
        <v>-52</v>
      </c>
      <c r="E385" t="s">
        <v>1262</v>
      </c>
      <c r="F385" t="s">
        <v>71</v>
      </c>
      <c r="G385" s="5" t="s">
        <v>90</v>
      </c>
      <c r="H385" t="s">
        <v>38</v>
      </c>
      <c r="I385" t="s">
        <v>99</v>
      </c>
      <c r="J385" t="s">
        <v>100</v>
      </c>
      <c r="K385" t="s">
        <v>28</v>
      </c>
      <c r="L385" t="s">
        <v>48</v>
      </c>
      <c r="M385" t="s">
        <v>1263</v>
      </c>
      <c r="N385" t="s">
        <v>50</v>
      </c>
      <c r="O385">
        <v>2</v>
      </c>
      <c r="P385">
        <v>2242.75</v>
      </c>
      <c r="Q385" s="6">
        <v>0</v>
      </c>
      <c r="R385" s="8">
        <f t="shared" si="20"/>
        <v>0</v>
      </c>
      <c r="S385">
        <v>4485.5</v>
      </c>
      <c r="T385">
        <v>3131.86</v>
      </c>
      <c r="U385">
        <v>1353.64</v>
      </c>
      <c r="V385" t="s">
        <v>32</v>
      </c>
      <c r="W385" t="s">
        <v>68</v>
      </c>
      <c r="X385" t="str">
        <f t="shared" si="23"/>
        <v>INVALID: Ship date before order date; EXCLUDE: Cancelled order</v>
      </c>
      <c r="Y385" t="str">
        <f t="shared" si="21"/>
        <v>Exclude</v>
      </c>
    </row>
    <row r="386" spans="1:25">
      <c r="A386" t="s">
        <v>1264</v>
      </c>
      <c r="B386" s="3">
        <v>45366</v>
      </c>
      <c r="C386" s="3">
        <v>45371</v>
      </c>
      <c r="D386" s="6">
        <f t="shared" si="22"/>
        <v>5</v>
      </c>
      <c r="E386" t="s">
        <v>1265</v>
      </c>
      <c r="F386" t="s">
        <v>141</v>
      </c>
      <c r="G386" s="5" t="s">
        <v>24</v>
      </c>
      <c r="H386" t="s">
        <v>38</v>
      </c>
      <c r="I386" t="s">
        <v>229</v>
      </c>
      <c r="J386" t="s">
        <v>230</v>
      </c>
      <c r="K386" t="s">
        <v>74</v>
      </c>
      <c r="L386" t="s">
        <v>80</v>
      </c>
      <c r="M386" t="s">
        <v>1266</v>
      </c>
      <c r="N386" t="s">
        <v>59</v>
      </c>
      <c r="O386">
        <v>2</v>
      </c>
      <c r="P386">
        <v>1881.4</v>
      </c>
      <c r="Q386" s="6">
        <v>0.25</v>
      </c>
      <c r="R386" s="8">
        <f t="shared" ref="R386:R449" si="24">IF(ISBLANK(Q386),IF(AND(ISNUMBER(O386),O386&gt;0,ISNUMBER(P386),ISNUMBER(S386),ISNUMBER(T386),ISNUMBER(U386)),0,""),Q386)</f>
        <v>0.25</v>
      </c>
      <c r="S386">
        <v>2822.1</v>
      </c>
      <c r="T386">
        <v>1624.57</v>
      </c>
      <c r="U386">
        <v>1197.53</v>
      </c>
      <c r="V386" t="s">
        <v>32</v>
      </c>
      <c r="W386" t="s">
        <v>103</v>
      </c>
      <c r="X386" t="str">
        <f t="shared" si="23"/>
        <v/>
      </c>
      <c r="Y386" t="str">
        <f t="shared" ref="Y386:Y449" si="25">IF(AND(U386="Completed",T386="Paid",ISERROR(SEARCH("INVALID",W386))),"Include","Exclude")</f>
        <v>Exclude</v>
      </c>
    </row>
    <row r="387" spans="1:25">
      <c r="A387" t="s">
        <v>1267</v>
      </c>
      <c r="B387" s="3">
        <v>45832</v>
      </c>
      <c r="C387" s="3">
        <v>45838</v>
      </c>
      <c r="D387" s="6">
        <f t="shared" ref="D387:D450" si="26">IF(OR(B387="",C387=""),"",C387-B387)</f>
        <v>6</v>
      </c>
      <c r="E387" t="s">
        <v>1268</v>
      </c>
      <c r="F387" t="s">
        <v>53</v>
      </c>
      <c r="G387" s="5" t="s">
        <v>24</v>
      </c>
      <c r="H387" t="s">
        <v>25</v>
      </c>
      <c r="I387" t="s">
        <v>237</v>
      </c>
      <c r="J387" t="s">
        <v>238</v>
      </c>
      <c r="K387" t="s">
        <v>28</v>
      </c>
      <c r="L387" t="s">
        <v>91</v>
      </c>
      <c r="M387" t="s">
        <v>1269</v>
      </c>
      <c r="N387" t="s">
        <v>59</v>
      </c>
      <c r="O387">
        <v>6</v>
      </c>
      <c r="P387">
        <v>365.76</v>
      </c>
      <c r="Q387" s="6">
        <v>0.1</v>
      </c>
      <c r="R387" s="8">
        <f t="shared" si="24"/>
        <v>0.1</v>
      </c>
      <c r="S387">
        <v>1975.1</v>
      </c>
      <c r="T387">
        <v>1115.3499999999999</v>
      </c>
      <c r="U387">
        <v>859.75</v>
      </c>
      <c r="V387" t="s">
        <v>32</v>
      </c>
      <c r="W387" t="s">
        <v>33</v>
      </c>
      <c r="X387" t="str">
        <f t="shared" ref="X387:X450" si="27">_xlfn.TEXTJOIN("; ",TRUE,IF(R387&lt;0,"INVALID: Negative discount",""),IF(R387&gt;50%,"INVALID: Discount above range",""),IF(D387&lt;0,"INVALID: Ship date before order date",""),IF(W387="Cancelled","EXCLUDE: Cancelled order",""),IF(V387="Failed","EXCLUDE: Failed payment",""),IF(V387="Refunded","REFUND: Summarize separately",""))</f>
        <v/>
      </c>
      <c r="Y387" t="str">
        <f t="shared" si="25"/>
        <v>Exclude</v>
      </c>
    </row>
    <row r="388" spans="1:25">
      <c r="A388" t="s">
        <v>1270</v>
      </c>
      <c r="B388" s="3">
        <v>45993</v>
      </c>
      <c r="C388" s="3">
        <v>45702</v>
      </c>
      <c r="D388" s="6">
        <f t="shared" si="26"/>
        <v>-291</v>
      </c>
      <c r="E388" t="s">
        <v>1271</v>
      </c>
      <c r="F388" t="s">
        <v>132</v>
      </c>
      <c r="G388" s="5" t="s">
        <v>24</v>
      </c>
      <c r="H388" t="s">
        <v>63</v>
      </c>
      <c r="I388" t="s">
        <v>64</v>
      </c>
      <c r="J388" t="s">
        <v>65</v>
      </c>
      <c r="K388" t="s">
        <v>41</v>
      </c>
      <c r="L388" t="s">
        <v>57</v>
      </c>
      <c r="M388" t="s">
        <v>1272</v>
      </c>
      <c r="N388" t="s">
        <v>31</v>
      </c>
      <c r="O388">
        <v>8</v>
      </c>
      <c r="P388">
        <v>2786.66</v>
      </c>
      <c r="Q388" s="6">
        <v>0.1</v>
      </c>
      <c r="R388" s="8">
        <f t="shared" si="24"/>
        <v>0.1</v>
      </c>
      <c r="S388">
        <v>20063.95</v>
      </c>
      <c r="T388">
        <v>14363.38</v>
      </c>
      <c r="U388">
        <v>5700.57</v>
      </c>
      <c r="V388" t="s">
        <v>32</v>
      </c>
      <c r="W388" t="s">
        <v>33</v>
      </c>
      <c r="X388" t="str">
        <f t="shared" si="27"/>
        <v>INVALID: Ship date before order date</v>
      </c>
      <c r="Y388" t="str">
        <f t="shared" si="25"/>
        <v>Exclude</v>
      </c>
    </row>
    <row r="389" spans="1:25">
      <c r="A389" t="s">
        <v>1273</v>
      </c>
      <c r="B389" s="3">
        <v>45879</v>
      </c>
      <c r="C389" s="3">
        <v>45882</v>
      </c>
      <c r="D389" s="6">
        <f t="shared" si="26"/>
        <v>3</v>
      </c>
      <c r="E389" t="s">
        <v>1274</v>
      </c>
      <c r="F389" t="s">
        <v>114</v>
      </c>
      <c r="G389" s="5" t="s">
        <v>37</v>
      </c>
      <c r="H389" t="s">
        <v>63</v>
      </c>
      <c r="I389" t="s">
        <v>72</v>
      </c>
      <c r="J389" t="s">
        <v>73</v>
      </c>
      <c r="K389" t="s">
        <v>41</v>
      </c>
      <c r="L389" t="s">
        <v>66</v>
      </c>
      <c r="M389" t="s">
        <v>1275</v>
      </c>
      <c r="N389" t="s">
        <v>59</v>
      </c>
      <c r="O389">
        <v>5</v>
      </c>
      <c r="P389">
        <v>352.86</v>
      </c>
      <c r="Q389" s="6">
        <v>0</v>
      </c>
      <c r="R389" s="8">
        <f t="shared" si="24"/>
        <v>0</v>
      </c>
      <c r="S389">
        <v>1764.3</v>
      </c>
      <c r="T389">
        <v>1332.49</v>
      </c>
      <c r="U389">
        <v>431.81</v>
      </c>
      <c r="V389" t="s">
        <v>111</v>
      </c>
      <c r="W389" t="s">
        <v>68</v>
      </c>
      <c r="X389" t="str">
        <f t="shared" si="27"/>
        <v>EXCLUDE: Cancelled order</v>
      </c>
      <c r="Y389" t="str">
        <f t="shared" si="25"/>
        <v>Exclude</v>
      </c>
    </row>
    <row r="390" spans="1:25">
      <c r="A390" t="s">
        <v>1276</v>
      </c>
      <c r="B390" s="3">
        <v>45425</v>
      </c>
      <c r="C390" s="3">
        <v>45430</v>
      </c>
      <c r="D390" s="6">
        <f t="shared" si="26"/>
        <v>5</v>
      </c>
      <c r="E390" t="s">
        <v>1277</v>
      </c>
      <c r="F390" t="s">
        <v>47</v>
      </c>
      <c r="G390" s="5" t="s">
        <v>37</v>
      </c>
      <c r="H390" t="s">
        <v>63</v>
      </c>
      <c r="I390" t="s">
        <v>180</v>
      </c>
      <c r="J390" t="s">
        <v>181</v>
      </c>
      <c r="K390" t="s">
        <v>41</v>
      </c>
      <c r="L390" t="s">
        <v>66</v>
      </c>
      <c r="M390" t="s">
        <v>1278</v>
      </c>
      <c r="N390" t="s">
        <v>59</v>
      </c>
      <c r="O390">
        <v>3</v>
      </c>
      <c r="P390">
        <v>3128.59</v>
      </c>
      <c r="Q390" s="6">
        <v>0</v>
      </c>
      <c r="R390" s="8">
        <f t="shared" si="24"/>
        <v>0</v>
      </c>
      <c r="S390">
        <v>9385.77</v>
      </c>
      <c r="T390">
        <v>6872.44</v>
      </c>
      <c r="U390">
        <v>2783.66</v>
      </c>
      <c r="V390" t="s">
        <v>32</v>
      </c>
      <c r="W390" t="s">
        <v>33</v>
      </c>
      <c r="X390" t="str">
        <f t="shared" si="27"/>
        <v/>
      </c>
      <c r="Y390" t="str">
        <f t="shared" si="25"/>
        <v>Exclude</v>
      </c>
    </row>
    <row r="391" spans="1:25">
      <c r="A391" t="s">
        <v>1279</v>
      </c>
      <c r="B391" s="3">
        <v>45387</v>
      </c>
      <c r="C391" s="3">
        <v>45395</v>
      </c>
      <c r="D391" s="6">
        <f t="shared" si="26"/>
        <v>8</v>
      </c>
      <c r="E391" t="s">
        <v>1280</v>
      </c>
      <c r="F391" t="s">
        <v>162</v>
      </c>
      <c r="G391" s="5" t="s">
        <v>90</v>
      </c>
      <c r="H391" t="s">
        <v>63</v>
      </c>
      <c r="I391" t="s">
        <v>180</v>
      </c>
      <c r="J391" t="s">
        <v>181</v>
      </c>
      <c r="K391" t="s">
        <v>74</v>
      </c>
      <c r="L391" t="s">
        <v>275</v>
      </c>
      <c r="M391" t="s">
        <v>1281</v>
      </c>
      <c r="N391" t="s">
        <v>31</v>
      </c>
      <c r="O391">
        <v>5</v>
      </c>
      <c r="P391">
        <v>1937.54</v>
      </c>
      <c r="Q391" s="6">
        <v>0.2</v>
      </c>
      <c r="R391" s="8">
        <f t="shared" si="24"/>
        <v>0.2</v>
      </c>
      <c r="S391">
        <v>7750.16</v>
      </c>
      <c r="T391">
        <v>5434.3</v>
      </c>
      <c r="U391">
        <v>2315.86</v>
      </c>
      <c r="V391" t="s">
        <v>111</v>
      </c>
      <c r="W391" t="s">
        <v>68</v>
      </c>
      <c r="X391" t="str">
        <f t="shared" si="27"/>
        <v>EXCLUDE: Cancelled order</v>
      </c>
      <c r="Y391" t="str">
        <f t="shared" si="25"/>
        <v>Exclude</v>
      </c>
    </row>
    <row r="392" spans="1:25">
      <c r="A392" t="s">
        <v>1282</v>
      </c>
      <c r="B392" s="3">
        <v>45602</v>
      </c>
      <c r="C392" s="3">
        <v>45607</v>
      </c>
      <c r="D392" s="6">
        <f t="shared" si="26"/>
        <v>5</v>
      </c>
      <c r="E392" t="s">
        <v>1283</v>
      </c>
      <c r="F392" t="s">
        <v>47</v>
      </c>
      <c r="G392" s="5" t="s">
        <v>24</v>
      </c>
      <c r="H392" t="s">
        <v>63</v>
      </c>
      <c r="I392" t="s">
        <v>180</v>
      </c>
      <c r="J392" t="s">
        <v>181</v>
      </c>
      <c r="K392" t="s">
        <v>41</v>
      </c>
      <c r="L392" t="s">
        <v>57</v>
      </c>
      <c r="M392" t="s">
        <v>1284</v>
      </c>
      <c r="N392" t="s">
        <v>59</v>
      </c>
      <c r="O392">
        <v>4</v>
      </c>
      <c r="P392">
        <v>1917.26</v>
      </c>
      <c r="Q392" s="6">
        <v>0.2</v>
      </c>
      <c r="R392" s="8">
        <f t="shared" si="24"/>
        <v>0.2</v>
      </c>
      <c r="S392">
        <v>6135.23</v>
      </c>
      <c r="T392">
        <v>3439.79</v>
      </c>
      <c r="U392">
        <v>2695.44</v>
      </c>
      <c r="V392" t="s">
        <v>32</v>
      </c>
      <c r="W392" t="s">
        <v>33</v>
      </c>
      <c r="X392" t="str">
        <f t="shared" si="27"/>
        <v/>
      </c>
      <c r="Y392" t="str">
        <f t="shared" si="25"/>
        <v>Exclude</v>
      </c>
    </row>
    <row r="393" spans="1:25">
      <c r="A393" t="s">
        <v>1285</v>
      </c>
      <c r="B393" s="3">
        <v>45702</v>
      </c>
      <c r="C393" s="3">
        <v>45702</v>
      </c>
      <c r="D393" s="6">
        <f t="shared" si="26"/>
        <v>0</v>
      </c>
      <c r="E393" t="s">
        <v>1286</v>
      </c>
      <c r="F393" t="s">
        <v>162</v>
      </c>
      <c r="G393" s="5" t="s">
        <v>24</v>
      </c>
      <c r="H393" t="s">
        <v>54</v>
      </c>
      <c r="I393" t="s">
        <v>175</v>
      </c>
      <c r="J393" t="s">
        <v>176</v>
      </c>
      <c r="K393" t="s">
        <v>28</v>
      </c>
      <c r="L393" t="s">
        <v>124</v>
      </c>
      <c r="M393" t="s">
        <v>1287</v>
      </c>
      <c r="N393" t="s">
        <v>50</v>
      </c>
      <c r="O393">
        <v>1</v>
      </c>
      <c r="P393">
        <v>714.43</v>
      </c>
      <c r="Q393" s="6">
        <v>0</v>
      </c>
      <c r="R393" s="8">
        <f t="shared" si="24"/>
        <v>0</v>
      </c>
      <c r="S393">
        <v>714.43</v>
      </c>
      <c r="T393">
        <v>565.44000000000005</v>
      </c>
      <c r="U393">
        <v>148.99</v>
      </c>
      <c r="V393" t="s">
        <v>32</v>
      </c>
      <c r="W393" t="s">
        <v>33</v>
      </c>
      <c r="X393" t="str">
        <f t="shared" si="27"/>
        <v/>
      </c>
      <c r="Y393" t="str">
        <f t="shared" si="25"/>
        <v>Exclude</v>
      </c>
    </row>
    <row r="394" spans="1:25">
      <c r="A394" t="s">
        <v>1288</v>
      </c>
      <c r="B394" s="3">
        <v>45341</v>
      </c>
      <c r="C394" s="3">
        <v>45344</v>
      </c>
      <c r="D394" s="6">
        <f t="shared" si="26"/>
        <v>3</v>
      </c>
      <c r="E394" t="s">
        <v>1289</v>
      </c>
      <c r="F394" t="s">
        <v>89</v>
      </c>
      <c r="G394" s="5" t="s">
        <v>37</v>
      </c>
      <c r="H394" t="s">
        <v>54</v>
      </c>
      <c r="I394" t="s">
        <v>185</v>
      </c>
      <c r="J394" t="s">
        <v>186</v>
      </c>
      <c r="K394" t="s">
        <v>41</v>
      </c>
      <c r="L394" t="s">
        <v>57</v>
      </c>
      <c r="M394" t="s">
        <v>1290</v>
      </c>
      <c r="N394" t="s">
        <v>44</v>
      </c>
      <c r="O394">
        <v>9</v>
      </c>
      <c r="P394">
        <v>4053.01</v>
      </c>
      <c r="Q394" s="6">
        <v>0</v>
      </c>
      <c r="R394" s="8">
        <f t="shared" si="24"/>
        <v>0</v>
      </c>
      <c r="S394">
        <v>36477.089999999997</v>
      </c>
      <c r="T394">
        <v>24525.48</v>
      </c>
      <c r="U394">
        <v>11951.61</v>
      </c>
      <c r="V394" t="s">
        <v>32</v>
      </c>
      <c r="W394" t="s">
        <v>33</v>
      </c>
      <c r="X394" t="str">
        <f t="shared" si="27"/>
        <v/>
      </c>
      <c r="Y394" t="str">
        <f t="shared" si="25"/>
        <v>Exclude</v>
      </c>
    </row>
    <row r="395" spans="1:25">
      <c r="A395" t="s">
        <v>1291</v>
      </c>
      <c r="B395" s="3">
        <v>45527</v>
      </c>
      <c r="C395" s="3">
        <v>45533</v>
      </c>
      <c r="D395" s="6">
        <f t="shared" si="26"/>
        <v>6</v>
      </c>
      <c r="E395" t="s">
        <v>1292</v>
      </c>
      <c r="F395" t="s">
        <v>36</v>
      </c>
      <c r="G395" s="5" t="s">
        <v>90</v>
      </c>
      <c r="H395" t="s">
        <v>25</v>
      </c>
      <c r="I395" t="s">
        <v>136</v>
      </c>
      <c r="J395" t="s">
        <v>137</v>
      </c>
      <c r="K395" t="s">
        <v>28</v>
      </c>
      <c r="L395" t="s">
        <v>91</v>
      </c>
      <c r="M395" t="s">
        <v>1293</v>
      </c>
      <c r="N395" t="s">
        <v>44</v>
      </c>
      <c r="O395">
        <v>2</v>
      </c>
      <c r="P395">
        <v>1936.91</v>
      </c>
      <c r="Q395" s="6">
        <v>0.05</v>
      </c>
      <c r="R395" s="8">
        <f t="shared" si="24"/>
        <v>0.05</v>
      </c>
      <c r="S395">
        <v>3680.13</v>
      </c>
      <c r="T395">
        <v>2967.46</v>
      </c>
      <c r="U395">
        <v>712.67</v>
      </c>
      <c r="V395" t="s">
        <v>32</v>
      </c>
      <c r="W395" t="s">
        <v>33</v>
      </c>
      <c r="X395" t="str">
        <f t="shared" si="27"/>
        <v/>
      </c>
      <c r="Y395" t="str">
        <f t="shared" si="25"/>
        <v>Exclude</v>
      </c>
    </row>
    <row r="396" spans="1:25">
      <c r="A396" t="s">
        <v>1294</v>
      </c>
      <c r="B396" s="3">
        <v>45385</v>
      </c>
      <c r="C396" s="3">
        <v>45386</v>
      </c>
      <c r="D396" s="6">
        <f t="shared" si="26"/>
        <v>1</v>
      </c>
      <c r="E396" t="s">
        <v>1295</v>
      </c>
      <c r="F396" t="s">
        <v>265</v>
      </c>
      <c r="G396" s="5" t="s">
        <v>24</v>
      </c>
      <c r="H396" t="s">
        <v>63</v>
      </c>
      <c r="I396" t="s">
        <v>64</v>
      </c>
      <c r="J396" t="s">
        <v>65</v>
      </c>
      <c r="K396" t="s">
        <v>41</v>
      </c>
      <c r="L396" t="s">
        <v>57</v>
      </c>
      <c r="M396" t="s">
        <v>1296</v>
      </c>
      <c r="N396" t="s">
        <v>50</v>
      </c>
      <c r="O396">
        <v>7</v>
      </c>
      <c r="P396">
        <v>3945.21</v>
      </c>
      <c r="Q396" s="6">
        <v>0</v>
      </c>
      <c r="R396" s="8">
        <f t="shared" si="24"/>
        <v>0</v>
      </c>
      <c r="S396">
        <v>27616.47</v>
      </c>
      <c r="T396">
        <v>21225.26</v>
      </c>
      <c r="U396">
        <v>6391.21</v>
      </c>
      <c r="V396" t="s">
        <v>32</v>
      </c>
      <c r="W396" t="s">
        <v>33</v>
      </c>
      <c r="X396" t="str">
        <f t="shared" si="27"/>
        <v/>
      </c>
      <c r="Y396" t="str">
        <f t="shared" si="25"/>
        <v>Exclude</v>
      </c>
    </row>
    <row r="397" spans="1:25">
      <c r="A397" t="s">
        <v>1297</v>
      </c>
      <c r="B397" s="3">
        <v>45449</v>
      </c>
      <c r="C397" s="3">
        <v>45479</v>
      </c>
      <c r="D397" s="6">
        <f t="shared" si="26"/>
        <v>30</v>
      </c>
      <c r="E397" t="s">
        <v>1298</v>
      </c>
      <c r="F397" t="s">
        <v>118</v>
      </c>
      <c r="G397" s="5" t="s">
        <v>95</v>
      </c>
      <c r="H397" t="s">
        <v>54</v>
      </c>
      <c r="I397" t="s">
        <v>248</v>
      </c>
      <c r="J397" t="s">
        <v>249</v>
      </c>
      <c r="K397" t="s">
        <v>41</v>
      </c>
      <c r="L397" t="s">
        <v>42</v>
      </c>
      <c r="M397" t="s">
        <v>1299</v>
      </c>
      <c r="N397" t="s">
        <v>44</v>
      </c>
      <c r="O397">
        <v>7</v>
      </c>
      <c r="P397">
        <v>861.91</v>
      </c>
      <c r="Q397" s="6">
        <v>0.05</v>
      </c>
      <c r="R397" s="8">
        <f t="shared" si="24"/>
        <v>0.05</v>
      </c>
      <c r="S397">
        <v>5731.7</v>
      </c>
      <c r="T397">
        <v>4115.5600000000004</v>
      </c>
      <c r="U397">
        <v>1616.14</v>
      </c>
      <c r="V397" t="s">
        <v>32</v>
      </c>
      <c r="W397" t="s">
        <v>33</v>
      </c>
      <c r="X397" t="str">
        <f t="shared" si="27"/>
        <v/>
      </c>
      <c r="Y397" t="str">
        <f t="shared" si="25"/>
        <v>Exclude</v>
      </c>
    </row>
    <row r="398" spans="1:25">
      <c r="A398" t="s">
        <v>1300</v>
      </c>
      <c r="B398" s="3">
        <v>45761</v>
      </c>
      <c r="C398" s="3">
        <v>45769</v>
      </c>
      <c r="D398" s="6">
        <f t="shared" si="26"/>
        <v>8</v>
      </c>
      <c r="E398" t="s">
        <v>1301</v>
      </c>
      <c r="F398" t="s">
        <v>89</v>
      </c>
      <c r="G398" s="5" t="s">
        <v>37</v>
      </c>
      <c r="H398" t="s">
        <v>54</v>
      </c>
      <c r="I398" t="s">
        <v>175</v>
      </c>
      <c r="J398" t="s">
        <v>176</v>
      </c>
      <c r="K398" t="s">
        <v>74</v>
      </c>
      <c r="L398" t="s">
        <v>275</v>
      </c>
      <c r="M398" t="s">
        <v>1302</v>
      </c>
      <c r="N398" t="s">
        <v>59</v>
      </c>
      <c r="O398">
        <v>2</v>
      </c>
      <c r="P398">
        <v>638.73</v>
      </c>
      <c r="Q398" s="6">
        <v>0.05</v>
      </c>
      <c r="R398" s="8">
        <f t="shared" si="24"/>
        <v>0.05</v>
      </c>
      <c r="S398">
        <v>1213.5899999999999</v>
      </c>
      <c r="T398">
        <v>956.22</v>
      </c>
      <c r="U398">
        <v>257.37</v>
      </c>
      <c r="V398" t="s">
        <v>32</v>
      </c>
      <c r="W398" t="s">
        <v>33</v>
      </c>
      <c r="X398" t="str">
        <f t="shared" si="27"/>
        <v/>
      </c>
      <c r="Y398" t="str">
        <f t="shared" si="25"/>
        <v>Exclude</v>
      </c>
    </row>
    <row r="399" spans="1:25">
      <c r="A399" t="s">
        <v>1303</v>
      </c>
      <c r="B399" s="3">
        <v>45817</v>
      </c>
      <c r="C399" s="3">
        <v>45936</v>
      </c>
      <c r="D399" s="6">
        <f t="shared" si="26"/>
        <v>119</v>
      </c>
      <c r="E399" t="s">
        <v>1304</v>
      </c>
      <c r="F399" t="s">
        <v>132</v>
      </c>
      <c r="G399" s="5" t="s">
        <v>37</v>
      </c>
      <c r="H399" t="s">
        <v>25</v>
      </c>
      <c r="I399" t="s">
        <v>136</v>
      </c>
      <c r="J399" t="s">
        <v>137</v>
      </c>
      <c r="K399" t="s">
        <v>41</v>
      </c>
      <c r="L399" t="s">
        <v>42</v>
      </c>
      <c r="M399" t="s">
        <v>1305</v>
      </c>
      <c r="N399" t="s">
        <v>31</v>
      </c>
      <c r="O399">
        <v>2</v>
      </c>
      <c r="P399">
        <v>1731.88</v>
      </c>
      <c r="Q399" s="6">
        <v>0</v>
      </c>
      <c r="R399" s="8">
        <f t="shared" si="24"/>
        <v>0</v>
      </c>
      <c r="S399">
        <v>3463.76</v>
      </c>
      <c r="T399">
        <v>2143.7399999999998</v>
      </c>
      <c r="U399">
        <v>1320.02</v>
      </c>
      <c r="V399" t="s">
        <v>32</v>
      </c>
      <c r="W399" t="s">
        <v>33</v>
      </c>
      <c r="X399" t="str">
        <f t="shared" si="27"/>
        <v/>
      </c>
      <c r="Y399" t="str">
        <f t="shared" si="25"/>
        <v>Exclude</v>
      </c>
    </row>
    <row r="400" spans="1:25">
      <c r="A400" t="s">
        <v>1306</v>
      </c>
      <c r="B400" s="3">
        <v>45492</v>
      </c>
      <c r="C400" s="3">
        <v>45499</v>
      </c>
      <c r="D400" s="6">
        <f t="shared" si="26"/>
        <v>7</v>
      </c>
      <c r="E400" t="s">
        <v>1307</v>
      </c>
      <c r="F400" t="s">
        <v>71</v>
      </c>
      <c r="G400" s="5" t="s">
        <v>90</v>
      </c>
      <c r="H400" t="s">
        <v>25</v>
      </c>
      <c r="I400" t="s">
        <v>122</v>
      </c>
      <c r="J400" t="s">
        <v>123</v>
      </c>
      <c r="K400" t="s">
        <v>74</v>
      </c>
      <c r="L400" t="s">
        <v>275</v>
      </c>
      <c r="M400" t="s">
        <v>1308</v>
      </c>
      <c r="N400" t="s">
        <v>44</v>
      </c>
      <c r="O400">
        <v>2</v>
      </c>
      <c r="P400">
        <v>1263.6500000000001</v>
      </c>
      <c r="Q400" s="6">
        <v>0.2</v>
      </c>
      <c r="R400" s="8">
        <f t="shared" si="24"/>
        <v>0.2</v>
      </c>
      <c r="S400">
        <v>2021.84</v>
      </c>
      <c r="T400">
        <v>1355.22</v>
      </c>
      <c r="U400">
        <v>666.62</v>
      </c>
      <c r="V400" t="s">
        <v>32</v>
      </c>
      <c r="W400" t="s">
        <v>33</v>
      </c>
      <c r="X400" t="str">
        <f t="shared" si="27"/>
        <v/>
      </c>
      <c r="Y400" t="str">
        <f t="shared" si="25"/>
        <v>Exclude</v>
      </c>
    </row>
    <row r="401" spans="1:25">
      <c r="A401" t="s">
        <v>1309</v>
      </c>
      <c r="B401" s="3">
        <v>45771</v>
      </c>
      <c r="C401" s="3">
        <v>45776</v>
      </c>
      <c r="D401" s="6">
        <f t="shared" si="26"/>
        <v>5</v>
      </c>
      <c r="E401" t="s">
        <v>1310</v>
      </c>
      <c r="F401" t="s">
        <v>162</v>
      </c>
      <c r="G401" s="5" t="s">
        <v>37</v>
      </c>
      <c r="H401" t="s">
        <v>54</v>
      </c>
      <c r="I401" t="s">
        <v>84</v>
      </c>
      <c r="J401" t="s">
        <v>85</v>
      </c>
      <c r="K401" t="s">
        <v>28</v>
      </c>
      <c r="L401" t="s">
        <v>29</v>
      </c>
      <c r="M401" t="s">
        <v>1311</v>
      </c>
      <c r="N401" t="s">
        <v>44</v>
      </c>
      <c r="O401">
        <v>1</v>
      </c>
      <c r="P401">
        <v>4358.5</v>
      </c>
      <c r="Q401" s="6">
        <v>0.25</v>
      </c>
      <c r="R401" s="8">
        <f t="shared" si="24"/>
        <v>0.25</v>
      </c>
      <c r="S401">
        <v>3268.88</v>
      </c>
      <c r="T401">
        <v>1993.74</v>
      </c>
      <c r="U401">
        <v>1275.1400000000001</v>
      </c>
      <c r="V401" t="s">
        <v>32</v>
      </c>
      <c r="W401" t="s">
        <v>33</v>
      </c>
      <c r="X401" t="str">
        <f t="shared" si="27"/>
        <v/>
      </c>
      <c r="Y401" t="str">
        <f t="shared" si="25"/>
        <v>Exclude</v>
      </c>
    </row>
    <row r="402" spans="1:25">
      <c r="A402" t="s">
        <v>1312</v>
      </c>
      <c r="B402" s="3">
        <v>45814</v>
      </c>
      <c r="C402" s="3">
        <v>45967</v>
      </c>
      <c r="D402" s="6">
        <f t="shared" si="26"/>
        <v>153</v>
      </c>
      <c r="E402" t="s">
        <v>1313</v>
      </c>
      <c r="F402" t="s">
        <v>132</v>
      </c>
      <c r="G402" s="5" t="s">
        <v>37</v>
      </c>
      <c r="H402" t="s">
        <v>25</v>
      </c>
      <c r="I402" t="s">
        <v>136</v>
      </c>
      <c r="J402" t="s">
        <v>137</v>
      </c>
      <c r="K402" t="s">
        <v>28</v>
      </c>
      <c r="L402" t="s">
        <v>29</v>
      </c>
      <c r="M402" t="s">
        <v>1314</v>
      </c>
      <c r="N402" t="s">
        <v>44</v>
      </c>
      <c r="O402">
        <v>7</v>
      </c>
      <c r="P402">
        <v>878.09</v>
      </c>
      <c r="Q402" s="6">
        <v>-0.1</v>
      </c>
      <c r="R402" s="8">
        <f t="shared" si="24"/>
        <v>-0.1</v>
      </c>
      <c r="S402">
        <v>5839.3</v>
      </c>
      <c r="T402">
        <v>4877.38</v>
      </c>
      <c r="U402">
        <v>961.92</v>
      </c>
      <c r="V402" t="s">
        <v>32</v>
      </c>
      <c r="W402" t="s">
        <v>33</v>
      </c>
      <c r="X402" t="str">
        <f t="shared" si="27"/>
        <v>INVALID: Negative discount</v>
      </c>
      <c r="Y402" t="str">
        <f t="shared" si="25"/>
        <v>Exclude</v>
      </c>
    </row>
    <row r="403" spans="1:25">
      <c r="A403" t="s">
        <v>1315</v>
      </c>
      <c r="B403" s="3">
        <v>45725</v>
      </c>
      <c r="C403" s="3">
        <v>45732</v>
      </c>
      <c r="D403" s="6">
        <f t="shared" si="26"/>
        <v>7</v>
      </c>
      <c r="E403" t="s">
        <v>1316</v>
      </c>
      <c r="F403" t="s">
        <v>53</v>
      </c>
      <c r="G403" s="5" t="s">
        <v>37</v>
      </c>
      <c r="H403" t="s">
        <v>38</v>
      </c>
      <c r="I403" t="s">
        <v>229</v>
      </c>
      <c r="J403" t="s">
        <v>230</v>
      </c>
      <c r="K403" t="s">
        <v>41</v>
      </c>
      <c r="L403" t="s">
        <v>42</v>
      </c>
      <c r="M403" t="s">
        <v>1317</v>
      </c>
      <c r="N403" t="s">
        <v>44</v>
      </c>
      <c r="O403">
        <v>3</v>
      </c>
      <c r="P403">
        <v>2625.85</v>
      </c>
      <c r="Q403" s="6">
        <v>0</v>
      </c>
      <c r="R403" s="8">
        <f t="shared" si="24"/>
        <v>0</v>
      </c>
      <c r="S403">
        <v>7877.55</v>
      </c>
      <c r="T403">
        <v>5562.77</v>
      </c>
      <c r="U403">
        <v>2314.7800000000002</v>
      </c>
      <c r="V403" t="s">
        <v>32</v>
      </c>
      <c r="W403" t="s">
        <v>33</v>
      </c>
      <c r="X403" t="str">
        <f t="shared" si="27"/>
        <v/>
      </c>
      <c r="Y403" t="str">
        <f t="shared" si="25"/>
        <v>Exclude</v>
      </c>
    </row>
    <row r="404" spans="1:25">
      <c r="A404" t="s">
        <v>1318</v>
      </c>
      <c r="B404" s="3">
        <v>45373</v>
      </c>
      <c r="C404" s="3">
        <v>45373</v>
      </c>
      <c r="D404" s="6">
        <f t="shared" si="26"/>
        <v>0</v>
      </c>
      <c r="E404" t="s">
        <v>1319</v>
      </c>
      <c r="F404" t="s">
        <v>114</v>
      </c>
      <c r="G404" s="5" t="s">
        <v>37</v>
      </c>
      <c r="H404" t="s">
        <v>54</v>
      </c>
      <c r="I404" t="s">
        <v>175</v>
      </c>
      <c r="J404" t="s">
        <v>176</v>
      </c>
      <c r="K404" t="s">
        <v>41</v>
      </c>
      <c r="L404" t="s">
        <v>42</v>
      </c>
      <c r="M404" t="s">
        <v>1320</v>
      </c>
      <c r="N404" t="s">
        <v>2806</v>
      </c>
      <c r="O404">
        <v>3</v>
      </c>
      <c r="P404">
        <v>1365.26</v>
      </c>
      <c r="Q404" s="6">
        <v>0</v>
      </c>
      <c r="R404" s="8">
        <f t="shared" si="24"/>
        <v>0</v>
      </c>
      <c r="S404">
        <v>4095.78</v>
      </c>
      <c r="T404">
        <v>2807.77</v>
      </c>
      <c r="U404">
        <v>1288.01</v>
      </c>
      <c r="V404" t="s">
        <v>32</v>
      </c>
      <c r="W404" t="s">
        <v>33</v>
      </c>
      <c r="X404" t="str">
        <f t="shared" si="27"/>
        <v/>
      </c>
      <c r="Y404" t="str">
        <f t="shared" si="25"/>
        <v>Exclude</v>
      </c>
    </row>
    <row r="405" spans="1:25">
      <c r="A405" t="s">
        <v>1321</v>
      </c>
      <c r="B405" s="3">
        <v>45565</v>
      </c>
      <c r="C405" s="3">
        <v>45569</v>
      </c>
      <c r="D405" s="6">
        <f t="shared" si="26"/>
        <v>4</v>
      </c>
      <c r="E405" t="s">
        <v>1322</v>
      </c>
      <c r="F405" t="s">
        <v>53</v>
      </c>
      <c r="G405" s="5" t="s">
        <v>37</v>
      </c>
      <c r="H405" t="s">
        <v>54</v>
      </c>
      <c r="I405" t="s">
        <v>185</v>
      </c>
      <c r="J405" t="s">
        <v>186</v>
      </c>
      <c r="K405" t="s">
        <v>28</v>
      </c>
      <c r="L405" t="s">
        <v>1323</v>
      </c>
      <c r="M405" t="s">
        <v>1324</v>
      </c>
      <c r="N405" t="s">
        <v>44</v>
      </c>
      <c r="O405">
        <v>5</v>
      </c>
      <c r="P405">
        <v>3512.25</v>
      </c>
      <c r="Q405" s="6">
        <v>0.05</v>
      </c>
      <c r="R405" s="8">
        <f t="shared" si="24"/>
        <v>0.05</v>
      </c>
      <c r="S405">
        <v>16683.189999999999</v>
      </c>
      <c r="T405">
        <v>10301.16</v>
      </c>
      <c r="U405">
        <v>6382.03</v>
      </c>
      <c r="V405" t="s">
        <v>32</v>
      </c>
      <c r="W405" t="s">
        <v>103</v>
      </c>
      <c r="X405" t="str">
        <f t="shared" si="27"/>
        <v/>
      </c>
      <c r="Y405" t="str">
        <f t="shared" si="25"/>
        <v>Exclude</v>
      </c>
    </row>
    <row r="406" spans="1:25">
      <c r="A406" t="s">
        <v>1325</v>
      </c>
      <c r="B406" s="3">
        <v>45318</v>
      </c>
      <c r="C406" s="3">
        <v>45353</v>
      </c>
      <c r="D406" s="6">
        <f t="shared" si="26"/>
        <v>35</v>
      </c>
      <c r="E406" t="s">
        <v>1326</v>
      </c>
      <c r="F406" t="s">
        <v>89</v>
      </c>
      <c r="G406" s="5" t="s">
        <v>90</v>
      </c>
      <c r="H406" t="s">
        <v>63</v>
      </c>
      <c r="I406" t="s">
        <v>26</v>
      </c>
      <c r="J406" t="s">
        <v>109</v>
      </c>
      <c r="K406" t="s">
        <v>41</v>
      </c>
      <c r="L406" t="s">
        <v>66</v>
      </c>
      <c r="M406" t="s">
        <v>1327</v>
      </c>
      <c r="N406" t="s">
        <v>44</v>
      </c>
      <c r="O406">
        <v>3</v>
      </c>
      <c r="P406">
        <v>359.61</v>
      </c>
      <c r="Q406" s="6">
        <v>0</v>
      </c>
      <c r="R406" s="8">
        <f t="shared" si="24"/>
        <v>0</v>
      </c>
      <c r="S406">
        <v>1078.83</v>
      </c>
      <c r="T406">
        <v>926.35</v>
      </c>
      <c r="U406">
        <v>152.47999999999999</v>
      </c>
      <c r="V406" t="s">
        <v>32</v>
      </c>
      <c r="W406" t="s">
        <v>33</v>
      </c>
      <c r="X406" t="str">
        <f t="shared" si="27"/>
        <v/>
      </c>
      <c r="Y406" t="str">
        <f t="shared" si="25"/>
        <v>Exclude</v>
      </c>
    </row>
    <row r="407" spans="1:25">
      <c r="A407" t="s">
        <v>1328</v>
      </c>
      <c r="B407" s="3">
        <v>45558</v>
      </c>
      <c r="C407" s="3">
        <v>45559</v>
      </c>
      <c r="D407" s="6">
        <f t="shared" si="26"/>
        <v>1</v>
      </c>
      <c r="E407" t="s">
        <v>1329</v>
      </c>
      <c r="F407" t="s">
        <v>89</v>
      </c>
      <c r="G407" s="5" t="s">
        <v>95</v>
      </c>
      <c r="H407" t="s">
        <v>63</v>
      </c>
      <c r="I407" t="s">
        <v>180</v>
      </c>
      <c r="J407" t="s">
        <v>181</v>
      </c>
      <c r="K407" t="s">
        <v>41</v>
      </c>
      <c r="L407" t="s">
        <v>158</v>
      </c>
      <c r="M407" t="s">
        <v>1330</v>
      </c>
      <c r="N407" t="s">
        <v>2806</v>
      </c>
      <c r="O407">
        <v>7</v>
      </c>
      <c r="P407">
        <v>3878.01</v>
      </c>
      <c r="Q407" s="6">
        <v>0.1</v>
      </c>
      <c r="R407" s="8">
        <f t="shared" si="24"/>
        <v>0.1</v>
      </c>
      <c r="S407">
        <v>24431.46</v>
      </c>
      <c r="T407">
        <v>18202.36</v>
      </c>
      <c r="U407">
        <v>6229.1</v>
      </c>
      <c r="V407" t="s">
        <v>32</v>
      </c>
      <c r="W407" t="s">
        <v>33</v>
      </c>
      <c r="X407" t="str">
        <f t="shared" si="27"/>
        <v/>
      </c>
      <c r="Y407" t="str">
        <f t="shared" si="25"/>
        <v>Exclude</v>
      </c>
    </row>
    <row r="408" spans="1:25">
      <c r="A408" t="s">
        <v>1331</v>
      </c>
      <c r="B408" s="3">
        <v>45713</v>
      </c>
      <c r="C408" s="3">
        <v>45713</v>
      </c>
      <c r="D408" s="6">
        <f t="shared" si="26"/>
        <v>0</v>
      </c>
      <c r="E408" t="s">
        <v>1332</v>
      </c>
      <c r="F408" t="s">
        <v>265</v>
      </c>
      <c r="G408" s="5" t="s">
        <v>37</v>
      </c>
      <c r="H408" t="s">
        <v>63</v>
      </c>
      <c r="I408" t="s">
        <v>190</v>
      </c>
      <c r="J408" t="s">
        <v>191</v>
      </c>
      <c r="K408" t="s">
        <v>41</v>
      </c>
      <c r="L408" t="s">
        <v>57</v>
      </c>
      <c r="M408" t="s">
        <v>1333</v>
      </c>
      <c r="N408" t="s">
        <v>59</v>
      </c>
      <c r="O408">
        <v>2</v>
      </c>
      <c r="P408">
        <v>3924.2</v>
      </c>
      <c r="Q408" s="6">
        <v>0.25</v>
      </c>
      <c r="R408" s="8">
        <f t="shared" si="24"/>
        <v>0.25</v>
      </c>
      <c r="S408">
        <v>5886.3</v>
      </c>
      <c r="T408">
        <v>3621.76</v>
      </c>
      <c r="U408">
        <v>2264.54</v>
      </c>
      <c r="V408" t="s">
        <v>111</v>
      </c>
      <c r="W408" t="s">
        <v>103</v>
      </c>
      <c r="X408" t="str">
        <f t="shared" si="27"/>
        <v/>
      </c>
      <c r="Y408" t="str">
        <f t="shared" si="25"/>
        <v>Exclude</v>
      </c>
    </row>
    <row r="409" spans="1:25">
      <c r="A409" t="s">
        <v>1334</v>
      </c>
      <c r="B409" s="3">
        <v>45424</v>
      </c>
      <c r="C409" s="3">
        <v>45425</v>
      </c>
      <c r="D409" s="6">
        <f t="shared" si="26"/>
        <v>1</v>
      </c>
      <c r="E409" t="s">
        <v>1335</v>
      </c>
      <c r="F409" t="s">
        <v>118</v>
      </c>
      <c r="G409" s="5" t="s">
        <v>90</v>
      </c>
      <c r="H409" t="s">
        <v>63</v>
      </c>
      <c r="I409" t="s">
        <v>190</v>
      </c>
      <c r="J409" t="s">
        <v>191</v>
      </c>
      <c r="K409" t="s">
        <v>28</v>
      </c>
      <c r="L409" t="s">
        <v>91</v>
      </c>
      <c r="M409" t="s">
        <v>1336</v>
      </c>
      <c r="N409" t="s">
        <v>31</v>
      </c>
      <c r="O409">
        <v>3</v>
      </c>
      <c r="P409">
        <v>2644.55</v>
      </c>
      <c r="Q409" s="6">
        <v>0</v>
      </c>
      <c r="R409" s="8">
        <f t="shared" si="24"/>
        <v>0</v>
      </c>
      <c r="S409">
        <v>7933.65</v>
      </c>
      <c r="T409">
        <v>5698.42</v>
      </c>
      <c r="U409">
        <v>2235.23</v>
      </c>
      <c r="V409" t="s">
        <v>32</v>
      </c>
      <c r="W409" t="s">
        <v>33</v>
      </c>
      <c r="X409" t="str">
        <f t="shared" si="27"/>
        <v/>
      </c>
      <c r="Y409" t="str">
        <f t="shared" si="25"/>
        <v>Exclude</v>
      </c>
    </row>
    <row r="410" spans="1:25">
      <c r="A410" t="s">
        <v>1337</v>
      </c>
      <c r="B410" s="3">
        <v>45665</v>
      </c>
      <c r="C410" s="3">
        <v>45724</v>
      </c>
      <c r="D410" s="6">
        <f t="shared" si="26"/>
        <v>59</v>
      </c>
      <c r="E410" t="s">
        <v>1338</v>
      </c>
      <c r="F410" t="s">
        <v>132</v>
      </c>
      <c r="G410" s="5" t="s">
        <v>24</v>
      </c>
      <c r="H410" t="s">
        <v>63</v>
      </c>
      <c r="I410" t="s">
        <v>64</v>
      </c>
      <c r="J410" t="s">
        <v>65</v>
      </c>
      <c r="K410" t="s">
        <v>41</v>
      </c>
      <c r="L410" t="s">
        <v>66</v>
      </c>
      <c r="M410" t="s">
        <v>1339</v>
      </c>
      <c r="N410" t="s">
        <v>50</v>
      </c>
      <c r="O410">
        <v>4</v>
      </c>
      <c r="P410">
        <v>1773.46</v>
      </c>
      <c r="Q410" s="6">
        <v>0</v>
      </c>
      <c r="R410" s="8">
        <f t="shared" si="24"/>
        <v>0</v>
      </c>
      <c r="S410">
        <v>7093.84</v>
      </c>
      <c r="T410">
        <v>4587.49</v>
      </c>
      <c r="U410">
        <v>2506.35</v>
      </c>
      <c r="V410" t="s">
        <v>155</v>
      </c>
      <c r="W410" t="s">
        <v>103</v>
      </c>
      <c r="X410" t="str">
        <f t="shared" si="27"/>
        <v>EXCLUDE: Failed payment</v>
      </c>
      <c r="Y410" t="str">
        <f t="shared" si="25"/>
        <v>Exclude</v>
      </c>
    </row>
    <row r="411" spans="1:25">
      <c r="A411" t="s">
        <v>1340</v>
      </c>
      <c r="B411" s="3">
        <v>45701</v>
      </c>
      <c r="C411" s="3">
        <v>45703</v>
      </c>
      <c r="D411" s="6">
        <f t="shared" si="26"/>
        <v>2</v>
      </c>
      <c r="E411" t="s">
        <v>1341</v>
      </c>
      <c r="F411" t="s">
        <v>23</v>
      </c>
      <c r="G411" s="5" t="s">
        <v>24</v>
      </c>
      <c r="H411" t="s">
        <v>38</v>
      </c>
      <c r="I411" t="s">
        <v>166</v>
      </c>
      <c r="J411" t="s">
        <v>167</v>
      </c>
      <c r="K411" t="s">
        <v>74</v>
      </c>
      <c r="L411" t="s">
        <v>75</v>
      </c>
      <c r="M411" t="s">
        <v>1342</v>
      </c>
      <c r="N411" t="s">
        <v>44</v>
      </c>
      <c r="O411">
        <v>1</v>
      </c>
      <c r="P411">
        <v>3025.46</v>
      </c>
      <c r="Q411" s="6">
        <v>0.25</v>
      </c>
      <c r="R411" s="8">
        <f t="shared" si="24"/>
        <v>0.25</v>
      </c>
      <c r="S411">
        <v>2269.1</v>
      </c>
      <c r="T411">
        <v>1593.59</v>
      </c>
      <c r="U411">
        <v>675.51</v>
      </c>
      <c r="V411" t="s">
        <v>102</v>
      </c>
      <c r="W411" t="s">
        <v>103</v>
      </c>
      <c r="X411" t="str">
        <f t="shared" si="27"/>
        <v>REFUND: Summarize separately</v>
      </c>
      <c r="Y411" t="str">
        <f t="shared" si="25"/>
        <v>Exclude</v>
      </c>
    </row>
    <row r="412" spans="1:25">
      <c r="A412" t="s">
        <v>1343</v>
      </c>
      <c r="B412" s="3">
        <v>45394</v>
      </c>
      <c r="C412" s="3">
        <v>45402</v>
      </c>
      <c r="D412" s="6">
        <f t="shared" si="26"/>
        <v>8</v>
      </c>
      <c r="E412" t="s">
        <v>1344</v>
      </c>
      <c r="F412" t="s">
        <v>162</v>
      </c>
      <c r="G412" s="5" t="s">
        <v>24</v>
      </c>
      <c r="H412" t="s">
        <v>63</v>
      </c>
      <c r="I412" t="s">
        <v>190</v>
      </c>
      <c r="J412" t="s">
        <v>191</v>
      </c>
      <c r="K412" t="s">
        <v>41</v>
      </c>
      <c r="L412" t="s">
        <v>42</v>
      </c>
      <c r="M412" t="s">
        <v>1345</v>
      </c>
      <c r="N412" t="s">
        <v>50</v>
      </c>
      <c r="O412">
        <v>9</v>
      </c>
      <c r="P412">
        <v>1302.6099999999999</v>
      </c>
      <c r="Q412" s="6">
        <v>0.2</v>
      </c>
      <c r="R412" s="8">
        <f t="shared" si="24"/>
        <v>0.2</v>
      </c>
      <c r="S412">
        <v>9378.7900000000009</v>
      </c>
      <c r="T412">
        <v>6774.48</v>
      </c>
      <c r="U412">
        <v>2604.31</v>
      </c>
      <c r="V412" t="s">
        <v>32</v>
      </c>
      <c r="W412" t="s">
        <v>33</v>
      </c>
      <c r="X412" t="str">
        <f t="shared" si="27"/>
        <v/>
      </c>
      <c r="Y412" t="str">
        <f t="shared" si="25"/>
        <v>Exclude</v>
      </c>
    </row>
    <row r="413" spans="1:25">
      <c r="A413" t="s">
        <v>1346</v>
      </c>
      <c r="B413" s="3">
        <v>45892</v>
      </c>
      <c r="C413" s="3">
        <v>45897</v>
      </c>
      <c r="D413" s="6">
        <f t="shared" si="26"/>
        <v>5</v>
      </c>
      <c r="E413" t="s">
        <v>1347</v>
      </c>
      <c r="F413" t="s">
        <v>53</v>
      </c>
      <c r="G413" s="5" t="s">
        <v>95</v>
      </c>
      <c r="H413" t="s">
        <v>63</v>
      </c>
      <c r="I413" t="s">
        <v>26</v>
      </c>
      <c r="J413" t="s">
        <v>109</v>
      </c>
      <c r="K413" t="s">
        <v>41</v>
      </c>
      <c r="L413" t="s">
        <v>42</v>
      </c>
      <c r="M413" t="s">
        <v>1348</v>
      </c>
      <c r="N413" t="s">
        <v>50</v>
      </c>
      <c r="O413">
        <v>1</v>
      </c>
      <c r="P413">
        <v>4167.8100000000004</v>
      </c>
      <c r="Q413" s="6">
        <v>0.2</v>
      </c>
      <c r="R413" s="8">
        <f t="shared" si="24"/>
        <v>0.2</v>
      </c>
      <c r="S413">
        <v>3334.25</v>
      </c>
      <c r="T413">
        <v>2768.77</v>
      </c>
      <c r="U413">
        <v>565.48</v>
      </c>
      <c r="V413" t="s">
        <v>155</v>
      </c>
      <c r="W413" t="s">
        <v>103</v>
      </c>
      <c r="X413" t="str">
        <f t="shared" si="27"/>
        <v>EXCLUDE: Failed payment</v>
      </c>
      <c r="Y413" t="str">
        <f t="shared" si="25"/>
        <v>Exclude</v>
      </c>
    </row>
    <row r="414" spans="1:25">
      <c r="A414" t="s">
        <v>1349</v>
      </c>
      <c r="B414" s="3">
        <v>45313</v>
      </c>
      <c r="C414" s="3">
        <v>45321</v>
      </c>
      <c r="D414" s="6">
        <f t="shared" si="26"/>
        <v>8</v>
      </c>
      <c r="E414" t="s">
        <v>1350</v>
      </c>
      <c r="F414" t="s">
        <v>47</v>
      </c>
      <c r="G414" s="5" t="s">
        <v>90</v>
      </c>
      <c r="H414" t="s">
        <v>54</v>
      </c>
      <c r="I414" t="s">
        <v>175</v>
      </c>
      <c r="J414" t="s">
        <v>176</v>
      </c>
      <c r="K414" t="s">
        <v>41</v>
      </c>
      <c r="L414" t="s">
        <v>66</v>
      </c>
      <c r="M414" t="s">
        <v>1351</v>
      </c>
      <c r="N414" t="s">
        <v>44</v>
      </c>
      <c r="O414">
        <v>1</v>
      </c>
      <c r="P414">
        <v>2111.39</v>
      </c>
      <c r="Q414" s="6">
        <v>0.25</v>
      </c>
      <c r="R414" s="8">
        <f t="shared" si="24"/>
        <v>0.25</v>
      </c>
      <c r="S414">
        <v>1583.54</v>
      </c>
      <c r="T414">
        <v>1014.19</v>
      </c>
      <c r="U414">
        <v>569.35</v>
      </c>
      <c r="V414" t="s">
        <v>32</v>
      </c>
      <c r="W414" t="s">
        <v>33</v>
      </c>
      <c r="X414" t="str">
        <f t="shared" si="27"/>
        <v/>
      </c>
      <c r="Y414" t="str">
        <f t="shared" si="25"/>
        <v>Exclude</v>
      </c>
    </row>
    <row r="415" spans="1:25">
      <c r="A415" t="s">
        <v>1352</v>
      </c>
      <c r="B415" s="3">
        <v>45882</v>
      </c>
      <c r="C415" s="3">
        <v>45886</v>
      </c>
      <c r="D415" s="6">
        <f t="shared" si="26"/>
        <v>4</v>
      </c>
      <c r="E415" t="s">
        <v>1353</v>
      </c>
      <c r="F415" t="s">
        <v>79</v>
      </c>
      <c r="G415" s="5" t="s">
        <v>95</v>
      </c>
      <c r="H415" t="s">
        <v>63</v>
      </c>
      <c r="I415" t="s">
        <v>72</v>
      </c>
      <c r="J415" t="s">
        <v>73</v>
      </c>
      <c r="K415" t="s">
        <v>74</v>
      </c>
      <c r="L415" t="s">
        <v>75</v>
      </c>
      <c r="M415" t="s">
        <v>1354</v>
      </c>
      <c r="N415" t="s">
        <v>31</v>
      </c>
      <c r="O415">
        <v>8</v>
      </c>
      <c r="P415">
        <v>1918.23</v>
      </c>
      <c r="Q415" s="6">
        <v>0</v>
      </c>
      <c r="R415" s="8">
        <f t="shared" si="24"/>
        <v>0</v>
      </c>
      <c r="S415">
        <v>15345.84</v>
      </c>
      <c r="T415">
        <v>10735.33</v>
      </c>
      <c r="U415">
        <v>4610.51</v>
      </c>
      <c r="V415" t="s">
        <v>111</v>
      </c>
      <c r="W415" t="s">
        <v>68</v>
      </c>
      <c r="X415" t="str">
        <f t="shared" si="27"/>
        <v>EXCLUDE: Cancelled order</v>
      </c>
      <c r="Y415" t="str">
        <f t="shared" si="25"/>
        <v>Exclude</v>
      </c>
    </row>
    <row r="416" spans="1:25">
      <c r="A416" t="s">
        <v>1355</v>
      </c>
      <c r="B416" s="3">
        <v>45533</v>
      </c>
      <c r="C416" s="3">
        <v>45534</v>
      </c>
      <c r="D416" s="6">
        <f t="shared" si="26"/>
        <v>1</v>
      </c>
      <c r="E416" t="s">
        <v>1356</v>
      </c>
      <c r="F416" t="s">
        <v>53</v>
      </c>
      <c r="G416" s="5" t="s">
        <v>95</v>
      </c>
      <c r="H416" t="s">
        <v>38</v>
      </c>
      <c r="I416" t="s">
        <v>166</v>
      </c>
      <c r="J416" t="s">
        <v>167</v>
      </c>
      <c r="K416" t="s">
        <v>28</v>
      </c>
      <c r="L416" t="s">
        <v>124</v>
      </c>
      <c r="M416" t="s">
        <v>1357</v>
      </c>
      <c r="N416" t="s">
        <v>50</v>
      </c>
      <c r="O416">
        <v>4</v>
      </c>
      <c r="P416">
        <v>2484.08</v>
      </c>
      <c r="Q416" s="6">
        <v>0.05</v>
      </c>
      <c r="R416" s="8">
        <f t="shared" si="24"/>
        <v>0.05</v>
      </c>
      <c r="S416">
        <v>9439.5</v>
      </c>
      <c r="T416">
        <v>5519.39</v>
      </c>
      <c r="U416">
        <v>3920.11</v>
      </c>
      <c r="V416" t="s">
        <v>32</v>
      </c>
      <c r="W416" t="s">
        <v>33</v>
      </c>
      <c r="X416" t="str">
        <f t="shared" si="27"/>
        <v/>
      </c>
      <c r="Y416" t="str">
        <f t="shared" si="25"/>
        <v>Exclude</v>
      </c>
    </row>
    <row r="417" spans="1:25">
      <c r="A417" t="s">
        <v>1358</v>
      </c>
      <c r="B417" s="3">
        <v>45316</v>
      </c>
      <c r="C417" s="3">
        <v>45318</v>
      </c>
      <c r="D417" s="6">
        <f t="shared" si="26"/>
        <v>2</v>
      </c>
      <c r="E417" t="s">
        <v>1359</v>
      </c>
      <c r="F417" t="s">
        <v>128</v>
      </c>
      <c r="G417" s="5" t="s">
        <v>90</v>
      </c>
      <c r="H417" t="s">
        <v>54</v>
      </c>
      <c r="I417" t="s">
        <v>175</v>
      </c>
      <c r="J417" t="s">
        <v>176</v>
      </c>
      <c r="K417" t="s">
        <v>28</v>
      </c>
      <c r="L417" t="s">
        <v>124</v>
      </c>
      <c r="M417" t="s">
        <v>1360</v>
      </c>
      <c r="N417" t="s">
        <v>44</v>
      </c>
      <c r="O417">
        <v>7</v>
      </c>
      <c r="P417">
        <v>1727.26</v>
      </c>
      <c r="Q417" s="6">
        <v>0.15</v>
      </c>
      <c r="R417" s="8">
        <f t="shared" si="24"/>
        <v>0.15</v>
      </c>
      <c r="S417">
        <v>10277.200000000001</v>
      </c>
      <c r="T417">
        <v>7906.5</v>
      </c>
      <c r="U417">
        <v>2370.6999999999998</v>
      </c>
      <c r="V417" t="s">
        <v>32</v>
      </c>
      <c r="W417" t="s">
        <v>103</v>
      </c>
      <c r="X417" t="str">
        <f t="shared" si="27"/>
        <v/>
      </c>
      <c r="Y417" t="str">
        <f t="shared" si="25"/>
        <v>Exclude</v>
      </c>
    </row>
    <row r="418" spans="1:25">
      <c r="A418" t="s">
        <v>1361</v>
      </c>
      <c r="B418" s="3">
        <v>45665</v>
      </c>
      <c r="C418" s="3">
        <v>45673</v>
      </c>
      <c r="D418" s="6">
        <f t="shared" si="26"/>
        <v>8</v>
      </c>
      <c r="E418" t="s">
        <v>1362</v>
      </c>
      <c r="F418" t="s">
        <v>79</v>
      </c>
      <c r="G418" s="5" t="s">
        <v>24</v>
      </c>
      <c r="H418" t="s">
        <v>54</v>
      </c>
      <c r="I418" t="s">
        <v>55</v>
      </c>
      <c r="J418" t="s">
        <v>56</v>
      </c>
      <c r="K418" t="s">
        <v>41</v>
      </c>
      <c r="L418" t="s">
        <v>57</v>
      </c>
      <c r="M418" t="s">
        <v>1363</v>
      </c>
      <c r="N418" t="s">
        <v>50</v>
      </c>
      <c r="O418">
        <v>8</v>
      </c>
      <c r="P418">
        <v>638.95000000000005</v>
      </c>
      <c r="Q418" s="6">
        <v>0.25</v>
      </c>
      <c r="R418" s="8">
        <f t="shared" si="24"/>
        <v>0.25</v>
      </c>
      <c r="S418">
        <v>3833.7</v>
      </c>
      <c r="T418">
        <v>2886.35</v>
      </c>
      <c r="U418">
        <v>947.35</v>
      </c>
      <c r="V418" t="s">
        <v>32</v>
      </c>
      <c r="W418" t="s">
        <v>33</v>
      </c>
      <c r="X418" t="str">
        <f t="shared" si="27"/>
        <v/>
      </c>
      <c r="Y418" t="str">
        <f t="shared" si="25"/>
        <v>Exclude</v>
      </c>
    </row>
    <row r="419" spans="1:25">
      <c r="A419" t="s">
        <v>1364</v>
      </c>
      <c r="B419" s="3">
        <v>45686</v>
      </c>
      <c r="C419" s="3">
        <v>45779</v>
      </c>
      <c r="D419" s="6">
        <f t="shared" si="26"/>
        <v>93</v>
      </c>
      <c r="E419" t="s">
        <v>1365</v>
      </c>
      <c r="F419" t="s">
        <v>36</v>
      </c>
      <c r="G419" s="5" t="s">
        <v>24</v>
      </c>
      <c r="H419" t="s">
        <v>63</v>
      </c>
      <c r="I419" t="s">
        <v>180</v>
      </c>
      <c r="J419" t="s">
        <v>181</v>
      </c>
      <c r="K419" t="s">
        <v>28</v>
      </c>
      <c r="L419" t="s">
        <v>48</v>
      </c>
      <c r="M419" t="s">
        <v>1366</v>
      </c>
      <c r="N419" t="s">
        <v>50</v>
      </c>
      <c r="O419">
        <v>6</v>
      </c>
      <c r="P419">
        <v>3863</v>
      </c>
      <c r="Q419" s="6">
        <v>0.2</v>
      </c>
      <c r="R419" s="8">
        <f t="shared" si="24"/>
        <v>0.2</v>
      </c>
      <c r="S419">
        <v>18542.400000000001</v>
      </c>
      <c r="T419">
        <v>11193.75</v>
      </c>
      <c r="U419">
        <v>7348.65</v>
      </c>
      <c r="V419" t="s">
        <v>32</v>
      </c>
      <c r="W419" t="s">
        <v>33</v>
      </c>
      <c r="X419" t="str">
        <f t="shared" si="27"/>
        <v/>
      </c>
      <c r="Y419" t="str">
        <f t="shared" si="25"/>
        <v>Exclude</v>
      </c>
    </row>
    <row r="420" spans="1:25">
      <c r="A420" t="s">
        <v>1367</v>
      </c>
      <c r="B420" s="3">
        <v>45546</v>
      </c>
      <c r="C420" s="3">
        <v>45613</v>
      </c>
      <c r="D420" s="6">
        <f t="shared" si="26"/>
        <v>67</v>
      </c>
      <c r="E420" t="s">
        <v>1368</v>
      </c>
      <c r="F420" t="s">
        <v>132</v>
      </c>
      <c r="G420" s="5" t="s">
        <v>90</v>
      </c>
      <c r="H420" t="s">
        <v>38</v>
      </c>
      <c r="I420" t="s">
        <v>39</v>
      </c>
      <c r="J420" t="s">
        <v>40</v>
      </c>
      <c r="K420" t="s">
        <v>74</v>
      </c>
      <c r="L420" t="s">
        <v>80</v>
      </c>
      <c r="M420" t="s">
        <v>1369</v>
      </c>
      <c r="N420" t="s">
        <v>59</v>
      </c>
      <c r="O420">
        <v>6</v>
      </c>
      <c r="P420">
        <v>3660.4</v>
      </c>
      <c r="Q420" s="6">
        <v>0</v>
      </c>
      <c r="R420" s="8">
        <f t="shared" si="24"/>
        <v>0</v>
      </c>
      <c r="S420">
        <v>21962.400000000001</v>
      </c>
      <c r="T420">
        <v>15331.99</v>
      </c>
      <c r="U420">
        <v>6630.41</v>
      </c>
      <c r="V420" t="s">
        <v>155</v>
      </c>
      <c r="W420" t="s">
        <v>68</v>
      </c>
      <c r="X420" t="str">
        <f t="shared" si="27"/>
        <v>EXCLUDE: Cancelled order; EXCLUDE: Failed payment</v>
      </c>
      <c r="Y420" t="str">
        <f t="shared" si="25"/>
        <v>Exclude</v>
      </c>
    </row>
    <row r="421" spans="1:25">
      <c r="A421" t="s">
        <v>1370</v>
      </c>
      <c r="B421" s="3">
        <v>45926</v>
      </c>
      <c r="C421" s="3">
        <v>45930</v>
      </c>
      <c r="D421" s="6">
        <f t="shared" si="26"/>
        <v>4</v>
      </c>
      <c r="E421" t="s">
        <v>1371</v>
      </c>
      <c r="F421" t="s">
        <v>132</v>
      </c>
      <c r="G421" s="5" t="s">
        <v>95</v>
      </c>
      <c r="H421" t="s">
        <v>25</v>
      </c>
      <c r="I421" t="s">
        <v>237</v>
      </c>
      <c r="J421" t="s">
        <v>238</v>
      </c>
      <c r="K421" t="s">
        <v>74</v>
      </c>
      <c r="L421" t="s">
        <v>171</v>
      </c>
      <c r="M421" t="s">
        <v>1372</v>
      </c>
      <c r="N421" t="s">
        <v>44</v>
      </c>
      <c r="O421">
        <v>2</v>
      </c>
      <c r="P421">
        <v>688.83</v>
      </c>
      <c r="Q421" s="6">
        <v>0.05</v>
      </c>
      <c r="R421" s="8">
        <f t="shared" si="24"/>
        <v>0.05</v>
      </c>
      <c r="S421">
        <v>1308.78</v>
      </c>
      <c r="T421">
        <v>843</v>
      </c>
      <c r="U421">
        <v>465.78</v>
      </c>
      <c r="V421" t="s">
        <v>32</v>
      </c>
      <c r="W421" t="s">
        <v>33</v>
      </c>
      <c r="X421" t="str">
        <f t="shared" si="27"/>
        <v/>
      </c>
      <c r="Y421" t="str">
        <f t="shared" si="25"/>
        <v>Exclude</v>
      </c>
    </row>
    <row r="422" spans="1:25">
      <c r="A422" t="s">
        <v>1373</v>
      </c>
      <c r="B422" s="3">
        <v>45734</v>
      </c>
      <c r="C422" s="3">
        <v>45735</v>
      </c>
      <c r="D422" s="6">
        <f t="shared" si="26"/>
        <v>1</v>
      </c>
      <c r="E422" t="s">
        <v>1374</v>
      </c>
      <c r="F422" t="s">
        <v>47</v>
      </c>
      <c r="G422" s="5" t="s">
        <v>90</v>
      </c>
      <c r="H422" t="s">
        <v>54</v>
      </c>
      <c r="I422" t="s">
        <v>248</v>
      </c>
      <c r="J422" t="s">
        <v>249</v>
      </c>
      <c r="K422" t="s">
        <v>74</v>
      </c>
      <c r="L422" t="s">
        <v>275</v>
      </c>
      <c r="M422" t="s">
        <v>1375</v>
      </c>
      <c r="N422" t="s">
        <v>59</v>
      </c>
      <c r="O422">
        <v>2</v>
      </c>
      <c r="P422">
        <v>1209.99</v>
      </c>
      <c r="Q422" s="6">
        <v>0.25</v>
      </c>
      <c r="R422" s="8">
        <f t="shared" si="24"/>
        <v>0.25</v>
      </c>
      <c r="S422">
        <v>1814.99</v>
      </c>
      <c r="T422">
        <v>1120.06</v>
      </c>
      <c r="U422">
        <v>694.93</v>
      </c>
      <c r="V422" t="s">
        <v>111</v>
      </c>
      <c r="W422" t="s">
        <v>68</v>
      </c>
      <c r="X422" t="str">
        <f t="shared" si="27"/>
        <v>EXCLUDE: Cancelled order</v>
      </c>
      <c r="Y422" t="str">
        <f t="shared" si="25"/>
        <v>Exclude</v>
      </c>
    </row>
    <row r="423" spans="1:25">
      <c r="A423" t="s">
        <v>1376</v>
      </c>
      <c r="B423" s="3">
        <v>45822</v>
      </c>
      <c r="C423" s="3">
        <v>45827</v>
      </c>
      <c r="D423" s="6">
        <f t="shared" si="26"/>
        <v>5</v>
      </c>
      <c r="E423" t="s">
        <v>1377</v>
      </c>
      <c r="F423" t="s">
        <v>141</v>
      </c>
      <c r="G423" s="5" t="s">
        <v>37</v>
      </c>
      <c r="H423" t="s">
        <v>25</v>
      </c>
      <c r="I423" t="s">
        <v>351</v>
      </c>
      <c r="J423" t="s">
        <v>352</v>
      </c>
      <c r="K423" t="s">
        <v>28</v>
      </c>
      <c r="L423" t="s">
        <v>153</v>
      </c>
      <c r="M423" t="s">
        <v>1378</v>
      </c>
      <c r="N423" t="s">
        <v>44</v>
      </c>
      <c r="O423">
        <v>3</v>
      </c>
      <c r="P423">
        <v>1037.45</v>
      </c>
      <c r="Q423" s="6">
        <v>0.2</v>
      </c>
      <c r="R423" s="8">
        <f t="shared" si="24"/>
        <v>0.2</v>
      </c>
      <c r="S423">
        <v>2489.88</v>
      </c>
      <c r="T423">
        <v>1707.52</v>
      </c>
      <c r="U423">
        <v>782.36</v>
      </c>
      <c r="V423" t="s">
        <v>111</v>
      </c>
      <c r="W423" t="s">
        <v>103</v>
      </c>
      <c r="X423" t="str">
        <f t="shared" si="27"/>
        <v/>
      </c>
      <c r="Y423" t="str">
        <f t="shared" si="25"/>
        <v>Exclude</v>
      </c>
    </row>
    <row r="424" spans="1:25">
      <c r="A424" t="s">
        <v>1379</v>
      </c>
      <c r="B424" s="3">
        <v>45725</v>
      </c>
      <c r="C424" s="3">
        <v>45817</v>
      </c>
      <c r="D424" s="6">
        <f t="shared" si="26"/>
        <v>92</v>
      </c>
      <c r="E424" t="s">
        <v>1380</v>
      </c>
      <c r="F424" t="s">
        <v>265</v>
      </c>
      <c r="G424" s="5" t="s">
        <v>24</v>
      </c>
      <c r="H424" t="s">
        <v>63</v>
      </c>
      <c r="I424" t="s">
        <v>72</v>
      </c>
      <c r="J424" t="s">
        <v>73</v>
      </c>
      <c r="K424" t="s">
        <v>74</v>
      </c>
      <c r="L424" t="s">
        <v>80</v>
      </c>
      <c r="M424" t="s">
        <v>1381</v>
      </c>
      <c r="N424" t="s">
        <v>44</v>
      </c>
      <c r="O424">
        <v>7</v>
      </c>
      <c r="P424">
        <v>688.85</v>
      </c>
      <c r="Q424" s="6">
        <v>0.15</v>
      </c>
      <c r="R424" s="8">
        <f t="shared" si="24"/>
        <v>0.15</v>
      </c>
      <c r="S424">
        <v>4098.66</v>
      </c>
      <c r="T424">
        <v>2678.06</v>
      </c>
      <c r="U424">
        <v>1420.6</v>
      </c>
      <c r="V424" t="s">
        <v>32</v>
      </c>
      <c r="W424" t="s">
        <v>33</v>
      </c>
      <c r="X424" t="str">
        <f t="shared" si="27"/>
        <v/>
      </c>
      <c r="Y424" t="str">
        <f t="shared" si="25"/>
        <v>Exclude</v>
      </c>
    </row>
    <row r="425" spans="1:25">
      <c r="A425" t="s">
        <v>1382</v>
      </c>
      <c r="B425" s="3">
        <v>45342</v>
      </c>
      <c r="C425" s="3">
        <v>45349</v>
      </c>
      <c r="D425" s="6">
        <f t="shared" si="26"/>
        <v>7</v>
      </c>
      <c r="E425" t="s">
        <v>1383</v>
      </c>
      <c r="F425" t="s">
        <v>162</v>
      </c>
      <c r="G425" s="5" t="s">
        <v>24</v>
      </c>
      <c r="H425" t="s">
        <v>54</v>
      </c>
      <c r="I425" t="s">
        <v>185</v>
      </c>
      <c r="J425" t="s">
        <v>186</v>
      </c>
      <c r="K425" t="s">
        <v>74</v>
      </c>
      <c r="L425" t="s">
        <v>75</v>
      </c>
      <c r="M425" t="s">
        <v>1384</v>
      </c>
      <c r="N425" t="s">
        <v>1385</v>
      </c>
      <c r="O425">
        <v>9</v>
      </c>
      <c r="P425">
        <v>3779.31</v>
      </c>
      <c r="Q425" s="6">
        <v>0.2</v>
      </c>
      <c r="R425" s="8">
        <f t="shared" si="24"/>
        <v>0.2</v>
      </c>
      <c r="S425">
        <v>27211.03</v>
      </c>
      <c r="T425">
        <v>17940.43</v>
      </c>
      <c r="U425">
        <v>9270.6</v>
      </c>
      <c r="V425" t="s">
        <v>32</v>
      </c>
      <c r="W425" t="s">
        <v>33</v>
      </c>
      <c r="X425" t="str">
        <f t="shared" si="27"/>
        <v/>
      </c>
      <c r="Y425" t="str">
        <f t="shared" si="25"/>
        <v>Exclude</v>
      </c>
    </row>
    <row r="426" spans="1:25">
      <c r="A426" t="s">
        <v>1386</v>
      </c>
      <c r="B426" s="3">
        <v>45469</v>
      </c>
      <c r="C426" s="3">
        <v>45472</v>
      </c>
      <c r="D426" s="6">
        <f t="shared" si="26"/>
        <v>3</v>
      </c>
      <c r="E426" t="s">
        <v>1387</v>
      </c>
      <c r="F426" t="s">
        <v>79</v>
      </c>
      <c r="G426" s="5" t="s">
        <v>90</v>
      </c>
      <c r="H426" t="s">
        <v>25</v>
      </c>
      <c r="I426" t="s">
        <v>122</v>
      </c>
      <c r="J426" t="s">
        <v>123</v>
      </c>
      <c r="K426" t="s">
        <v>74</v>
      </c>
      <c r="L426" t="s">
        <v>171</v>
      </c>
      <c r="M426" t="s">
        <v>1388</v>
      </c>
      <c r="N426" t="s">
        <v>59</v>
      </c>
      <c r="O426">
        <v>8</v>
      </c>
      <c r="P426">
        <v>804.52</v>
      </c>
      <c r="Q426" s="6">
        <v>0</v>
      </c>
      <c r="R426" s="8">
        <f t="shared" si="24"/>
        <v>0</v>
      </c>
      <c r="S426">
        <v>6436.16</v>
      </c>
      <c r="T426">
        <v>4263.83</v>
      </c>
      <c r="U426">
        <v>2172.33</v>
      </c>
      <c r="V426" t="s">
        <v>32</v>
      </c>
      <c r="W426" t="s">
        <v>33</v>
      </c>
      <c r="X426" t="str">
        <f t="shared" si="27"/>
        <v/>
      </c>
      <c r="Y426" t="str">
        <f t="shared" si="25"/>
        <v>Exclude</v>
      </c>
    </row>
    <row r="427" spans="1:25">
      <c r="A427" t="s">
        <v>1389</v>
      </c>
      <c r="B427" s="3">
        <v>45561</v>
      </c>
      <c r="C427" s="3">
        <v>45562</v>
      </c>
      <c r="D427" s="6">
        <f t="shared" si="26"/>
        <v>1</v>
      </c>
      <c r="E427" t="s">
        <v>1390</v>
      </c>
      <c r="F427" t="s">
        <v>47</v>
      </c>
      <c r="G427" s="5" t="s">
        <v>95</v>
      </c>
      <c r="H427" t="s">
        <v>25</v>
      </c>
      <c r="I427" t="s">
        <v>351</v>
      </c>
      <c r="J427" t="s">
        <v>352</v>
      </c>
      <c r="K427" t="s">
        <v>28</v>
      </c>
      <c r="L427" t="s">
        <v>91</v>
      </c>
      <c r="M427" t="s">
        <v>1391</v>
      </c>
      <c r="N427" t="s">
        <v>50</v>
      </c>
      <c r="O427">
        <v>2</v>
      </c>
      <c r="P427">
        <v>1065.69</v>
      </c>
      <c r="Q427" s="6">
        <v>0.1</v>
      </c>
      <c r="R427" s="8">
        <f t="shared" si="24"/>
        <v>0.1</v>
      </c>
      <c r="S427">
        <v>1918.24</v>
      </c>
      <c r="T427">
        <v>1373.52</v>
      </c>
      <c r="U427">
        <v>544.72</v>
      </c>
      <c r="V427" t="s">
        <v>102</v>
      </c>
      <c r="W427" t="s">
        <v>68</v>
      </c>
      <c r="X427" t="str">
        <f t="shared" si="27"/>
        <v>EXCLUDE: Cancelled order; REFUND: Summarize separately</v>
      </c>
      <c r="Y427" t="str">
        <f t="shared" si="25"/>
        <v>Exclude</v>
      </c>
    </row>
    <row r="428" spans="1:25">
      <c r="A428" t="s">
        <v>1392</v>
      </c>
      <c r="B428" s="3">
        <v>45473</v>
      </c>
      <c r="C428" s="3">
        <v>45474</v>
      </c>
      <c r="D428" s="6">
        <f t="shared" si="26"/>
        <v>1</v>
      </c>
      <c r="E428" t="s">
        <v>1393</v>
      </c>
      <c r="F428" t="s">
        <v>89</v>
      </c>
      <c r="G428" s="5" t="s">
        <v>24</v>
      </c>
      <c r="H428" t="s">
        <v>25</v>
      </c>
      <c r="I428" t="s">
        <v>237</v>
      </c>
      <c r="J428" t="s">
        <v>238</v>
      </c>
      <c r="K428" t="s">
        <v>74</v>
      </c>
      <c r="L428" t="s">
        <v>80</v>
      </c>
      <c r="M428" t="s">
        <v>1394</v>
      </c>
      <c r="N428" t="s">
        <v>44</v>
      </c>
      <c r="O428">
        <v>8</v>
      </c>
      <c r="P428">
        <v>3756.66</v>
      </c>
      <c r="Q428" s="6">
        <v>0.1</v>
      </c>
      <c r="R428" s="8">
        <f t="shared" si="24"/>
        <v>0.1</v>
      </c>
      <c r="S428">
        <v>27047.95</v>
      </c>
      <c r="T428">
        <v>18431.330000000002</v>
      </c>
      <c r="U428">
        <v>8616.6200000000008</v>
      </c>
      <c r="V428" t="s">
        <v>32</v>
      </c>
      <c r="W428" t="s">
        <v>33</v>
      </c>
      <c r="X428" t="str">
        <f t="shared" si="27"/>
        <v/>
      </c>
      <c r="Y428" t="str">
        <f t="shared" si="25"/>
        <v>Exclude</v>
      </c>
    </row>
    <row r="429" spans="1:25">
      <c r="A429" t="s">
        <v>1395</v>
      </c>
      <c r="B429" s="3">
        <v>45769</v>
      </c>
      <c r="C429" s="3">
        <v>45771</v>
      </c>
      <c r="D429" s="6">
        <f t="shared" si="26"/>
        <v>2</v>
      </c>
      <c r="E429" t="s">
        <v>1396</v>
      </c>
      <c r="F429" t="s">
        <v>47</v>
      </c>
      <c r="G429" s="5" t="s">
        <v>90</v>
      </c>
      <c r="H429" t="s">
        <v>2806</v>
      </c>
      <c r="I429" t="s">
        <v>229</v>
      </c>
      <c r="J429" t="s">
        <v>230</v>
      </c>
      <c r="K429" t="s">
        <v>74</v>
      </c>
      <c r="L429" t="s">
        <v>75</v>
      </c>
      <c r="M429" t="s">
        <v>1397</v>
      </c>
      <c r="N429" t="s">
        <v>214</v>
      </c>
      <c r="O429">
        <v>9</v>
      </c>
      <c r="P429">
        <v>2939.44</v>
      </c>
      <c r="Q429" s="6">
        <v>0</v>
      </c>
      <c r="R429" s="8">
        <f t="shared" si="24"/>
        <v>0</v>
      </c>
      <c r="S429">
        <v>26454.959999999999</v>
      </c>
      <c r="T429">
        <v>17630.25</v>
      </c>
      <c r="U429">
        <v>8824.7099999999991</v>
      </c>
      <c r="V429" t="s">
        <v>32</v>
      </c>
      <c r="W429" t="s">
        <v>33</v>
      </c>
      <c r="X429" t="str">
        <f t="shared" si="27"/>
        <v/>
      </c>
      <c r="Y429" t="str">
        <f t="shared" si="25"/>
        <v>Exclude</v>
      </c>
    </row>
    <row r="430" spans="1:25">
      <c r="A430" t="s">
        <v>1398</v>
      </c>
      <c r="B430" s="3">
        <v>45731</v>
      </c>
      <c r="C430" s="3">
        <v>45738</v>
      </c>
      <c r="D430" s="6">
        <f t="shared" si="26"/>
        <v>7</v>
      </c>
      <c r="E430" t="s">
        <v>1399</v>
      </c>
      <c r="F430" t="s">
        <v>23</v>
      </c>
      <c r="G430" s="5" t="s">
        <v>37</v>
      </c>
      <c r="H430" t="s">
        <v>38</v>
      </c>
      <c r="I430" t="s">
        <v>99</v>
      </c>
      <c r="J430" t="s">
        <v>100</v>
      </c>
      <c r="K430" t="s">
        <v>74</v>
      </c>
      <c r="L430" t="s">
        <v>171</v>
      </c>
      <c r="M430" t="s">
        <v>1400</v>
      </c>
      <c r="N430" t="s">
        <v>44</v>
      </c>
      <c r="O430">
        <v>2</v>
      </c>
      <c r="P430">
        <v>1235.93</v>
      </c>
      <c r="Q430" s="6">
        <v>0.25</v>
      </c>
      <c r="R430" s="8">
        <f t="shared" si="24"/>
        <v>0.25</v>
      </c>
      <c r="S430">
        <v>1853.89</v>
      </c>
      <c r="T430">
        <v>1101.23</v>
      </c>
      <c r="U430">
        <v>752.66</v>
      </c>
      <c r="V430" t="s">
        <v>111</v>
      </c>
      <c r="W430" t="s">
        <v>68</v>
      </c>
      <c r="X430" t="str">
        <f t="shared" si="27"/>
        <v>EXCLUDE: Cancelled order</v>
      </c>
      <c r="Y430" t="str">
        <f t="shared" si="25"/>
        <v>Exclude</v>
      </c>
    </row>
    <row r="431" spans="1:25">
      <c r="A431" t="s">
        <v>1401</v>
      </c>
      <c r="B431" s="3">
        <v>45717</v>
      </c>
      <c r="C431" s="3">
        <v>45724</v>
      </c>
      <c r="D431" s="6">
        <f t="shared" si="26"/>
        <v>7</v>
      </c>
      <c r="E431" t="s">
        <v>1402</v>
      </c>
      <c r="F431" t="s">
        <v>79</v>
      </c>
      <c r="G431" s="5" t="s">
        <v>95</v>
      </c>
      <c r="H431" t="s">
        <v>25</v>
      </c>
      <c r="I431" t="s">
        <v>26</v>
      </c>
      <c r="J431" t="s">
        <v>27</v>
      </c>
      <c r="K431" t="s">
        <v>74</v>
      </c>
      <c r="L431" t="s">
        <v>80</v>
      </c>
      <c r="M431" t="s">
        <v>1403</v>
      </c>
      <c r="N431" t="s">
        <v>44</v>
      </c>
      <c r="O431">
        <v>8</v>
      </c>
      <c r="P431">
        <v>2943.1</v>
      </c>
      <c r="Q431" s="6">
        <v>0.25</v>
      </c>
      <c r="R431" s="8">
        <f t="shared" si="24"/>
        <v>0.25</v>
      </c>
      <c r="S431">
        <v>17658.599999999999</v>
      </c>
      <c r="T431">
        <v>13842.48</v>
      </c>
      <c r="U431">
        <v>3816.12</v>
      </c>
      <c r="V431" t="s">
        <v>32</v>
      </c>
      <c r="W431" t="s">
        <v>33</v>
      </c>
      <c r="X431" t="str">
        <f t="shared" si="27"/>
        <v/>
      </c>
      <c r="Y431" t="str">
        <f t="shared" si="25"/>
        <v>Exclude</v>
      </c>
    </row>
    <row r="432" spans="1:25">
      <c r="A432" t="s">
        <v>1404</v>
      </c>
      <c r="B432" s="3">
        <v>45534</v>
      </c>
      <c r="C432" s="3">
        <v>45537</v>
      </c>
      <c r="D432" s="6">
        <f t="shared" si="26"/>
        <v>3</v>
      </c>
      <c r="E432" t="s">
        <v>1405</v>
      </c>
      <c r="F432" t="s">
        <v>79</v>
      </c>
      <c r="G432" s="5" t="s">
        <v>37</v>
      </c>
      <c r="H432" t="s">
        <v>25</v>
      </c>
      <c r="I432" t="s">
        <v>237</v>
      </c>
      <c r="J432" t="s">
        <v>238</v>
      </c>
      <c r="K432" t="s">
        <v>28</v>
      </c>
      <c r="L432" t="s">
        <v>29</v>
      </c>
      <c r="M432" t="s">
        <v>1406</v>
      </c>
      <c r="N432" t="s">
        <v>31</v>
      </c>
      <c r="O432">
        <v>1</v>
      </c>
      <c r="P432">
        <v>4320.84</v>
      </c>
      <c r="Q432" s="6">
        <v>0.15</v>
      </c>
      <c r="R432" s="8">
        <f t="shared" si="24"/>
        <v>0.15</v>
      </c>
      <c r="S432">
        <v>3672.71</v>
      </c>
      <c r="T432">
        <v>2714.23</v>
      </c>
      <c r="U432">
        <v>763.38</v>
      </c>
      <c r="V432" t="s">
        <v>32</v>
      </c>
      <c r="W432" t="s">
        <v>33</v>
      </c>
      <c r="X432" t="str">
        <f t="shared" si="27"/>
        <v/>
      </c>
      <c r="Y432" t="str">
        <f t="shared" si="25"/>
        <v>Exclude</v>
      </c>
    </row>
    <row r="433" spans="1:25">
      <c r="A433" t="s">
        <v>1407</v>
      </c>
      <c r="B433" s="3">
        <v>45332</v>
      </c>
      <c r="C433" s="3">
        <v>45335</v>
      </c>
      <c r="D433" s="6">
        <f t="shared" si="26"/>
        <v>3</v>
      </c>
      <c r="E433" t="s">
        <v>1408</v>
      </c>
      <c r="F433" t="s">
        <v>23</v>
      </c>
      <c r="G433" s="5" t="s">
        <v>95</v>
      </c>
      <c r="H433" t="s">
        <v>63</v>
      </c>
      <c r="I433" t="s">
        <v>190</v>
      </c>
      <c r="J433" t="s">
        <v>191</v>
      </c>
      <c r="K433" t="s">
        <v>74</v>
      </c>
      <c r="L433" t="s">
        <v>275</v>
      </c>
      <c r="M433" t="s">
        <v>1409</v>
      </c>
      <c r="N433" t="s">
        <v>44</v>
      </c>
      <c r="O433">
        <v>2</v>
      </c>
      <c r="P433">
        <v>4118.45</v>
      </c>
      <c r="Q433" s="6">
        <v>0.25</v>
      </c>
      <c r="R433" s="8">
        <f t="shared" si="24"/>
        <v>0.25</v>
      </c>
      <c r="S433">
        <v>6177.67</v>
      </c>
      <c r="T433">
        <v>4520.75</v>
      </c>
      <c r="U433">
        <v>1656.92</v>
      </c>
      <c r="V433" t="s">
        <v>32</v>
      </c>
      <c r="W433" t="s">
        <v>33</v>
      </c>
      <c r="X433" t="str">
        <f t="shared" si="27"/>
        <v/>
      </c>
      <c r="Y433" t="str">
        <f t="shared" si="25"/>
        <v>Exclude</v>
      </c>
    </row>
    <row r="434" spans="1:25">
      <c r="A434" t="s">
        <v>1410</v>
      </c>
      <c r="B434" s="3">
        <v>45533</v>
      </c>
      <c r="C434" s="3">
        <v>45537</v>
      </c>
      <c r="D434" s="6">
        <f t="shared" si="26"/>
        <v>4</v>
      </c>
      <c r="E434" t="s">
        <v>1411</v>
      </c>
      <c r="F434" t="s">
        <v>114</v>
      </c>
      <c r="G434" s="5" t="s">
        <v>37</v>
      </c>
      <c r="H434" t="s">
        <v>63</v>
      </c>
      <c r="I434" t="s">
        <v>64</v>
      </c>
      <c r="J434" t="s">
        <v>65</v>
      </c>
      <c r="K434" t="s">
        <v>41</v>
      </c>
      <c r="L434" t="s">
        <v>158</v>
      </c>
      <c r="M434" t="s">
        <v>1412</v>
      </c>
      <c r="N434" t="s">
        <v>59</v>
      </c>
      <c r="O434">
        <v>6</v>
      </c>
      <c r="P434">
        <v>172.82</v>
      </c>
      <c r="Q434" s="6">
        <v>0.05</v>
      </c>
      <c r="R434" s="8">
        <f t="shared" si="24"/>
        <v>0.05</v>
      </c>
      <c r="S434">
        <v>985.07</v>
      </c>
      <c r="T434">
        <v>844.48</v>
      </c>
      <c r="U434">
        <v>140.59</v>
      </c>
      <c r="V434" t="s">
        <v>32</v>
      </c>
      <c r="W434" t="s">
        <v>33</v>
      </c>
      <c r="X434" t="str">
        <f t="shared" si="27"/>
        <v/>
      </c>
      <c r="Y434" t="str">
        <f t="shared" si="25"/>
        <v>Exclude</v>
      </c>
    </row>
    <row r="435" spans="1:25">
      <c r="A435" t="s">
        <v>1413</v>
      </c>
      <c r="B435" s="3">
        <v>45401</v>
      </c>
      <c r="C435" s="3">
        <v>45402</v>
      </c>
      <c r="D435" s="6">
        <f t="shared" si="26"/>
        <v>1</v>
      </c>
      <c r="E435" t="s">
        <v>1414</v>
      </c>
      <c r="F435" t="s">
        <v>114</v>
      </c>
      <c r="G435" s="5" t="s">
        <v>90</v>
      </c>
      <c r="H435" t="s">
        <v>54</v>
      </c>
      <c r="I435" t="s">
        <v>185</v>
      </c>
      <c r="J435" t="s">
        <v>186</v>
      </c>
      <c r="K435" t="s">
        <v>28</v>
      </c>
      <c r="L435" t="s">
        <v>48</v>
      </c>
      <c r="M435" t="s">
        <v>1415</v>
      </c>
      <c r="N435" t="s">
        <v>31</v>
      </c>
      <c r="O435">
        <v>4</v>
      </c>
      <c r="P435">
        <v>1540.22</v>
      </c>
      <c r="Q435" s="6">
        <v>0</v>
      </c>
      <c r="R435" s="8">
        <f t="shared" si="24"/>
        <v>0</v>
      </c>
      <c r="S435">
        <v>6160.88</v>
      </c>
      <c r="T435">
        <v>4938.7</v>
      </c>
      <c r="U435">
        <v>1222.18</v>
      </c>
      <c r="V435" t="s">
        <v>102</v>
      </c>
      <c r="W435" t="s">
        <v>103</v>
      </c>
      <c r="X435" t="str">
        <f t="shared" si="27"/>
        <v>REFUND: Summarize separately</v>
      </c>
      <c r="Y435" t="str">
        <f t="shared" si="25"/>
        <v>Exclude</v>
      </c>
    </row>
    <row r="436" spans="1:25">
      <c r="A436" t="s">
        <v>1416</v>
      </c>
      <c r="B436" s="3">
        <v>45965</v>
      </c>
      <c r="C436" s="3">
        <v>45762</v>
      </c>
      <c r="D436" s="6">
        <f t="shared" si="26"/>
        <v>-203</v>
      </c>
      <c r="E436" t="s">
        <v>1417</v>
      </c>
      <c r="F436" t="s">
        <v>36</v>
      </c>
      <c r="G436" s="5" t="s">
        <v>95</v>
      </c>
      <c r="H436" t="s">
        <v>25</v>
      </c>
      <c r="I436" t="s">
        <v>136</v>
      </c>
      <c r="J436" t="s">
        <v>137</v>
      </c>
      <c r="K436" t="s">
        <v>74</v>
      </c>
      <c r="L436" t="s">
        <v>75</v>
      </c>
      <c r="M436" t="s">
        <v>1418</v>
      </c>
      <c r="N436" t="s">
        <v>31</v>
      </c>
      <c r="O436">
        <v>5</v>
      </c>
      <c r="P436">
        <v>652.78</v>
      </c>
      <c r="Q436" s="6">
        <v>0</v>
      </c>
      <c r="R436" s="8">
        <f t="shared" si="24"/>
        <v>0</v>
      </c>
      <c r="S436">
        <v>3263.9</v>
      </c>
      <c r="T436">
        <v>2068.44</v>
      </c>
      <c r="U436">
        <v>1195.46</v>
      </c>
      <c r="V436" t="s">
        <v>32</v>
      </c>
      <c r="W436" t="s">
        <v>33</v>
      </c>
      <c r="X436" t="str">
        <f t="shared" si="27"/>
        <v>INVALID: Ship date before order date</v>
      </c>
      <c r="Y436" t="str">
        <f t="shared" si="25"/>
        <v>Exclude</v>
      </c>
    </row>
    <row r="437" spans="1:25">
      <c r="A437" t="s">
        <v>1419</v>
      </c>
      <c r="B437" s="3">
        <v>45759</v>
      </c>
      <c r="C437" s="3">
        <v>45767</v>
      </c>
      <c r="D437" s="6">
        <f t="shared" si="26"/>
        <v>8</v>
      </c>
      <c r="E437" t="s">
        <v>1420</v>
      </c>
      <c r="F437" t="s">
        <v>265</v>
      </c>
      <c r="G437" s="5" t="s">
        <v>95</v>
      </c>
      <c r="H437" t="s">
        <v>25</v>
      </c>
      <c r="I437" t="s">
        <v>351</v>
      </c>
      <c r="J437" t="s">
        <v>352</v>
      </c>
      <c r="K437" t="s">
        <v>74</v>
      </c>
      <c r="L437" t="s">
        <v>275</v>
      </c>
      <c r="M437" t="s">
        <v>1421</v>
      </c>
      <c r="N437" t="s">
        <v>59</v>
      </c>
      <c r="O437">
        <v>1</v>
      </c>
      <c r="P437">
        <v>2737.71</v>
      </c>
      <c r="Q437" s="6">
        <v>0.15</v>
      </c>
      <c r="R437" s="8">
        <f t="shared" si="24"/>
        <v>0.15</v>
      </c>
      <c r="S437">
        <v>2327.0500000000002</v>
      </c>
      <c r="T437">
        <v>1919.42</v>
      </c>
      <c r="U437">
        <v>407.63</v>
      </c>
      <c r="V437" t="s">
        <v>32</v>
      </c>
      <c r="W437" t="s">
        <v>68</v>
      </c>
      <c r="X437" t="str">
        <f t="shared" si="27"/>
        <v>EXCLUDE: Cancelled order</v>
      </c>
      <c r="Y437" t="str">
        <f t="shared" si="25"/>
        <v>Exclude</v>
      </c>
    </row>
    <row r="438" spans="1:25">
      <c r="A438" t="s">
        <v>1422</v>
      </c>
      <c r="B438" s="3">
        <v>45459</v>
      </c>
      <c r="C438" s="3">
        <v>45464</v>
      </c>
      <c r="D438" s="6">
        <f t="shared" si="26"/>
        <v>5</v>
      </c>
      <c r="E438" t="s">
        <v>1423</v>
      </c>
      <c r="F438" t="s">
        <v>79</v>
      </c>
      <c r="G438" s="5" t="s">
        <v>24</v>
      </c>
      <c r="H438" t="s">
        <v>54</v>
      </c>
      <c r="I438" t="s">
        <v>185</v>
      </c>
      <c r="J438" t="s">
        <v>186</v>
      </c>
      <c r="K438" t="s">
        <v>41</v>
      </c>
      <c r="L438" t="s">
        <v>57</v>
      </c>
      <c r="M438" t="s">
        <v>1424</v>
      </c>
      <c r="N438" t="s">
        <v>44</v>
      </c>
      <c r="O438">
        <v>6</v>
      </c>
      <c r="P438">
        <v>1156.78</v>
      </c>
      <c r="Q438" s="6">
        <v>0.05</v>
      </c>
      <c r="R438" s="8">
        <f t="shared" si="24"/>
        <v>0.05</v>
      </c>
      <c r="S438">
        <v>6593.65</v>
      </c>
      <c r="T438">
        <v>4359.3900000000003</v>
      </c>
      <c r="U438">
        <v>2234.2600000000002</v>
      </c>
      <c r="V438" t="s">
        <v>32</v>
      </c>
      <c r="W438" t="s">
        <v>103</v>
      </c>
      <c r="X438" t="str">
        <f t="shared" si="27"/>
        <v/>
      </c>
      <c r="Y438" t="str">
        <f t="shared" si="25"/>
        <v>Exclude</v>
      </c>
    </row>
    <row r="439" spans="1:25">
      <c r="A439" t="s">
        <v>1425</v>
      </c>
      <c r="B439" s="3">
        <v>45337</v>
      </c>
      <c r="C439" s="3">
        <v>45340</v>
      </c>
      <c r="D439" s="6">
        <f t="shared" si="26"/>
        <v>3</v>
      </c>
      <c r="E439" t="s">
        <v>1426</v>
      </c>
      <c r="F439" t="s">
        <v>89</v>
      </c>
      <c r="G439" s="5" t="s">
        <v>37</v>
      </c>
      <c r="H439" t="s">
        <v>54</v>
      </c>
      <c r="I439" t="s">
        <v>185</v>
      </c>
      <c r="J439" t="s">
        <v>186</v>
      </c>
      <c r="K439" t="s">
        <v>74</v>
      </c>
      <c r="L439" t="s">
        <v>75</v>
      </c>
      <c r="M439" t="s">
        <v>1427</v>
      </c>
      <c r="N439" t="s">
        <v>44</v>
      </c>
      <c r="O439">
        <v>8</v>
      </c>
      <c r="P439">
        <v>379.82</v>
      </c>
      <c r="Q439" s="6">
        <v>0.05</v>
      </c>
      <c r="R439" s="8">
        <f t="shared" si="24"/>
        <v>0.05</v>
      </c>
      <c r="S439">
        <v>2886.63</v>
      </c>
      <c r="T439">
        <v>1588.23</v>
      </c>
      <c r="U439">
        <v>1298.4000000000001</v>
      </c>
      <c r="V439" t="s">
        <v>155</v>
      </c>
      <c r="W439" t="s">
        <v>103</v>
      </c>
      <c r="X439" t="str">
        <f t="shared" si="27"/>
        <v>EXCLUDE: Failed payment</v>
      </c>
      <c r="Y439" t="str">
        <f t="shared" si="25"/>
        <v>Exclude</v>
      </c>
    </row>
    <row r="440" spans="1:25">
      <c r="A440" t="s">
        <v>1428</v>
      </c>
      <c r="B440" s="3">
        <v>45784</v>
      </c>
      <c r="C440" s="3">
        <v>45782</v>
      </c>
      <c r="D440" s="6">
        <f t="shared" si="26"/>
        <v>-2</v>
      </c>
      <c r="E440" t="s">
        <v>1429</v>
      </c>
      <c r="F440" t="s">
        <v>79</v>
      </c>
      <c r="G440" s="5" t="s">
        <v>90</v>
      </c>
      <c r="H440" t="s">
        <v>38</v>
      </c>
      <c r="I440" t="s">
        <v>229</v>
      </c>
      <c r="J440" t="s">
        <v>230</v>
      </c>
      <c r="K440" t="s">
        <v>74</v>
      </c>
      <c r="L440" t="s">
        <v>171</v>
      </c>
      <c r="M440" t="s">
        <v>1430</v>
      </c>
      <c r="N440" t="s">
        <v>59</v>
      </c>
      <c r="O440">
        <v>1</v>
      </c>
      <c r="P440">
        <v>2266.4699999999998</v>
      </c>
      <c r="Q440" s="6">
        <v>0.2</v>
      </c>
      <c r="R440" s="8">
        <f t="shared" si="24"/>
        <v>0.2</v>
      </c>
      <c r="S440">
        <v>1813.18</v>
      </c>
      <c r="T440">
        <v>1363.64</v>
      </c>
      <c r="U440">
        <v>449.54</v>
      </c>
      <c r="V440" t="s">
        <v>32</v>
      </c>
      <c r="W440" t="s">
        <v>33</v>
      </c>
      <c r="X440" t="str">
        <f t="shared" si="27"/>
        <v>INVALID: Ship date before order date</v>
      </c>
      <c r="Y440" t="str">
        <f t="shared" si="25"/>
        <v>Exclude</v>
      </c>
    </row>
    <row r="441" spans="1:25">
      <c r="A441" t="s">
        <v>1431</v>
      </c>
      <c r="B441" s="3">
        <v>45838</v>
      </c>
      <c r="C441" s="3">
        <v>45723</v>
      </c>
      <c r="D441" s="6">
        <f t="shared" si="26"/>
        <v>-115</v>
      </c>
      <c r="E441" t="s">
        <v>1432</v>
      </c>
      <c r="F441" t="s">
        <v>128</v>
      </c>
      <c r="G441" s="5" t="s">
        <v>95</v>
      </c>
      <c r="H441" t="s">
        <v>63</v>
      </c>
      <c r="I441" t="s">
        <v>190</v>
      </c>
      <c r="J441" t="s">
        <v>191</v>
      </c>
      <c r="K441" t="s">
        <v>28</v>
      </c>
      <c r="L441" t="s">
        <v>124</v>
      </c>
      <c r="M441" t="s">
        <v>1433</v>
      </c>
      <c r="N441" t="s">
        <v>44</v>
      </c>
      <c r="O441">
        <v>5</v>
      </c>
      <c r="P441">
        <v>665.25</v>
      </c>
      <c r="Q441" s="6">
        <v>0</v>
      </c>
      <c r="R441" s="8">
        <f t="shared" si="24"/>
        <v>0</v>
      </c>
      <c r="S441">
        <v>3326.25</v>
      </c>
      <c r="T441">
        <v>2689.36</v>
      </c>
      <c r="U441">
        <v>636.89</v>
      </c>
      <c r="V441" t="s">
        <v>102</v>
      </c>
      <c r="W441" t="s">
        <v>103</v>
      </c>
      <c r="X441" t="str">
        <f t="shared" si="27"/>
        <v>INVALID: Ship date before order date; REFUND: Summarize separately</v>
      </c>
      <c r="Y441" t="str">
        <f t="shared" si="25"/>
        <v>Exclude</v>
      </c>
    </row>
    <row r="442" spans="1:25">
      <c r="A442" t="s">
        <v>1434</v>
      </c>
      <c r="B442" s="3">
        <v>45326</v>
      </c>
      <c r="C442" s="3">
        <v>45508</v>
      </c>
      <c r="D442" s="6">
        <f t="shared" si="26"/>
        <v>182</v>
      </c>
      <c r="E442" t="s">
        <v>271</v>
      </c>
      <c r="F442" t="s">
        <v>71</v>
      </c>
      <c r="G442" s="5" t="s">
        <v>90</v>
      </c>
      <c r="H442" t="s">
        <v>38</v>
      </c>
      <c r="I442" t="s">
        <v>39</v>
      </c>
      <c r="J442" t="s">
        <v>40</v>
      </c>
      <c r="K442" t="s">
        <v>74</v>
      </c>
      <c r="L442" t="s">
        <v>275</v>
      </c>
      <c r="M442" t="s">
        <v>1435</v>
      </c>
      <c r="N442" t="s">
        <v>31</v>
      </c>
      <c r="O442">
        <v>6</v>
      </c>
      <c r="P442">
        <v>3722.84</v>
      </c>
      <c r="Q442" s="6">
        <v>0.2</v>
      </c>
      <c r="R442" s="8">
        <f t="shared" si="24"/>
        <v>0.2</v>
      </c>
      <c r="S442">
        <v>17869.63</v>
      </c>
      <c r="T442">
        <v>12163.8</v>
      </c>
      <c r="U442">
        <v>5705.83</v>
      </c>
      <c r="V442" t="s">
        <v>32</v>
      </c>
      <c r="W442" t="s">
        <v>33</v>
      </c>
      <c r="X442" t="str">
        <f t="shared" si="27"/>
        <v/>
      </c>
      <c r="Y442" t="str">
        <f t="shared" si="25"/>
        <v>Exclude</v>
      </c>
    </row>
    <row r="443" spans="1:25">
      <c r="A443" t="s">
        <v>1436</v>
      </c>
      <c r="B443" s="3">
        <v>45568</v>
      </c>
      <c r="C443" s="3">
        <v>45361</v>
      </c>
      <c r="D443" s="6">
        <f t="shared" si="26"/>
        <v>-207</v>
      </c>
      <c r="E443" t="s">
        <v>1437</v>
      </c>
      <c r="F443" t="s">
        <v>23</v>
      </c>
      <c r="G443" s="5" t="s">
        <v>24</v>
      </c>
      <c r="H443" t="s">
        <v>38</v>
      </c>
      <c r="I443" t="s">
        <v>145</v>
      </c>
      <c r="J443" t="s">
        <v>146</v>
      </c>
      <c r="K443" t="s">
        <v>41</v>
      </c>
      <c r="L443" t="s">
        <v>158</v>
      </c>
      <c r="M443" t="s">
        <v>1438</v>
      </c>
      <c r="N443" t="s">
        <v>59</v>
      </c>
      <c r="O443">
        <v>6</v>
      </c>
      <c r="P443">
        <v>4217.49</v>
      </c>
      <c r="Q443" s="6">
        <v>0</v>
      </c>
      <c r="R443" s="8">
        <f t="shared" si="24"/>
        <v>0</v>
      </c>
      <c r="S443">
        <v>25304.94</v>
      </c>
      <c r="T443">
        <v>20771.95</v>
      </c>
      <c r="U443">
        <v>4532.99</v>
      </c>
      <c r="V443" t="s">
        <v>32</v>
      </c>
      <c r="W443" t="s">
        <v>68</v>
      </c>
      <c r="X443" t="str">
        <f t="shared" si="27"/>
        <v>INVALID: Ship date before order date; EXCLUDE: Cancelled order</v>
      </c>
      <c r="Y443" t="str">
        <f t="shared" si="25"/>
        <v>Exclude</v>
      </c>
    </row>
    <row r="444" spans="1:25">
      <c r="A444" t="s">
        <v>1439</v>
      </c>
      <c r="B444" s="3">
        <v>45669</v>
      </c>
      <c r="C444" s="3">
        <v>45676</v>
      </c>
      <c r="D444" s="6">
        <f t="shared" si="26"/>
        <v>7</v>
      </c>
      <c r="E444" t="s">
        <v>1440</v>
      </c>
      <c r="F444" t="s">
        <v>128</v>
      </c>
      <c r="G444" s="5" t="s">
        <v>24</v>
      </c>
      <c r="H444" t="s">
        <v>38</v>
      </c>
      <c r="I444" t="s">
        <v>229</v>
      </c>
      <c r="J444" t="s">
        <v>230</v>
      </c>
      <c r="K444" t="s">
        <v>41</v>
      </c>
      <c r="L444" t="s">
        <v>42</v>
      </c>
      <c r="M444" t="s">
        <v>1441</v>
      </c>
      <c r="N444" t="s">
        <v>50</v>
      </c>
      <c r="O444">
        <v>1</v>
      </c>
      <c r="P444">
        <v>1842.31</v>
      </c>
      <c r="Q444" s="6">
        <v>0</v>
      </c>
      <c r="R444" s="8">
        <f t="shared" si="24"/>
        <v>0</v>
      </c>
      <c r="S444">
        <v>1842.31</v>
      </c>
      <c r="T444">
        <v>1019.17</v>
      </c>
      <c r="U444">
        <v>823.14</v>
      </c>
      <c r="V444" t="s">
        <v>32</v>
      </c>
      <c r="W444" t="s">
        <v>33</v>
      </c>
      <c r="X444" t="str">
        <f t="shared" si="27"/>
        <v/>
      </c>
      <c r="Y444" t="str">
        <f t="shared" si="25"/>
        <v>Exclude</v>
      </c>
    </row>
    <row r="445" spans="1:25">
      <c r="A445" t="s">
        <v>1442</v>
      </c>
      <c r="B445" s="3">
        <v>45386</v>
      </c>
      <c r="C445" s="3">
        <v>45477</v>
      </c>
      <c r="D445" s="6">
        <f t="shared" si="26"/>
        <v>91</v>
      </c>
      <c r="E445" t="s">
        <v>1443</v>
      </c>
      <c r="F445" t="s">
        <v>141</v>
      </c>
      <c r="G445" s="5" t="s">
        <v>95</v>
      </c>
      <c r="H445" t="s">
        <v>38</v>
      </c>
      <c r="I445" t="s">
        <v>39</v>
      </c>
      <c r="J445" t="s">
        <v>40</v>
      </c>
      <c r="K445" t="s">
        <v>41</v>
      </c>
      <c r="L445" t="s">
        <v>57</v>
      </c>
      <c r="M445" t="s">
        <v>1444</v>
      </c>
      <c r="N445" t="s">
        <v>50</v>
      </c>
      <c r="O445">
        <v>1</v>
      </c>
      <c r="P445">
        <v>3683.75</v>
      </c>
      <c r="Q445" s="6">
        <v>0.1</v>
      </c>
      <c r="R445" s="8">
        <f t="shared" si="24"/>
        <v>0.1</v>
      </c>
      <c r="S445">
        <v>3315.38</v>
      </c>
      <c r="T445">
        <v>2347.6799999999998</v>
      </c>
      <c r="U445">
        <v>967.7</v>
      </c>
      <c r="V445" t="s">
        <v>32</v>
      </c>
      <c r="W445" t="s">
        <v>33</v>
      </c>
      <c r="X445" t="str">
        <f t="shared" si="27"/>
        <v/>
      </c>
      <c r="Y445" t="str">
        <f t="shared" si="25"/>
        <v>Exclude</v>
      </c>
    </row>
    <row r="446" spans="1:25">
      <c r="A446" t="s">
        <v>1445</v>
      </c>
      <c r="B446" s="3">
        <v>45881</v>
      </c>
      <c r="C446" s="3">
        <v>45885</v>
      </c>
      <c r="D446" s="6">
        <f t="shared" si="26"/>
        <v>4</v>
      </c>
      <c r="E446" t="s">
        <v>1446</v>
      </c>
      <c r="F446" t="s">
        <v>62</v>
      </c>
      <c r="G446" s="5" t="s">
        <v>24</v>
      </c>
      <c r="H446" t="s">
        <v>38</v>
      </c>
      <c r="I446" t="s">
        <v>166</v>
      </c>
      <c r="J446" t="s">
        <v>167</v>
      </c>
      <c r="K446" t="s">
        <v>74</v>
      </c>
      <c r="L446" t="s">
        <v>75</v>
      </c>
      <c r="M446" t="s">
        <v>1447</v>
      </c>
      <c r="N446" t="s">
        <v>44</v>
      </c>
      <c r="O446">
        <v>9</v>
      </c>
      <c r="P446">
        <v>2379.2399999999998</v>
      </c>
      <c r="Q446" s="6">
        <v>0.05</v>
      </c>
      <c r="R446" s="8">
        <f t="shared" si="24"/>
        <v>0.05</v>
      </c>
      <c r="S446">
        <v>20342.5</v>
      </c>
      <c r="T446">
        <v>12407.51</v>
      </c>
      <c r="U446">
        <v>7934.99</v>
      </c>
      <c r="V446" t="s">
        <v>32</v>
      </c>
      <c r="W446" t="s">
        <v>33</v>
      </c>
      <c r="X446" t="str">
        <f t="shared" si="27"/>
        <v/>
      </c>
      <c r="Y446" t="str">
        <f t="shared" si="25"/>
        <v>Exclude</v>
      </c>
    </row>
    <row r="447" spans="1:25">
      <c r="A447" t="s">
        <v>1448</v>
      </c>
      <c r="B447" s="3">
        <v>45540</v>
      </c>
      <c r="C447" s="3">
        <v>45417</v>
      </c>
      <c r="D447" s="6">
        <f t="shared" si="26"/>
        <v>-123</v>
      </c>
      <c r="E447" t="s">
        <v>1449</v>
      </c>
      <c r="F447" t="s">
        <v>53</v>
      </c>
      <c r="G447" s="5" t="s">
        <v>24</v>
      </c>
      <c r="H447" t="s">
        <v>38</v>
      </c>
      <c r="I447" t="s">
        <v>166</v>
      </c>
      <c r="J447" t="s">
        <v>167</v>
      </c>
      <c r="K447" t="s">
        <v>41</v>
      </c>
      <c r="L447" t="s">
        <v>158</v>
      </c>
      <c r="M447" t="s">
        <v>1450</v>
      </c>
      <c r="N447" t="s">
        <v>44</v>
      </c>
      <c r="O447">
        <v>2</v>
      </c>
      <c r="P447">
        <v>2111.23</v>
      </c>
      <c r="Q447" s="6">
        <v>0.2</v>
      </c>
      <c r="R447" s="8">
        <f t="shared" si="24"/>
        <v>0.2</v>
      </c>
      <c r="S447">
        <v>3377.97</v>
      </c>
      <c r="T447">
        <v>2496.29</v>
      </c>
      <c r="U447">
        <v>881.68</v>
      </c>
      <c r="V447" t="s">
        <v>32</v>
      </c>
      <c r="W447" t="s">
        <v>33</v>
      </c>
      <c r="X447" t="str">
        <f t="shared" si="27"/>
        <v>INVALID: Ship date before order date</v>
      </c>
      <c r="Y447" t="str">
        <f t="shared" si="25"/>
        <v>Exclude</v>
      </c>
    </row>
    <row r="448" spans="1:25">
      <c r="A448" t="s">
        <v>1451</v>
      </c>
      <c r="B448" s="3">
        <v>45918</v>
      </c>
      <c r="C448" s="3">
        <v>45919</v>
      </c>
      <c r="D448" s="6">
        <f t="shared" si="26"/>
        <v>1</v>
      </c>
      <c r="E448" t="s">
        <v>1452</v>
      </c>
      <c r="F448" t="s">
        <v>132</v>
      </c>
      <c r="G448" s="5" t="s">
        <v>95</v>
      </c>
      <c r="H448" t="s">
        <v>54</v>
      </c>
      <c r="I448" t="s">
        <v>84</v>
      </c>
      <c r="J448" t="s">
        <v>85</v>
      </c>
      <c r="K448" t="s">
        <v>28</v>
      </c>
      <c r="L448" t="s">
        <v>124</v>
      </c>
      <c r="M448" t="s">
        <v>1453</v>
      </c>
      <c r="N448" t="s">
        <v>44</v>
      </c>
      <c r="O448">
        <v>8</v>
      </c>
      <c r="P448">
        <v>4242.51</v>
      </c>
      <c r="Q448" s="6">
        <v>0</v>
      </c>
      <c r="R448" s="8">
        <f t="shared" si="24"/>
        <v>0</v>
      </c>
      <c r="S448">
        <v>33940.080000000002</v>
      </c>
      <c r="T448">
        <v>23754.19</v>
      </c>
      <c r="U448">
        <v>10185.89</v>
      </c>
      <c r="V448" t="s">
        <v>32</v>
      </c>
      <c r="W448" t="s">
        <v>33</v>
      </c>
      <c r="X448" t="str">
        <f t="shared" si="27"/>
        <v/>
      </c>
      <c r="Y448" t="str">
        <f t="shared" si="25"/>
        <v>Exclude</v>
      </c>
    </row>
    <row r="449" spans="1:25">
      <c r="A449" t="s">
        <v>1454</v>
      </c>
      <c r="B449" s="3">
        <v>45879</v>
      </c>
      <c r="C449" s="3">
        <v>45938</v>
      </c>
      <c r="D449" s="6">
        <f t="shared" si="26"/>
        <v>59</v>
      </c>
      <c r="E449" t="s">
        <v>1455</v>
      </c>
      <c r="F449" t="s">
        <v>141</v>
      </c>
      <c r="G449" s="5" t="s">
        <v>95</v>
      </c>
      <c r="H449" t="s">
        <v>54</v>
      </c>
      <c r="I449" t="s">
        <v>55</v>
      </c>
      <c r="J449" t="s">
        <v>56</v>
      </c>
      <c r="K449" t="s">
        <v>41</v>
      </c>
      <c r="L449" t="s">
        <v>158</v>
      </c>
      <c r="M449" t="s">
        <v>1456</v>
      </c>
      <c r="N449" t="s">
        <v>59</v>
      </c>
      <c r="O449">
        <v>6</v>
      </c>
      <c r="P449">
        <v>4288.7</v>
      </c>
      <c r="Q449" s="6">
        <v>0.15</v>
      </c>
      <c r="R449" s="8">
        <f t="shared" si="24"/>
        <v>0.15</v>
      </c>
      <c r="S449">
        <v>21872.37</v>
      </c>
      <c r="T449">
        <v>13829.5</v>
      </c>
      <c r="U449">
        <v>8042.87</v>
      </c>
      <c r="V449" t="s">
        <v>111</v>
      </c>
      <c r="W449" t="s">
        <v>103</v>
      </c>
      <c r="X449" t="str">
        <f t="shared" si="27"/>
        <v/>
      </c>
      <c r="Y449" t="str">
        <f t="shared" si="25"/>
        <v>Exclude</v>
      </c>
    </row>
    <row r="450" spans="1:25">
      <c r="A450" t="s">
        <v>1457</v>
      </c>
      <c r="B450" s="3">
        <v>45306</v>
      </c>
      <c r="C450" s="3">
        <v>45309</v>
      </c>
      <c r="D450" s="6">
        <f t="shared" si="26"/>
        <v>3</v>
      </c>
      <c r="E450" t="s">
        <v>1458</v>
      </c>
      <c r="F450" t="s">
        <v>36</v>
      </c>
      <c r="G450" s="5" t="s">
        <v>37</v>
      </c>
      <c r="H450" t="s">
        <v>54</v>
      </c>
      <c r="I450" t="s">
        <v>84</v>
      </c>
      <c r="J450" t="s">
        <v>85</v>
      </c>
      <c r="K450" t="s">
        <v>41</v>
      </c>
      <c r="L450" t="s">
        <v>66</v>
      </c>
      <c r="M450" t="s">
        <v>1459</v>
      </c>
      <c r="N450" t="s">
        <v>50</v>
      </c>
      <c r="O450">
        <v>2</v>
      </c>
      <c r="P450">
        <v>201.21</v>
      </c>
      <c r="Q450" s="6">
        <v>0.15</v>
      </c>
      <c r="R450" s="8">
        <f t="shared" ref="R450:R513" si="28">IF(ISBLANK(Q450),IF(AND(ISNUMBER(O450),O450&gt;0,ISNUMBER(P450),ISNUMBER(S450),ISNUMBER(T450),ISNUMBER(U450)),0,""),Q450)</f>
        <v>0.15</v>
      </c>
      <c r="S450">
        <v>342.06</v>
      </c>
      <c r="T450">
        <v>244.57</v>
      </c>
      <c r="U450">
        <v>97.49</v>
      </c>
      <c r="V450" t="s">
        <v>32</v>
      </c>
      <c r="W450" t="s">
        <v>33</v>
      </c>
      <c r="X450" t="str">
        <f t="shared" si="27"/>
        <v/>
      </c>
      <c r="Y450" t="str">
        <f t="shared" ref="Y450:Y513" si="29">IF(AND(U450="Completed",T450="Paid",ISERROR(SEARCH("INVALID",W450))),"Include","Exclude")</f>
        <v>Exclude</v>
      </c>
    </row>
    <row r="451" spans="1:25">
      <c r="A451" t="s">
        <v>1460</v>
      </c>
      <c r="B451" s="3">
        <v>45449</v>
      </c>
      <c r="C451" s="3">
        <v>45456</v>
      </c>
      <c r="D451" s="6">
        <f t="shared" ref="D451:D514" si="30">IF(OR(B451="",C451=""),"",C451-B451)</f>
        <v>7</v>
      </c>
      <c r="E451" t="s">
        <v>1353</v>
      </c>
      <c r="F451" t="s">
        <v>89</v>
      </c>
      <c r="G451" s="5" t="s">
        <v>90</v>
      </c>
      <c r="H451" t="s">
        <v>38</v>
      </c>
      <c r="I451" t="s">
        <v>166</v>
      </c>
      <c r="J451" t="s">
        <v>167</v>
      </c>
      <c r="K451" t="s">
        <v>74</v>
      </c>
      <c r="L451" t="s">
        <v>275</v>
      </c>
      <c r="M451" t="s">
        <v>1461</v>
      </c>
      <c r="N451" t="s">
        <v>31</v>
      </c>
      <c r="O451">
        <v>6</v>
      </c>
      <c r="P451">
        <v>3270.36</v>
      </c>
      <c r="Q451" s="6">
        <v>0</v>
      </c>
      <c r="R451" s="8">
        <f t="shared" si="28"/>
        <v>0</v>
      </c>
      <c r="S451">
        <v>19622.16</v>
      </c>
      <c r="T451">
        <v>14271.27</v>
      </c>
      <c r="U451">
        <v>5350.89</v>
      </c>
      <c r="V451" t="s">
        <v>32</v>
      </c>
      <c r="W451" t="s">
        <v>33</v>
      </c>
      <c r="X451" t="str">
        <f t="shared" ref="X451:X514" si="31">_xlfn.TEXTJOIN("; ",TRUE,IF(R451&lt;0,"INVALID: Negative discount",""),IF(R451&gt;50%,"INVALID: Discount above range",""),IF(D451&lt;0,"INVALID: Ship date before order date",""),IF(W451="Cancelled","EXCLUDE: Cancelled order",""),IF(V451="Failed","EXCLUDE: Failed payment",""),IF(V451="Refunded","REFUND: Summarize separately",""))</f>
        <v/>
      </c>
      <c r="Y451" t="str">
        <f t="shared" si="29"/>
        <v>Exclude</v>
      </c>
    </row>
    <row r="452" spans="1:25">
      <c r="A452" t="s">
        <v>1462</v>
      </c>
      <c r="B452" s="3">
        <v>45997</v>
      </c>
      <c r="C452" s="3">
        <v>45827</v>
      </c>
      <c r="D452" s="6">
        <f t="shared" si="30"/>
        <v>-170</v>
      </c>
      <c r="E452" t="s">
        <v>1463</v>
      </c>
      <c r="F452" t="s">
        <v>62</v>
      </c>
      <c r="G452" s="5" t="s">
        <v>90</v>
      </c>
      <c r="H452" t="s">
        <v>25</v>
      </c>
      <c r="I452" t="s">
        <v>351</v>
      </c>
      <c r="J452" t="s">
        <v>352</v>
      </c>
      <c r="K452" t="s">
        <v>41</v>
      </c>
      <c r="L452" t="s">
        <v>66</v>
      </c>
      <c r="M452" t="s">
        <v>1464</v>
      </c>
      <c r="N452" t="s">
        <v>59</v>
      </c>
      <c r="O452">
        <v>9</v>
      </c>
      <c r="P452">
        <v>2278.5700000000002</v>
      </c>
      <c r="Q452" s="6">
        <v>0.25</v>
      </c>
      <c r="R452" s="8">
        <f t="shared" si="28"/>
        <v>0.25</v>
      </c>
      <c r="S452">
        <v>15380.35</v>
      </c>
      <c r="T452">
        <v>9907.3700000000008</v>
      </c>
      <c r="U452">
        <v>5472.98</v>
      </c>
      <c r="V452" t="s">
        <v>32</v>
      </c>
      <c r="W452" t="s">
        <v>33</v>
      </c>
      <c r="X452" t="str">
        <f t="shared" si="31"/>
        <v>INVALID: Ship date before order date</v>
      </c>
      <c r="Y452" t="str">
        <f t="shared" si="29"/>
        <v>Exclude</v>
      </c>
    </row>
    <row r="453" spans="1:25">
      <c r="A453" t="s">
        <v>1465</v>
      </c>
      <c r="B453" s="3">
        <v>45375</v>
      </c>
      <c r="C453" s="3">
        <v>45377</v>
      </c>
      <c r="D453" s="6">
        <f t="shared" si="30"/>
        <v>2</v>
      </c>
      <c r="E453" t="s">
        <v>1466</v>
      </c>
      <c r="F453" t="s">
        <v>141</v>
      </c>
      <c r="G453" s="5" t="s">
        <v>37</v>
      </c>
      <c r="H453" t="s">
        <v>25</v>
      </c>
      <c r="I453" t="s">
        <v>237</v>
      </c>
      <c r="J453" t="s">
        <v>238</v>
      </c>
      <c r="K453" t="s">
        <v>28</v>
      </c>
      <c r="L453" t="s">
        <v>29</v>
      </c>
      <c r="M453" t="s">
        <v>1467</v>
      </c>
      <c r="N453" t="s">
        <v>31</v>
      </c>
      <c r="O453">
        <v>8</v>
      </c>
      <c r="P453">
        <v>1917.64</v>
      </c>
      <c r="Q453" s="6">
        <v>0.15</v>
      </c>
      <c r="R453" s="8">
        <f t="shared" si="28"/>
        <v>0.15</v>
      </c>
      <c r="S453">
        <v>13039.95</v>
      </c>
      <c r="T453">
        <v>11127.82</v>
      </c>
      <c r="U453">
        <v>1912.13</v>
      </c>
      <c r="V453" t="s">
        <v>32</v>
      </c>
      <c r="W453" t="s">
        <v>68</v>
      </c>
      <c r="X453" t="str">
        <f t="shared" si="31"/>
        <v>EXCLUDE: Cancelled order</v>
      </c>
      <c r="Y453" t="str">
        <f t="shared" si="29"/>
        <v>Exclude</v>
      </c>
    </row>
    <row r="454" spans="1:25">
      <c r="A454" t="s">
        <v>1468</v>
      </c>
      <c r="B454" s="3">
        <v>45422</v>
      </c>
      <c r="C454" s="3">
        <v>45428</v>
      </c>
      <c r="D454" s="6">
        <f t="shared" si="30"/>
        <v>6</v>
      </c>
      <c r="E454" t="s">
        <v>1469</v>
      </c>
      <c r="F454" t="s">
        <v>162</v>
      </c>
      <c r="G454" s="5" t="s">
        <v>95</v>
      </c>
      <c r="H454" t="s">
        <v>38</v>
      </c>
      <c r="I454" t="s">
        <v>229</v>
      </c>
      <c r="J454" t="s">
        <v>230</v>
      </c>
      <c r="K454" t="s">
        <v>74</v>
      </c>
      <c r="L454" t="s">
        <v>75</v>
      </c>
      <c r="M454" t="s">
        <v>1470</v>
      </c>
      <c r="N454" t="s">
        <v>31</v>
      </c>
      <c r="O454">
        <v>6</v>
      </c>
      <c r="P454">
        <v>2013.33</v>
      </c>
      <c r="Q454" s="6">
        <v>0.2</v>
      </c>
      <c r="R454" s="8">
        <f t="shared" si="28"/>
        <v>0.2</v>
      </c>
      <c r="S454">
        <v>9663.98</v>
      </c>
      <c r="T454">
        <v>5628.93</v>
      </c>
      <c r="U454">
        <v>4035.05</v>
      </c>
      <c r="V454" t="s">
        <v>32</v>
      </c>
      <c r="W454" t="s">
        <v>33</v>
      </c>
      <c r="X454" t="str">
        <f t="shared" si="31"/>
        <v/>
      </c>
      <c r="Y454" t="str">
        <f t="shared" si="29"/>
        <v>Exclude</v>
      </c>
    </row>
    <row r="455" spans="1:25">
      <c r="A455" t="s">
        <v>1471</v>
      </c>
      <c r="B455" s="3">
        <v>45721</v>
      </c>
      <c r="C455" s="3">
        <v>45966</v>
      </c>
      <c r="D455" s="6">
        <f t="shared" si="30"/>
        <v>245</v>
      </c>
      <c r="E455" t="s">
        <v>1472</v>
      </c>
      <c r="F455" t="s">
        <v>141</v>
      </c>
      <c r="G455" s="5" t="s">
        <v>37</v>
      </c>
      <c r="H455" t="s">
        <v>63</v>
      </c>
      <c r="I455" t="s">
        <v>72</v>
      </c>
      <c r="J455" t="s">
        <v>73</v>
      </c>
      <c r="K455" t="s">
        <v>28</v>
      </c>
      <c r="L455" t="s">
        <v>91</v>
      </c>
      <c r="M455" t="s">
        <v>1473</v>
      </c>
      <c r="N455" t="s">
        <v>44</v>
      </c>
      <c r="O455">
        <v>5</v>
      </c>
      <c r="P455">
        <v>1483.52</v>
      </c>
      <c r="Q455" s="6">
        <v>0</v>
      </c>
      <c r="R455" s="8">
        <f t="shared" si="28"/>
        <v>0</v>
      </c>
      <c r="S455">
        <v>7417.6</v>
      </c>
      <c r="T455">
        <v>4955.8599999999997</v>
      </c>
      <c r="U455">
        <v>2461.7399999999998</v>
      </c>
      <c r="V455" t="s">
        <v>32</v>
      </c>
      <c r="W455" t="s">
        <v>33</v>
      </c>
      <c r="X455" t="str">
        <f t="shared" si="31"/>
        <v/>
      </c>
      <c r="Y455" t="str">
        <f t="shared" si="29"/>
        <v>Exclude</v>
      </c>
    </row>
    <row r="456" spans="1:25">
      <c r="A456" t="s">
        <v>1474</v>
      </c>
      <c r="B456" s="3">
        <v>45739</v>
      </c>
      <c r="C456" s="3">
        <v>45744</v>
      </c>
      <c r="D456" s="6">
        <f t="shared" si="30"/>
        <v>5</v>
      </c>
      <c r="E456" t="s">
        <v>1475</v>
      </c>
      <c r="F456" t="s">
        <v>71</v>
      </c>
      <c r="G456" s="5" t="s">
        <v>37</v>
      </c>
      <c r="H456" t="s">
        <v>25</v>
      </c>
      <c r="I456" t="s">
        <v>26</v>
      </c>
      <c r="J456" t="s">
        <v>27</v>
      </c>
      <c r="K456" t="s">
        <v>41</v>
      </c>
      <c r="L456" t="s">
        <v>57</v>
      </c>
      <c r="M456" t="s">
        <v>1476</v>
      </c>
      <c r="N456" t="s">
        <v>59</v>
      </c>
      <c r="O456">
        <v>9</v>
      </c>
      <c r="P456">
        <v>3298</v>
      </c>
      <c r="Q456" s="6">
        <v>0.15</v>
      </c>
      <c r="R456" s="8">
        <f t="shared" si="28"/>
        <v>0.15</v>
      </c>
      <c r="S456">
        <v>25229.7</v>
      </c>
      <c r="T456">
        <v>20170.43</v>
      </c>
      <c r="U456">
        <v>5059.2700000000004</v>
      </c>
      <c r="V456" t="s">
        <v>32</v>
      </c>
      <c r="W456" t="s">
        <v>33</v>
      </c>
      <c r="X456" t="str">
        <f t="shared" si="31"/>
        <v/>
      </c>
      <c r="Y456" t="str">
        <f t="shared" si="29"/>
        <v>Exclude</v>
      </c>
    </row>
    <row r="457" spans="1:25">
      <c r="A457" t="s">
        <v>1477</v>
      </c>
      <c r="B457" s="3">
        <v>45491</v>
      </c>
      <c r="C457" s="3">
        <v>45495</v>
      </c>
      <c r="D457" s="6">
        <f t="shared" si="30"/>
        <v>4</v>
      </c>
      <c r="E457" t="s">
        <v>1478</v>
      </c>
      <c r="F457" t="s">
        <v>79</v>
      </c>
      <c r="G457" s="5" t="s">
        <v>37</v>
      </c>
      <c r="H457" t="s">
        <v>54</v>
      </c>
      <c r="I457" t="s">
        <v>55</v>
      </c>
      <c r="J457" t="s">
        <v>56</v>
      </c>
      <c r="K457" t="s">
        <v>28</v>
      </c>
      <c r="L457" t="s">
        <v>48</v>
      </c>
      <c r="M457" t="s">
        <v>1479</v>
      </c>
      <c r="N457" t="s">
        <v>59</v>
      </c>
      <c r="O457">
        <v>4</v>
      </c>
      <c r="P457">
        <v>808.77</v>
      </c>
      <c r="Q457" s="6">
        <v>0</v>
      </c>
      <c r="R457" s="8">
        <f t="shared" si="28"/>
        <v>0</v>
      </c>
      <c r="S457">
        <v>3235.08</v>
      </c>
      <c r="T457">
        <v>1848.6</v>
      </c>
      <c r="U457">
        <v>1386.48</v>
      </c>
      <c r="V457" t="s">
        <v>32</v>
      </c>
      <c r="W457" t="s">
        <v>33</v>
      </c>
      <c r="X457" t="str">
        <f t="shared" si="31"/>
        <v/>
      </c>
      <c r="Y457" t="str">
        <f t="shared" si="29"/>
        <v>Exclude</v>
      </c>
    </row>
    <row r="458" spans="1:25">
      <c r="A458" t="s">
        <v>1480</v>
      </c>
      <c r="B458" s="3">
        <v>45342</v>
      </c>
      <c r="C458" s="3">
        <v>45342</v>
      </c>
      <c r="D458" s="6">
        <f t="shared" si="30"/>
        <v>0</v>
      </c>
      <c r="E458" t="s">
        <v>1481</v>
      </c>
      <c r="F458" t="s">
        <v>79</v>
      </c>
      <c r="G458" s="5" t="s">
        <v>90</v>
      </c>
      <c r="H458" t="s">
        <v>25</v>
      </c>
      <c r="I458" t="s">
        <v>136</v>
      </c>
      <c r="J458" t="s">
        <v>137</v>
      </c>
      <c r="K458" t="s">
        <v>74</v>
      </c>
      <c r="L458" t="s">
        <v>75</v>
      </c>
      <c r="M458" t="s">
        <v>1482</v>
      </c>
      <c r="N458" t="s">
        <v>44</v>
      </c>
      <c r="O458">
        <v>5</v>
      </c>
      <c r="P458">
        <v>2604.91</v>
      </c>
      <c r="Q458" s="6">
        <v>0.15</v>
      </c>
      <c r="R458" s="8">
        <f t="shared" si="28"/>
        <v>0.15</v>
      </c>
      <c r="S458">
        <v>11070.87</v>
      </c>
      <c r="T458">
        <v>6623.61</v>
      </c>
      <c r="U458">
        <v>4447.26</v>
      </c>
      <c r="V458" t="s">
        <v>32</v>
      </c>
      <c r="W458" t="s">
        <v>103</v>
      </c>
      <c r="X458" t="str">
        <f t="shared" si="31"/>
        <v/>
      </c>
      <c r="Y458" t="str">
        <f t="shared" si="29"/>
        <v>Exclude</v>
      </c>
    </row>
    <row r="459" spans="1:25">
      <c r="A459" t="s">
        <v>1483</v>
      </c>
      <c r="B459" s="3">
        <v>45387</v>
      </c>
      <c r="C459" s="3">
        <v>45387</v>
      </c>
      <c r="D459" s="6">
        <f t="shared" si="30"/>
        <v>0</v>
      </c>
      <c r="E459" t="s">
        <v>1484</v>
      </c>
      <c r="F459" t="s">
        <v>36</v>
      </c>
      <c r="G459" s="5" t="s">
        <v>37</v>
      </c>
      <c r="H459" t="s">
        <v>63</v>
      </c>
      <c r="I459" t="s">
        <v>190</v>
      </c>
      <c r="J459" t="s">
        <v>191</v>
      </c>
      <c r="K459" t="s">
        <v>41</v>
      </c>
      <c r="L459" t="s">
        <v>42</v>
      </c>
      <c r="M459" t="s">
        <v>1485</v>
      </c>
      <c r="N459" t="s">
        <v>59</v>
      </c>
      <c r="O459">
        <v>7</v>
      </c>
      <c r="P459">
        <v>2851.51</v>
      </c>
      <c r="Q459" s="6">
        <v>0</v>
      </c>
      <c r="R459" s="8">
        <f t="shared" si="28"/>
        <v>0</v>
      </c>
      <c r="S459">
        <v>19960.57</v>
      </c>
      <c r="T459">
        <v>16603.599999999999</v>
      </c>
      <c r="U459">
        <v>3356.97</v>
      </c>
      <c r="V459" t="s">
        <v>32</v>
      </c>
      <c r="W459" t="s">
        <v>33</v>
      </c>
      <c r="X459" t="str">
        <f t="shared" si="31"/>
        <v/>
      </c>
      <c r="Y459" t="str">
        <f t="shared" si="29"/>
        <v>Exclude</v>
      </c>
    </row>
    <row r="460" spans="1:25">
      <c r="A460" t="s">
        <v>1486</v>
      </c>
      <c r="B460" s="3">
        <v>45332</v>
      </c>
      <c r="C460" s="3">
        <v>45598</v>
      </c>
      <c r="D460" s="6">
        <f t="shared" si="30"/>
        <v>266</v>
      </c>
      <c r="E460" t="s">
        <v>1487</v>
      </c>
      <c r="F460" t="s">
        <v>23</v>
      </c>
      <c r="G460" s="5" t="s">
        <v>90</v>
      </c>
      <c r="H460" t="s">
        <v>25</v>
      </c>
      <c r="I460" t="s">
        <v>26</v>
      </c>
      <c r="J460" t="s">
        <v>27</v>
      </c>
      <c r="K460" t="s">
        <v>74</v>
      </c>
      <c r="L460" t="s">
        <v>171</v>
      </c>
      <c r="M460" t="s">
        <v>1488</v>
      </c>
      <c r="N460" t="s">
        <v>31</v>
      </c>
      <c r="O460">
        <v>3</v>
      </c>
      <c r="P460">
        <v>3183.72</v>
      </c>
      <c r="Q460" s="6">
        <v>0.1</v>
      </c>
      <c r="R460" s="8">
        <f t="shared" si="28"/>
        <v>0.1</v>
      </c>
      <c r="S460">
        <v>8596.0400000000009</v>
      </c>
      <c r="T460">
        <v>5378.16</v>
      </c>
      <c r="U460">
        <v>3217.88</v>
      </c>
      <c r="V460" t="s">
        <v>32</v>
      </c>
      <c r="W460" t="s">
        <v>33</v>
      </c>
      <c r="X460" t="str">
        <f t="shared" si="31"/>
        <v/>
      </c>
      <c r="Y460" t="str">
        <f t="shared" si="29"/>
        <v>Exclude</v>
      </c>
    </row>
    <row r="461" spans="1:25">
      <c r="A461" t="s">
        <v>1489</v>
      </c>
      <c r="B461" s="3">
        <v>45379</v>
      </c>
      <c r="C461" s="3">
        <v>45386</v>
      </c>
      <c r="D461" s="6">
        <f t="shared" si="30"/>
        <v>7</v>
      </c>
      <c r="E461" t="s">
        <v>1490</v>
      </c>
      <c r="F461" t="s">
        <v>62</v>
      </c>
      <c r="G461" s="5" t="s">
        <v>95</v>
      </c>
      <c r="H461" t="s">
        <v>63</v>
      </c>
      <c r="I461" t="s">
        <v>190</v>
      </c>
      <c r="J461" t="s">
        <v>191</v>
      </c>
      <c r="K461" t="s">
        <v>28</v>
      </c>
      <c r="L461" t="s">
        <v>29</v>
      </c>
      <c r="M461" t="s">
        <v>1491</v>
      </c>
      <c r="N461" t="s">
        <v>50</v>
      </c>
      <c r="O461">
        <v>3</v>
      </c>
      <c r="P461">
        <v>1150.92</v>
      </c>
      <c r="Q461" s="6">
        <v>0</v>
      </c>
      <c r="R461" s="8">
        <f t="shared" si="28"/>
        <v>0</v>
      </c>
      <c r="S461">
        <v>3452.76</v>
      </c>
      <c r="T461">
        <v>2077.96</v>
      </c>
      <c r="U461">
        <v>1374.8</v>
      </c>
      <c r="V461" t="s">
        <v>32</v>
      </c>
      <c r="W461" t="s">
        <v>33</v>
      </c>
      <c r="X461" t="str">
        <f t="shared" si="31"/>
        <v/>
      </c>
      <c r="Y461" t="str">
        <f t="shared" si="29"/>
        <v>Exclude</v>
      </c>
    </row>
    <row r="462" spans="1:25">
      <c r="A462" t="s">
        <v>1492</v>
      </c>
      <c r="B462" s="3">
        <v>45930</v>
      </c>
      <c r="C462" s="3">
        <v>45818</v>
      </c>
      <c r="D462" s="6">
        <f t="shared" si="30"/>
        <v>-112</v>
      </c>
      <c r="E462" t="s">
        <v>1493</v>
      </c>
      <c r="F462" t="s">
        <v>128</v>
      </c>
      <c r="G462" s="5" t="s">
        <v>90</v>
      </c>
      <c r="H462" t="s">
        <v>2806</v>
      </c>
      <c r="I462" t="s">
        <v>26</v>
      </c>
      <c r="J462" t="s">
        <v>27</v>
      </c>
      <c r="K462" t="s">
        <v>74</v>
      </c>
      <c r="L462" t="s">
        <v>80</v>
      </c>
      <c r="M462" t="s">
        <v>1494</v>
      </c>
      <c r="N462" t="s">
        <v>31</v>
      </c>
      <c r="O462">
        <v>9</v>
      </c>
      <c r="P462">
        <v>1359.88</v>
      </c>
      <c r="Q462" s="6">
        <v>0.05</v>
      </c>
      <c r="R462" s="8">
        <f t="shared" si="28"/>
        <v>0.05</v>
      </c>
      <c r="S462">
        <v>11626.97</v>
      </c>
      <c r="T462">
        <v>7394.07</v>
      </c>
      <c r="U462">
        <v>4232.8999999999996</v>
      </c>
      <c r="V462" t="s">
        <v>32</v>
      </c>
      <c r="W462" t="s">
        <v>33</v>
      </c>
      <c r="X462" t="str">
        <f t="shared" si="31"/>
        <v>INVALID: Ship date before order date</v>
      </c>
      <c r="Y462" t="str">
        <f t="shared" si="29"/>
        <v>Exclude</v>
      </c>
    </row>
    <row r="463" spans="1:25">
      <c r="A463" t="s">
        <v>1495</v>
      </c>
      <c r="B463" s="3">
        <v>45802</v>
      </c>
      <c r="C463" s="3">
        <v>45803</v>
      </c>
      <c r="D463" s="6">
        <f t="shared" si="30"/>
        <v>1</v>
      </c>
      <c r="E463" t="s">
        <v>1496</v>
      </c>
      <c r="F463" t="s">
        <v>79</v>
      </c>
      <c r="G463" s="5" t="s">
        <v>90</v>
      </c>
      <c r="H463" t="s">
        <v>54</v>
      </c>
      <c r="I463" t="s">
        <v>84</v>
      </c>
      <c r="J463" t="s">
        <v>85</v>
      </c>
      <c r="K463" t="s">
        <v>28</v>
      </c>
      <c r="L463" t="s">
        <v>29</v>
      </c>
      <c r="M463" t="s">
        <v>1497</v>
      </c>
      <c r="N463" t="s">
        <v>59</v>
      </c>
      <c r="O463">
        <v>3</v>
      </c>
      <c r="P463">
        <v>3378.15</v>
      </c>
      <c r="Q463" s="6">
        <v>0.15</v>
      </c>
      <c r="R463" s="8">
        <f t="shared" si="28"/>
        <v>0.15</v>
      </c>
      <c r="S463">
        <v>8614.2800000000007</v>
      </c>
      <c r="T463">
        <v>7052.08</v>
      </c>
      <c r="U463">
        <v>1562.2</v>
      </c>
      <c r="V463" t="s">
        <v>32</v>
      </c>
      <c r="W463" t="s">
        <v>33</v>
      </c>
      <c r="X463" t="str">
        <f t="shared" si="31"/>
        <v/>
      </c>
      <c r="Y463" t="str">
        <f t="shared" si="29"/>
        <v>Exclude</v>
      </c>
    </row>
    <row r="464" spans="1:25">
      <c r="A464" t="s">
        <v>1498</v>
      </c>
      <c r="B464" s="3">
        <v>45558</v>
      </c>
      <c r="C464" s="3">
        <v>45560</v>
      </c>
      <c r="D464" s="6">
        <f t="shared" si="30"/>
        <v>2</v>
      </c>
      <c r="E464" t="s">
        <v>1499</v>
      </c>
      <c r="F464" t="s">
        <v>128</v>
      </c>
      <c r="G464" s="5" t="s">
        <v>95</v>
      </c>
      <c r="H464" t="s">
        <v>25</v>
      </c>
      <c r="I464" t="s">
        <v>351</v>
      </c>
      <c r="J464" t="s">
        <v>352</v>
      </c>
      <c r="K464" t="s">
        <v>28</v>
      </c>
      <c r="L464" t="s">
        <v>153</v>
      </c>
      <c r="M464" t="s">
        <v>1500</v>
      </c>
      <c r="N464" t="s">
        <v>50</v>
      </c>
      <c r="O464">
        <v>2</v>
      </c>
      <c r="P464">
        <v>1275.1400000000001</v>
      </c>
      <c r="Q464" s="6">
        <v>0.2</v>
      </c>
      <c r="R464" s="8">
        <f t="shared" si="28"/>
        <v>0.2</v>
      </c>
      <c r="S464">
        <v>2040.22</v>
      </c>
      <c r="T464">
        <v>1395.71</v>
      </c>
      <c r="U464">
        <v>644.51</v>
      </c>
      <c r="V464" t="s">
        <v>32</v>
      </c>
      <c r="W464" t="s">
        <v>33</v>
      </c>
      <c r="X464" t="str">
        <f t="shared" si="31"/>
        <v/>
      </c>
      <c r="Y464" t="str">
        <f t="shared" si="29"/>
        <v>Exclude</v>
      </c>
    </row>
    <row r="465" spans="1:25">
      <c r="A465" t="s">
        <v>1501</v>
      </c>
      <c r="B465" s="3">
        <v>45695</v>
      </c>
      <c r="C465" s="3">
        <v>45871</v>
      </c>
      <c r="D465" s="6">
        <f t="shared" si="30"/>
        <v>176</v>
      </c>
      <c r="E465" t="s">
        <v>1502</v>
      </c>
      <c r="F465" t="s">
        <v>53</v>
      </c>
      <c r="G465" s="5" t="s">
        <v>90</v>
      </c>
      <c r="H465" t="s">
        <v>63</v>
      </c>
      <c r="I465" t="s">
        <v>72</v>
      </c>
      <c r="J465" t="s">
        <v>73</v>
      </c>
      <c r="K465" t="s">
        <v>74</v>
      </c>
      <c r="L465" t="s">
        <v>171</v>
      </c>
      <c r="M465" t="s">
        <v>1503</v>
      </c>
      <c r="N465" t="s">
        <v>59</v>
      </c>
      <c r="O465">
        <v>4</v>
      </c>
      <c r="P465">
        <v>889.5</v>
      </c>
      <c r="Q465" s="6">
        <v>0.2</v>
      </c>
      <c r="R465" s="8">
        <f t="shared" si="28"/>
        <v>0.2</v>
      </c>
      <c r="S465">
        <v>2846.4</v>
      </c>
      <c r="T465">
        <v>2132.37</v>
      </c>
      <c r="U465">
        <v>714.03</v>
      </c>
      <c r="V465" t="s">
        <v>32</v>
      </c>
      <c r="W465" t="s">
        <v>33</v>
      </c>
      <c r="X465" t="str">
        <f t="shared" si="31"/>
        <v/>
      </c>
      <c r="Y465" t="str">
        <f t="shared" si="29"/>
        <v>Exclude</v>
      </c>
    </row>
    <row r="466" spans="1:25">
      <c r="A466" t="s">
        <v>1504</v>
      </c>
      <c r="B466" s="3">
        <v>45727</v>
      </c>
      <c r="C466" s="3">
        <v>45731</v>
      </c>
      <c r="D466" s="6">
        <f t="shared" si="30"/>
        <v>4</v>
      </c>
      <c r="E466" t="s">
        <v>1505</v>
      </c>
      <c r="F466" t="s">
        <v>53</v>
      </c>
      <c r="G466" s="5" t="s">
        <v>90</v>
      </c>
      <c r="H466" t="s">
        <v>38</v>
      </c>
      <c r="I466" t="s">
        <v>145</v>
      </c>
      <c r="J466" t="s">
        <v>146</v>
      </c>
      <c r="K466" t="s">
        <v>28</v>
      </c>
      <c r="L466" t="s">
        <v>29</v>
      </c>
      <c r="M466" t="s">
        <v>1506</v>
      </c>
      <c r="N466" t="s">
        <v>44</v>
      </c>
      <c r="O466">
        <v>3</v>
      </c>
      <c r="P466">
        <v>3625.08</v>
      </c>
      <c r="Q466" s="6">
        <v>0.05</v>
      </c>
      <c r="R466" s="8">
        <f t="shared" si="28"/>
        <v>0.05</v>
      </c>
      <c r="S466">
        <v>10331.48</v>
      </c>
      <c r="T466">
        <v>7131.91</v>
      </c>
      <c r="U466">
        <v>3199.57</v>
      </c>
      <c r="V466" t="s">
        <v>111</v>
      </c>
      <c r="W466" t="s">
        <v>68</v>
      </c>
      <c r="X466" t="str">
        <f t="shared" si="31"/>
        <v>EXCLUDE: Cancelled order</v>
      </c>
      <c r="Y466" t="str">
        <f t="shared" si="29"/>
        <v>Exclude</v>
      </c>
    </row>
    <row r="467" spans="1:25">
      <c r="A467" t="s">
        <v>1507</v>
      </c>
      <c r="B467" s="3">
        <v>45320</v>
      </c>
      <c r="C467" s="3">
        <v>45445</v>
      </c>
      <c r="D467" s="6">
        <f t="shared" si="30"/>
        <v>125</v>
      </c>
      <c r="E467" t="s">
        <v>1508</v>
      </c>
      <c r="F467" t="s">
        <v>128</v>
      </c>
      <c r="G467" s="5" t="s">
        <v>37</v>
      </c>
      <c r="H467" t="s">
        <v>63</v>
      </c>
      <c r="I467" t="s">
        <v>72</v>
      </c>
      <c r="J467" t="s">
        <v>73</v>
      </c>
      <c r="K467" t="s">
        <v>28</v>
      </c>
      <c r="L467" t="s">
        <v>91</v>
      </c>
      <c r="M467" t="s">
        <v>1509</v>
      </c>
      <c r="N467" t="s">
        <v>59</v>
      </c>
      <c r="O467">
        <v>2</v>
      </c>
      <c r="P467">
        <v>1258.9000000000001</v>
      </c>
      <c r="Q467" s="6">
        <v>0</v>
      </c>
      <c r="R467" s="8">
        <f t="shared" si="28"/>
        <v>0</v>
      </c>
      <c r="S467">
        <v>2517.8000000000002</v>
      </c>
      <c r="T467">
        <v>1478.54</v>
      </c>
      <c r="U467">
        <v>1039.26</v>
      </c>
      <c r="V467" t="s">
        <v>32</v>
      </c>
      <c r="W467" t="s">
        <v>33</v>
      </c>
      <c r="X467" t="str">
        <f t="shared" si="31"/>
        <v/>
      </c>
      <c r="Y467" t="str">
        <f t="shared" si="29"/>
        <v>Exclude</v>
      </c>
    </row>
    <row r="468" spans="1:25">
      <c r="A468" t="s">
        <v>1510</v>
      </c>
      <c r="B468" s="3">
        <v>45295</v>
      </c>
      <c r="C468" s="3">
        <v>45505</v>
      </c>
      <c r="D468" s="6">
        <f t="shared" si="30"/>
        <v>210</v>
      </c>
      <c r="E468" t="s">
        <v>1511</v>
      </c>
      <c r="F468" t="s">
        <v>36</v>
      </c>
      <c r="G468" s="5" t="s">
        <v>37</v>
      </c>
      <c r="H468" t="s">
        <v>38</v>
      </c>
      <c r="I468" t="s">
        <v>145</v>
      </c>
      <c r="J468" t="s">
        <v>146</v>
      </c>
      <c r="K468" t="s">
        <v>74</v>
      </c>
      <c r="L468" t="s">
        <v>75</v>
      </c>
      <c r="M468" t="s">
        <v>1512</v>
      </c>
      <c r="N468" t="s">
        <v>44</v>
      </c>
      <c r="O468">
        <v>9</v>
      </c>
      <c r="P468">
        <v>1591.96</v>
      </c>
      <c r="Q468" s="6">
        <v>0.2</v>
      </c>
      <c r="R468" s="8">
        <f t="shared" si="28"/>
        <v>0.2</v>
      </c>
      <c r="S468">
        <v>11462.11</v>
      </c>
      <c r="T468">
        <v>7105.48</v>
      </c>
      <c r="U468">
        <v>4356.63</v>
      </c>
      <c r="V468" t="s">
        <v>32</v>
      </c>
      <c r="W468" t="s">
        <v>33</v>
      </c>
      <c r="X468" t="str">
        <f t="shared" si="31"/>
        <v/>
      </c>
      <c r="Y468" t="str">
        <f t="shared" si="29"/>
        <v>Exclude</v>
      </c>
    </row>
    <row r="469" spans="1:25">
      <c r="A469" t="s">
        <v>1513</v>
      </c>
      <c r="B469" s="3">
        <v>45524</v>
      </c>
      <c r="C469" s="3">
        <v>45525</v>
      </c>
      <c r="D469" s="6">
        <f t="shared" si="30"/>
        <v>1</v>
      </c>
      <c r="E469" t="s">
        <v>1514</v>
      </c>
      <c r="F469" t="s">
        <v>89</v>
      </c>
      <c r="G469" s="5" t="s">
        <v>90</v>
      </c>
      <c r="H469" t="s">
        <v>38</v>
      </c>
      <c r="I469" t="s">
        <v>39</v>
      </c>
      <c r="J469" t="s">
        <v>40</v>
      </c>
      <c r="K469" t="s">
        <v>74</v>
      </c>
      <c r="L469" t="s">
        <v>80</v>
      </c>
      <c r="M469" t="s">
        <v>1515</v>
      </c>
      <c r="N469" t="s">
        <v>50</v>
      </c>
      <c r="O469">
        <v>5</v>
      </c>
      <c r="P469">
        <v>4288.33</v>
      </c>
      <c r="Q469" s="6">
        <v>0.1</v>
      </c>
      <c r="R469" s="8">
        <f t="shared" si="28"/>
        <v>0.1</v>
      </c>
      <c r="S469">
        <v>19297.490000000002</v>
      </c>
      <c r="T469">
        <v>15451.66</v>
      </c>
      <c r="U469">
        <v>3845.83</v>
      </c>
      <c r="V469" t="s">
        <v>102</v>
      </c>
      <c r="W469" t="s">
        <v>68</v>
      </c>
      <c r="X469" t="str">
        <f t="shared" si="31"/>
        <v>EXCLUDE: Cancelled order; REFUND: Summarize separately</v>
      </c>
      <c r="Y469" t="str">
        <f t="shared" si="29"/>
        <v>Exclude</v>
      </c>
    </row>
    <row r="470" spans="1:25">
      <c r="A470" t="s">
        <v>1516</v>
      </c>
      <c r="B470" s="3">
        <v>45666</v>
      </c>
      <c r="C470" s="3">
        <v>45839</v>
      </c>
      <c r="D470" s="6">
        <f t="shared" si="30"/>
        <v>173</v>
      </c>
      <c r="E470" t="s">
        <v>1517</v>
      </c>
      <c r="F470" t="s">
        <v>128</v>
      </c>
      <c r="G470" s="5" t="s">
        <v>95</v>
      </c>
      <c r="H470" t="s">
        <v>38</v>
      </c>
      <c r="I470" t="s">
        <v>99</v>
      </c>
      <c r="J470" t="s">
        <v>100</v>
      </c>
      <c r="K470" t="s">
        <v>28</v>
      </c>
      <c r="L470" t="s">
        <v>153</v>
      </c>
      <c r="M470" t="s">
        <v>1518</v>
      </c>
      <c r="N470" t="s">
        <v>31</v>
      </c>
      <c r="O470">
        <v>3</v>
      </c>
      <c r="P470">
        <v>2188.33</v>
      </c>
      <c r="Q470" s="6">
        <v>0</v>
      </c>
      <c r="R470" s="8">
        <f t="shared" si="28"/>
        <v>0</v>
      </c>
      <c r="S470">
        <v>6564.99</v>
      </c>
      <c r="T470">
        <v>5407.24</v>
      </c>
      <c r="U470">
        <v>1157.75</v>
      </c>
      <c r="V470" t="s">
        <v>32</v>
      </c>
      <c r="W470" t="s">
        <v>33</v>
      </c>
      <c r="X470" t="str">
        <f t="shared" si="31"/>
        <v/>
      </c>
      <c r="Y470" t="str">
        <f t="shared" si="29"/>
        <v>Exclude</v>
      </c>
    </row>
    <row r="471" spans="1:25">
      <c r="A471" t="s">
        <v>1519</v>
      </c>
      <c r="B471" s="3">
        <v>45310</v>
      </c>
      <c r="C471" s="3">
        <v>45316</v>
      </c>
      <c r="D471" s="6">
        <f t="shared" si="30"/>
        <v>6</v>
      </c>
      <c r="E471" t="s">
        <v>1520</v>
      </c>
      <c r="F471" t="s">
        <v>89</v>
      </c>
      <c r="G471" s="5" t="s">
        <v>90</v>
      </c>
      <c r="H471" t="s">
        <v>63</v>
      </c>
      <c r="I471" t="s">
        <v>190</v>
      </c>
      <c r="J471" t="s">
        <v>191</v>
      </c>
      <c r="K471" t="s">
        <v>74</v>
      </c>
      <c r="L471" t="s">
        <v>80</v>
      </c>
      <c r="M471" t="s">
        <v>1521</v>
      </c>
      <c r="N471" t="s">
        <v>50</v>
      </c>
      <c r="O471">
        <v>3</v>
      </c>
      <c r="P471">
        <v>1041.6600000000001</v>
      </c>
      <c r="Q471" s="6">
        <v>0.1</v>
      </c>
      <c r="R471" s="8">
        <f t="shared" si="28"/>
        <v>0.1</v>
      </c>
      <c r="S471">
        <v>2812.48</v>
      </c>
      <c r="T471">
        <v>2282.12</v>
      </c>
      <c r="U471">
        <v>530.36</v>
      </c>
      <c r="V471" t="s">
        <v>32</v>
      </c>
      <c r="W471" t="s">
        <v>33</v>
      </c>
      <c r="X471" t="str">
        <f t="shared" si="31"/>
        <v/>
      </c>
      <c r="Y471" t="str">
        <f t="shared" si="29"/>
        <v>Exclude</v>
      </c>
    </row>
    <row r="472" spans="1:25">
      <c r="A472" t="s">
        <v>1522</v>
      </c>
      <c r="B472" s="3">
        <v>45501</v>
      </c>
      <c r="C472" s="3">
        <v>45504</v>
      </c>
      <c r="D472" s="6">
        <f t="shared" si="30"/>
        <v>3</v>
      </c>
      <c r="E472" t="s">
        <v>1523</v>
      </c>
      <c r="F472" t="s">
        <v>89</v>
      </c>
      <c r="G472" s="5" t="s">
        <v>24</v>
      </c>
      <c r="H472" t="s">
        <v>25</v>
      </c>
      <c r="I472" t="s">
        <v>26</v>
      </c>
      <c r="J472" t="s">
        <v>27</v>
      </c>
      <c r="K472" t="s">
        <v>41</v>
      </c>
      <c r="L472" t="s">
        <v>42</v>
      </c>
      <c r="M472" t="s">
        <v>1524</v>
      </c>
      <c r="N472" t="s">
        <v>44</v>
      </c>
      <c r="O472">
        <v>2</v>
      </c>
      <c r="P472">
        <v>4424.78</v>
      </c>
      <c r="Q472" s="6">
        <v>0.2</v>
      </c>
      <c r="R472" s="8">
        <f t="shared" si="28"/>
        <v>0.2</v>
      </c>
      <c r="S472">
        <v>7079.65</v>
      </c>
      <c r="T472">
        <v>4465.91</v>
      </c>
      <c r="U472">
        <v>2613.7399999999998</v>
      </c>
      <c r="V472" t="s">
        <v>32</v>
      </c>
      <c r="W472" t="s">
        <v>33</v>
      </c>
      <c r="X472" t="str">
        <f t="shared" si="31"/>
        <v/>
      </c>
      <c r="Y472" t="str">
        <f t="shared" si="29"/>
        <v>Exclude</v>
      </c>
    </row>
    <row r="473" spans="1:25">
      <c r="A473" t="s">
        <v>1525</v>
      </c>
      <c r="B473" s="3">
        <v>45333</v>
      </c>
      <c r="C473" s="3">
        <v>45337</v>
      </c>
      <c r="D473" s="6">
        <f t="shared" si="30"/>
        <v>4</v>
      </c>
      <c r="E473" t="s">
        <v>1526</v>
      </c>
      <c r="F473" t="s">
        <v>265</v>
      </c>
      <c r="G473" s="5" t="s">
        <v>24</v>
      </c>
      <c r="H473" t="s">
        <v>54</v>
      </c>
      <c r="I473" t="s">
        <v>55</v>
      </c>
      <c r="J473" t="s">
        <v>56</v>
      </c>
      <c r="K473" t="s">
        <v>28</v>
      </c>
      <c r="L473" t="s">
        <v>153</v>
      </c>
      <c r="M473" t="s">
        <v>1527</v>
      </c>
      <c r="N473" t="s">
        <v>59</v>
      </c>
      <c r="O473">
        <v>3</v>
      </c>
      <c r="P473">
        <v>3019.14</v>
      </c>
      <c r="Q473" s="6">
        <v>0.25</v>
      </c>
      <c r="R473" s="8">
        <f t="shared" si="28"/>
        <v>0.25</v>
      </c>
      <c r="S473">
        <v>6793.07</v>
      </c>
      <c r="T473">
        <v>4985.22</v>
      </c>
      <c r="U473">
        <v>1807.85</v>
      </c>
      <c r="V473" t="s">
        <v>32</v>
      </c>
      <c r="W473" t="s">
        <v>33</v>
      </c>
      <c r="X473" t="str">
        <f t="shared" si="31"/>
        <v/>
      </c>
      <c r="Y473" t="str">
        <f t="shared" si="29"/>
        <v>Exclude</v>
      </c>
    </row>
    <row r="474" spans="1:25">
      <c r="A474" t="s">
        <v>1528</v>
      </c>
      <c r="B474" s="3">
        <v>45353</v>
      </c>
      <c r="C474" s="3">
        <v>45476</v>
      </c>
      <c r="D474" s="6">
        <f t="shared" si="30"/>
        <v>123</v>
      </c>
      <c r="E474" t="s">
        <v>1529</v>
      </c>
      <c r="F474" t="s">
        <v>141</v>
      </c>
      <c r="G474" s="5" t="s">
        <v>90</v>
      </c>
      <c r="H474" t="s">
        <v>38</v>
      </c>
      <c r="I474" t="s">
        <v>39</v>
      </c>
      <c r="J474" t="s">
        <v>40</v>
      </c>
      <c r="K474" t="s">
        <v>28</v>
      </c>
      <c r="L474" t="s">
        <v>124</v>
      </c>
      <c r="M474" t="s">
        <v>1530</v>
      </c>
      <c r="N474" t="s">
        <v>59</v>
      </c>
      <c r="O474">
        <v>7</v>
      </c>
      <c r="P474">
        <v>263.45999999999998</v>
      </c>
      <c r="Q474" s="6">
        <v>0</v>
      </c>
      <c r="R474" s="8">
        <f t="shared" si="28"/>
        <v>0</v>
      </c>
      <c r="S474">
        <v>1844.22</v>
      </c>
      <c r="T474">
        <v>1094.21</v>
      </c>
      <c r="U474">
        <v>750.01</v>
      </c>
      <c r="V474" t="s">
        <v>32</v>
      </c>
      <c r="W474" t="s">
        <v>33</v>
      </c>
      <c r="X474" t="str">
        <f t="shared" si="31"/>
        <v/>
      </c>
      <c r="Y474" t="str">
        <f t="shared" si="29"/>
        <v>Exclude</v>
      </c>
    </row>
    <row r="475" spans="1:25">
      <c r="A475" t="s">
        <v>1531</v>
      </c>
      <c r="B475" s="3">
        <v>45609</v>
      </c>
      <c r="C475" s="3">
        <v>45609</v>
      </c>
      <c r="D475" s="6">
        <f t="shared" si="30"/>
        <v>0</v>
      </c>
      <c r="E475" t="s">
        <v>1532</v>
      </c>
      <c r="F475" t="s">
        <v>114</v>
      </c>
      <c r="G475" s="5" t="s">
        <v>24</v>
      </c>
      <c r="H475" t="s">
        <v>63</v>
      </c>
      <c r="I475" t="s">
        <v>190</v>
      </c>
      <c r="J475" t="s">
        <v>191</v>
      </c>
      <c r="K475" t="s">
        <v>74</v>
      </c>
      <c r="L475" t="s">
        <v>80</v>
      </c>
      <c r="M475" t="s">
        <v>1533</v>
      </c>
      <c r="N475" t="s">
        <v>59</v>
      </c>
      <c r="O475">
        <v>6</v>
      </c>
      <c r="P475">
        <v>191.45</v>
      </c>
      <c r="Q475" s="6">
        <v>0.2</v>
      </c>
      <c r="R475" s="8">
        <f t="shared" si="28"/>
        <v>0.2</v>
      </c>
      <c r="S475">
        <v>918.96</v>
      </c>
      <c r="T475">
        <v>554.17999999999995</v>
      </c>
      <c r="U475">
        <v>364.78</v>
      </c>
      <c r="V475" t="s">
        <v>32</v>
      </c>
      <c r="W475" t="s">
        <v>33</v>
      </c>
      <c r="X475" t="str">
        <f t="shared" si="31"/>
        <v/>
      </c>
      <c r="Y475" t="str">
        <f t="shared" si="29"/>
        <v>Exclude</v>
      </c>
    </row>
    <row r="476" spans="1:25">
      <c r="A476" t="s">
        <v>1534</v>
      </c>
      <c r="B476" s="3">
        <v>45446</v>
      </c>
      <c r="C476" s="3">
        <v>45571</v>
      </c>
      <c r="D476" s="6">
        <f t="shared" si="30"/>
        <v>125</v>
      </c>
      <c r="E476" t="s">
        <v>1535</v>
      </c>
      <c r="F476" t="s">
        <v>162</v>
      </c>
      <c r="G476" s="5" t="s">
        <v>90</v>
      </c>
      <c r="H476" t="s">
        <v>25</v>
      </c>
      <c r="I476" t="s">
        <v>122</v>
      </c>
      <c r="J476" t="s">
        <v>123</v>
      </c>
      <c r="K476" t="s">
        <v>41</v>
      </c>
      <c r="L476" t="s">
        <v>57</v>
      </c>
      <c r="M476" t="s">
        <v>1536</v>
      </c>
      <c r="N476" t="s">
        <v>59</v>
      </c>
      <c r="O476">
        <v>3</v>
      </c>
      <c r="P476">
        <v>1633.57</v>
      </c>
      <c r="Q476" s="6">
        <v>0</v>
      </c>
      <c r="R476" s="8">
        <f t="shared" si="28"/>
        <v>0</v>
      </c>
      <c r="S476">
        <v>4900.71</v>
      </c>
      <c r="T476">
        <v>2713.9</v>
      </c>
      <c r="U476">
        <v>2186.81</v>
      </c>
      <c r="V476" t="s">
        <v>32</v>
      </c>
      <c r="W476" t="s">
        <v>33</v>
      </c>
      <c r="X476" t="str">
        <f t="shared" si="31"/>
        <v/>
      </c>
      <c r="Y476" t="str">
        <f t="shared" si="29"/>
        <v>Exclude</v>
      </c>
    </row>
    <row r="477" spans="1:25">
      <c r="A477" t="s">
        <v>1537</v>
      </c>
      <c r="B477" s="3">
        <v>45660</v>
      </c>
      <c r="C477" s="3">
        <v>45872</v>
      </c>
      <c r="D477" s="6">
        <f t="shared" si="30"/>
        <v>212</v>
      </c>
      <c r="E477" t="s">
        <v>1538</v>
      </c>
      <c r="F477" t="s">
        <v>71</v>
      </c>
      <c r="G477" s="5" t="s">
        <v>24</v>
      </c>
      <c r="H477" t="s">
        <v>38</v>
      </c>
      <c r="I477" t="s">
        <v>99</v>
      </c>
      <c r="J477" t="s">
        <v>100</v>
      </c>
      <c r="K477" t="s">
        <v>41</v>
      </c>
      <c r="L477" t="s">
        <v>66</v>
      </c>
      <c r="M477" t="s">
        <v>1539</v>
      </c>
      <c r="N477" t="s">
        <v>44</v>
      </c>
      <c r="O477">
        <v>8</v>
      </c>
      <c r="P477">
        <v>3378.82</v>
      </c>
      <c r="Q477" s="6">
        <v>0.25</v>
      </c>
      <c r="R477" s="8">
        <f t="shared" si="28"/>
        <v>0.25</v>
      </c>
      <c r="S477">
        <v>20272.919999999998</v>
      </c>
      <c r="T477">
        <v>15873.38</v>
      </c>
      <c r="U477">
        <v>4399.54</v>
      </c>
      <c r="V477" t="s">
        <v>111</v>
      </c>
      <c r="W477" t="s">
        <v>103</v>
      </c>
      <c r="X477" t="str">
        <f t="shared" si="31"/>
        <v/>
      </c>
      <c r="Y477" t="str">
        <f t="shared" si="29"/>
        <v>Exclude</v>
      </c>
    </row>
    <row r="478" spans="1:25">
      <c r="A478" t="s">
        <v>1540</v>
      </c>
      <c r="B478" s="3">
        <v>45478</v>
      </c>
      <c r="C478" s="3">
        <v>45426</v>
      </c>
      <c r="D478" s="6">
        <f t="shared" si="30"/>
        <v>-52</v>
      </c>
      <c r="E478" t="s">
        <v>1541</v>
      </c>
      <c r="F478" t="s">
        <v>132</v>
      </c>
      <c r="G478" s="5" t="s">
        <v>37</v>
      </c>
      <c r="H478" t="s">
        <v>25</v>
      </c>
      <c r="I478" t="s">
        <v>26</v>
      </c>
      <c r="J478" t="s">
        <v>27</v>
      </c>
      <c r="K478" t="s">
        <v>28</v>
      </c>
      <c r="L478" t="s">
        <v>124</v>
      </c>
      <c r="M478" t="s">
        <v>1542</v>
      </c>
      <c r="N478" t="s">
        <v>50</v>
      </c>
      <c r="O478">
        <v>3</v>
      </c>
      <c r="P478">
        <v>383.58</v>
      </c>
      <c r="Q478" s="6">
        <v>0.1</v>
      </c>
      <c r="R478" s="8">
        <f t="shared" si="28"/>
        <v>0.1</v>
      </c>
      <c r="S478">
        <v>1035.67</v>
      </c>
      <c r="T478">
        <v>595.41999999999996</v>
      </c>
      <c r="U478">
        <v>440.25</v>
      </c>
      <c r="V478" t="s">
        <v>32</v>
      </c>
      <c r="W478" t="s">
        <v>33</v>
      </c>
      <c r="X478" t="str">
        <f t="shared" si="31"/>
        <v>INVALID: Ship date before order date</v>
      </c>
      <c r="Y478" t="str">
        <f t="shared" si="29"/>
        <v>Exclude</v>
      </c>
    </row>
    <row r="479" spans="1:25">
      <c r="A479" t="s">
        <v>1543</v>
      </c>
      <c r="B479" s="3">
        <v>45892</v>
      </c>
      <c r="C479" s="3">
        <v>45897</v>
      </c>
      <c r="D479" s="6">
        <f t="shared" si="30"/>
        <v>5</v>
      </c>
      <c r="E479" t="s">
        <v>1544</v>
      </c>
      <c r="F479" t="s">
        <v>71</v>
      </c>
      <c r="G479" s="5" t="s">
        <v>90</v>
      </c>
      <c r="H479" t="s">
        <v>63</v>
      </c>
      <c r="I479" t="s">
        <v>180</v>
      </c>
      <c r="J479" t="s">
        <v>181</v>
      </c>
      <c r="K479" t="s">
        <v>41</v>
      </c>
      <c r="L479" t="s">
        <v>66</v>
      </c>
      <c r="M479" t="s">
        <v>1545</v>
      </c>
      <c r="N479" t="s">
        <v>59</v>
      </c>
      <c r="O479">
        <v>6</v>
      </c>
      <c r="P479">
        <v>2193.23</v>
      </c>
      <c r="Q479" s="6">
        <v>0.1</v>
      </c>
      <c r="R479" s="8">
        <f t="shared" si="28"/>
        <v>0.1</v>
      </c>
      <c r="S479">
        <v>11843.44</v>
      </c>
      <c r="T479">
        <v>9356.8799999999992</v>
      </c>
      <c r="U479">
        <v>2486.56</v>
      </c>
      <c r="V479" t="s">
        <v>32</v>
      </c>
      <c r="W479" t="s">
        <v>68</v>
      </c>
      <c r="X479" t="str">
        <f t="shared" si="31"/>
        <v>EXCLUDE: Cancelled order</v>
      </c>
      <c r="Y479" t="str">
        <f t="shared" si="29"/>
        <v>Exclude</v>
      </c>
    </row>
    <row r="480" spans="1:25">
      <c r="A480" t="s">
        <v>1546</v>
      </c>
      <c r="B480" s="3">
        <v>45541</v>
      </c>
      <c r="C480" s="3">
        <v>45456</v>
      </c>
      <c r="D480" s="6">
        <f t="shared" si="30"/>
        <v>-85</v>
      </c>
      <c r="E480" t="s">
        <v>1547</v>
      </c>
      <c r="F480" t="s">
        <v>36</v>
      </c>
      <c r="G480" s="5" t="s">
        <v>95</v>
      </c>
      <c r="H480" t="s">
        <v>2806</v>
      </c>
      <c r="I480" t="s">
        <v>136</v>
      </c>
      <c r="J480" t="s">
        <v>137</v>
      </c>
      <c r="K480" t="s">
        <v>74</v>
      </c>
      <c r="L480" t="s">
        <v>275</v>
      </c>
      <c r="M480" t="s">
        <v>1548</v>
      </c>
      <c r="N480" t="s">
        <v>44</v>
      </c>
      <c r="O480">
        <v>7</v>
      </c>
      <c r="P480">
        <v>4079.71</v>
      </c>
      <c r="Q480" s="6">
        <v>0.1</v>
      </c>
      <c r="R480" s="8">
        <f t="shared" si="28"/>
        <v>0.1</v>
      </c>
      <c r="S480">
        <v>25702.17</v>
      </c>
      <c r="T480">
        <v>14571.48</v>
      </c>
      <c r="U480">
        <v>11130.69</v>
      </c>
      <c r="V480" t="s">
        <v>102</v>
      </c>
      <c r="W480" t="s">
        <v>103</v>
      </c>
      <c r="X480" t="str">
        <f t="shared" si="31"/>
        <v>INVALID: Ship date before order date; REFUND: Summarize separately</v>
      </c>
      <c r="Y480" t="str">
        <f t="shared" si="29"/>
        <v>Exclude</v>
      </c>
    </row>
    <row r="481" spans="1:25">
      <c r="A481" t="s">
        <v>1549</v>
      </c>
      <c r="B481" s="3">
        <v>45345</v>
      </c>
      <c r="C481" s="3">
        <v>45342</v>
      </c>
      <c r="D481" s="6">
        <f t="shared" si="30"/>
        <v>-3</v>
      </c>
      <c r="E481" t="s">
        <v>1550</v>
      </c>
      <c r="F481" t="s">
        <v>53</v>
      </c>
      <c r="G481" s="5" t="s">
        <v>90</v>
      </c>
      <c r="H481" t="s">
        <v>38</v>
      </c>
      <c r="I481" t="s">
        <v>39</v>
      </c>
      <c r="J481" t="s">
        <v>40</v>
      </c>
      <c r="K481" t="s">
        <v>41</v>
      </c>
      <c r="L481" t="s">
        <v>66</v>
      </c>
      <c r="M481" t="s">
        <v>1551</v>
      </c>
      <c r="N481" t="s">
        <v>31</v>
      </c>
      <c r="O481">
        <v>1</v>
      </c>
      <c r="P481">
        <v>2202.5500000000002</v>
      </c>
      <c r="Q481" s="6">
        <v>0</v>
      </c>
      <c r="R481" s="8">
        <f t="shared" si="28"/>
        <v>0</v>
      </c>
      <c r="S481">
        <v>1651.91</v>
      </c>
      <c r="T481">
        <v>1034.57</v>
      </c>
      <c r="U481">
        <v>617.34</v>
      </c>
      <c r="V481" t="s">
        <v>32</v>
      </c>
      <c r="W481" t="s">
        <v>33</v>
      </c>
      <c r="X481" t="str">
        <f t="shared" si="31"/>
        <v>INVALID: Ship date before order date</v>
      </c>
      <c r="Y481" t="str">
        <f t="shared" si="29"/>
        <v>Exclude</v>
      </c>
    </row>
    <row r="482" spans="1:25">
      <c r="A482" t="s">
        <v>1552</v>
      </c>
      <c r="B482" s="3">
        <v>45662</v>
      </c>
      <c r="C482" s="3">
        <v>45901</v>
      </c>
      <c r="D482" s="6">
        <f t="shared" si="30"/>
        <v>239</v>
      </c>
      <c r="E482" t="s">
        <v>1553</v>
      </c>
      <c r="F482" t="s">
        <v>79</v>
      </c>
      <c r="G482" s="5" t="s">
        <v>37</v>
      </c>
      <c r="H482" t="s">
        <v>54</v>
      </c>
      <c r="I482" t="s">
        <v>248</v>
      </c>
      <c r="J482" t="s">
        <v>249</v>
      </c>
      <c r="K482" t="s">
        <v>28</v>
      </c>
      <c r="L482" t="s">
        <v>124</v>
      </c>
      <c r="M482" t="s">
        <v>1554</v>
      </c>
      <c r="N482" t="s">
        <v>2806</v>
      </c>
      <c r="O482">
        <v>5</v>
      </c>
      <c r="P482">
        <v>905.16</v>
      </c>
      <c r="Q482" s="6">
        <v>0</v>
      </c>
      <c r="R482" s="8">
        <f t="shared" si="28"/>
        <v>0</v>
      </c>
      <c r="S482">
        <v>4525.8</v>
      </c>
      <c r="T482">
        <v>2714.51</v>
      </c>
      <c r="U482">
        <v>1811.29</v>
      </c>
      <c r="V482" t="s">
        <v>32</v>
      </c>
      <c r="W482" t="s">
        <v>33</v>
      </c>
      <c r="X482" t="str">
        <f t="shared" si="31"/>
        <v/>
      </c>
      <c r="Y482" t="str">
        <f t="shared" si="29"/>
        <v>Exclude</v>
      </c>
    </row>
    <row r="483" spans="1:25">
      <c r="A483" t="s">
        <v>1555</v>
      </c>
      <c r="B483" s="3">
        <v>45813</v>
      </c>
      <c r="C483" s="3">
        <v>45821</v>
      </c>
      <c r="D483" s="6">
        <f t="shared" si="30"/>
        <v>8</v>
      </c>
      <c r="E483" t="s">
        <v>1556</v>
      </c>
      <c r="F483" t="s">
        <v>47</v>
      </c>
      <c r="G483" s="5" t="s">
        <v>24</v>
      </c>
      <c r="H483" t="s">
        <v>25</v>
      </c>
      <c r="I483" t="s">
        <v>136</v>
      </c>
      <c r="J483" t="s">
        <v>137</v>
      </c>
      <c r="K483" t="s">
        <v>74</v>
      </c>
      <c r="L483" t="s">
        <v>275</v>
      </c>
      <c r="M483" t="s">
        <v>1557</v>
      </c>
      <c r="N483" t="s">
        <v>44</v>
      </c>
      <c r="O483">
        <v>4</v>
      </c>
      <c r="P483">
        <v>2793.88</v>
      </c>
      <c r="Q483" s="6" t="s">
        <v>771</v>
      </c>
      <c r="R483" s="8" t="str">
        <f t="shared" si="28"/>
        <v>85%</v>
      </c>
      <c r="S483">
        <v>10616.74</v>
      </c>
      <c r="T483">
        <v>6353.59</v>
      </c>
      <c r="U483">
        <v>4263.1499999999996</v>
      </c>
      <c r="V483" t="s">
        <v>32</v>
      </c>
      <c r="W483" t="s">
        <v>33</v>
      </c>
      <c r="X483" t="str">
        <f t="shared" si="31"/>
        <v>INVALID: Discount above range</v>
      </c>
      <c r="Y483" t="str">
        <f t="shared" si="29"/>
        <v>Exclude</v>
      </c>
    </row>
    <row r="484" spans="1:25">
      <c r="A484" t="s">
        <v>1558</v>
      </c>
      <c r="B484" s="3">
        <v>45495</v>
      </c>
      <c r="C484" s="3">
        <v>45495</v>
      </c>
      <c r="D484" s="6">
        <f t="shared" si="30"/>
        <v>0</v>
      </c>
      <c r="E484" t="s">
        <v>1559</v>
      </c>
      <c r="F484" t="s">
        <v>114</v>
      </c>
      <c r="G484" s="5" t="s">
        <v>24</v>
      </c>
      <c r="H484" t="s">
        <v>54</v>
      </c>
      <c r="I484" t="s">
        <v>175</v>
      </c>
      <c r="J484" t="s">
        <v>176</v>
      </c>
      <c r="K484" t="s">
        <v>74</v>
      </c>
      <c r="L484" t="s">
        <v>75</v>
      </c>
      <c r="M484" t="s">
        <v>1560</v>
      </c>
      <c r="N484" t="s">
        <v>31</v>
      </c>
      <c r="O484">
        <v>3</v>
      </c>
      <c r="P484">
        <v>1286.22</v>
      </c>
      <c r="Q484" s="6">
        <v>0.25</v>
      </c>
      <c r="R484" s="8">
        <f t="shared" si="28"/>
        <v>0.25</v>
      </c>
      <c r="S484">
        <v>2893.99</v>
      </c>
      <c r="T484">
        <v>1856.03</v>
      </c>
      <c r="U484">
        <v>1037.96</v>
      </c>
      <c r="V484" t="s">
        <v>32</v>
      </c>
      <c r="W484" t="s">
        <v>33</v>
      </c>
      <c r="X484" t="str">
        <f t="shared" si="31"/>
        <v/>
      </c>
      <c r="Y484" t="str">
        <f t="shared" si="29"/>
        <v>Exclude</v>
      </c>
    </row>
    <row r="485" spans="1:25">
      <c r="A485" t="s">
        <v>1561</v>
      </c>
      <c r="B485" s="3">
        <v>45651</v>
      </c>
      <c r="C485" s="3">
        <v>45651</v>
      </c>
      <c r="D485" s="6">
        <f t="shared" si="30"/>
        <v>0</v>
      </c>
      <c r="E485" t="s">
        <v>1562</v>
      </c>
      <c r="F485" t="s">
        <v>36</v>
      </c>
      <c r="G485" s="5" t="s">
        <v>90</v>
      </c>
      <c r="H485" t="s">
        <v>38</v>
      </c>
      <c r="I485" t="s">
        <v>145</v>
      </c>
      <c r="J485" t="s">
        <v>146</v>
      </c>
      <c r="K485" t="s">
        <v>74</v>
      </c>
      <c r="L485" t="s">
        <v>80</v>
      </c>
      <c r="M485" t="s">
        <v>1563</v>
      </c>
      <c r="N485" t="s">
        <v>59</v>
      </c>
      <c r="O485">
        <v>1</v>
      </c>
      <c r="P485">
        <v>829.66</v>
      </c>
      <c r="Q485" s="6">
        <v>0.15</v>
      </c>
      <c r="R485" s="8">
        <f t="shared" si="28"/>
        <v>0.15</v>
      </c>
      <c r="S485">
        <v>705.21</v>
      </c>
      <c r="T485">
        <v>438.32</v>
      </c>
      <c r="U485">
        <v>266.89</v>
      </c>
      <c r="V485" t="s">
        <v>32</v>
      </c>
      <c r="W485" t="s">
        <v>33</v>
      </c>
      <c r="X485" t="str">
        <f t="shared" si="31"/>
        <v/>
      </c>
      <c r="Y485" t="str">
        <f t="shared" si="29"/>
        <v>Exclude</v>
      </c>
    </row>
    <row r="486" spans="1:25">
      <c r="A486" t="s">
        <v>1564</v>
      </c>
      <c r="B486" s="3">
        <v>45654</v>
      </c>
      <c r="C486" s="3">
        <v>45657</v>
      </c>
      <c r="D486" s="6">
        <f t="shared" si="30"/>
        <v>3</v>
      </c>
      <c r="E486" t="s">
        <v>1565</v>
      </c>
      <c r="F486" t="s">
        <v>36</v>
      </c>
      <c r="G486" s="5" t="s">
        <v>37</v>
      </c>
      <c r="H486" t="s">
        <v>54</v>
      </c>
      <c r="I486" t="s">
        <v>84</v>
      </c>
      <c r="J486" t="s">
        <v>85</v>
      </c>
      <c r="K486" t="s">
        <v>41</v>
      </c>
      <c r="L486" t="s">
        <v>57</v>
      </c>
      <c r="M486" t="s">
        <v>1566</v>
      </c>
      <c r="N486" t="s">
        <v>50</v>
      </c>
      <c r="O486">
        <v>6</v>
      </c>
      <c r="P486">
        <v>3641.22</v>
      </c>
      <c r="Q486" s="6">
        <v>0.25</v>
      </c>
      <c r="R486" s="8">
        <f t="shared" si="28"/>
        <v>0.25</v>
      </c>
      <c r="S486">
        <v>16385.490000000002</v>
      </c>
      <c r="T486">
        <v>13679.24</v>
      </c>
      <c r="U486">
        <v>2706.25</v>
      </c>
      <c r="V486" t="s">
        <v>32</v>
      </c>
      <c r="W486" t="s">
        <v>33</v>
      </c>
      <c r="X486" t="str">
        <f t="shared" si="31"/>
        <v/>
      </c>
      <c r="Y486" t="str">
        <f t="shared" si="29"/>
        <v>Exclude</v>
      </c>
    </row>
    <row r="487" spans="1:25">
      <c r="A487" t="s">
        <v>1567</v>
      </c>
      <c r="B487" s="3">
        <v>45679</v>
      </c>
      <c r="C487" s="3">
        <v>45680</v>
      </c>
      <c r="D487" s="6">
        <f t="shared" si="30"/>
        <v>1</v>
      </c>
      <c r="E487" t="s">
        <v>1568</v>
      </c>
      <c r="F487" t="s">
        <v>118</v>
      </c>
      <c r="G487" s="5" t="s">
        <v>90</v>
      </c>
      <c r="H487" t="s">
        <v>63</v>
      </c>
      <c r="I487" t="s">
        <v>190</v>
      </c>
      <c r="J487" t="s">
        <v>191</v>
      </c>
      <c r="K487" t="s">
        <v>41</v>
      </c>
      <c r="L487" t="s">
        <v>158</v>
      </c>
      <c r="M487" t="s">
        <v>1569</v>
      </c>
      <c r="N487" t="s">
        <v>59</v>
      </c>
      <c r="O487">
        <v>4</v>
      </c>
      <c r="P487">
        <v>2555.19</v>
      </c>
      <c r="Q487" s="6">
        <v>0.25</v>
      </c>
      <c r="R487" s="8">
        <f t="shared" si="28"/>
        <v>0.25</v>
      </c>
      <c r="S487">
        <v>7665.57</v>
      </c>
      <c r="T487">
        <v>5595.6</v>
      </c>
      <c r="U487">
        <v>2069.9699999999998</v>
      </c>
      <c r="V487" t="s">
        <v>32</v>
      </c>
      <c r="W487" t="s">
        <v>33</v>
      </c>
      <c r="X487" t="str">
        <f t="shared" si="31"/>
        <v/>
      </c>
      <c r="Y487" t="str">
        <f t="shared" si="29"/>
        <v>Exclude</v>
      </c>
    </row>
    <row r="488" spans="1:25">
      <c r="A488" t="s">
        <v>1570</v>
      </c>
      <c r="B488" s="3">
        <v>45830</v>
      </c>
      <c r="C488" s="3">
        <v>45834</v>
      </c>
      <c r="D488" s="6">
        <f t="shared" si="30"/>
        <v>4</v>
      </c>
      <c r="E488" t="s">
        <v>1571</v>
      </c>
      <c r="F488" t="s">
        <v>118</v>
      </c>
      <c r="G488" s="5" t="s">
        <v>90</v>
      </c>
      <c r="H488" t="s">
        <v>63</v>
      </c>
      <c r="I488" t="s">
        <v>190</v>
      </c>
      <c r="J488" t="s">
        <v>191</v>
      </c>
      <c r="K488" t="s">
        <v>41</v>
      </c>
      <c r="L488" t="s">
        <v>42</v>
      </c>
      <c r="M488" t="s">
        <v>1572</v>
      </c>
      <c r="N488" t="s">
        <v>59</v>
      </c>
      <c r="O488">
        <v>3</v>
      </c>
      <c r="P488">
        <v>1946.18</v>
      </c>
      <c r="Q488" s="6">
        <v>0.2</v>
      </c>
      <c r="R488" s="8">
        <f t="shared" si="28"/>
        <v>0.2</v>
      </c>
      <c r="S488">
        <v>4670.83</v>
      </c>
      <c r="T488">
        <v>3166.49</v>
      </c>
      <c r="U488">
        <v>1504.34</v>
      </c>
      <c r="V488" t="s">
        <v>32</v>
      </c>
      <c r="W488" t="s">
        <v>33</v>
      </c>
      <c r="X488" t="str">
        <f t="shared" si="31"/>
        <v/>
      </c>
      <c r="Y488" t="str">
        <f t="shared" si="29"/>
        <v>Exclude</v>
      </c>
    </row>
    <row r="489" spans="1:25">
      <c r="A489" t="s">
        <v>1573</v>
      </c>
      <c r="B489" s="3">
        <v>45818</v>
      </c>
      <c r="C489" s="3">
        <v>45825</v>
      </c>
      <c r="D489" s="6">
        <f t="shared" si="30"/>
        <v>7</v>
      </c>
      <c r="E489" t="s">
        <v>1574</v>
      </c>
      <c r="F489" t="s">
        <v>118</v>
      </c>
      <c r="G489" s="5" t="s">
        <v>90</v>
      </c>
      <c r="H489" t="s">
        <v>54</v>
      </c>
      <c r="I489" t="s">
        <v>55</v>
      </c>
      <c r="J489" t="s">
        <v>56</v>
      </c>
      <c r="K489" t="s">
        <v>41</v>
      </c>
      <c r="L489" t="s">
        <v>57</v>
      </c>
      <c r="M489" t="s">
        <v>1575</v>
      </c>
      <c r="N489" t="s">
        <v>59</v>
      </c>
      <c r="O489">
        <v>5</v>
      </c>
      <c r="P489">
        <v>1231.0999999999999</v>
      </c>
      <c r="Q489" s="6">
        <v>0</v>
      </c>
      <c r="R489" s="8">
        <f t="shared" si="28"/>
        <v>0</v>
      </c>
      <c r="S489">
        <v>6155.5</v>
      </c>
      <c r="T489">
        <v>4282.09</v>
      </c>
      <c r="U489">
        <v>1873.41</v>
      </c>
      <c r="V489" t="s">
        <v>102</v>
      </c>
      <c r="W489" t="s">
        <v>103</v>
      </c>
      <c r="X489" t="str">
        <f t="shared" si="31"/>
        <v>REFUND: Summarize separately</v>
      </c>
      <c r="Y489" t="str">
        <f t="shared" si="29"/>
        <v>Exclude</v>
      </c>
    </row>
    <row r="490" spans="1:25">
      <c r="A490" t="s">
        <v>1576</v>
      </c>
      <c r="B490" s="3">
        <v>45579</v>
      </c>
      <c r="C490" s="3">
        <v>45585</v>
      </c>
      <c r="D490" s="6">
        <f t="shared" si="30"/>
        <v>6</v>
      </c>
      <c r="E490" t="s">
        <v>1577</v>
      </c>
      <c r="F490" t="s">
        <v>89</v>
      </c>
      <c r="G490" s="5" t="s">
        <v>37</v>
      </c>
      <c r="H490" t="s">
        <v>25</v>
      </c>
      <c r="I490" t="s">
        <v>26</v>
      </c>
      <c r="J490" t="s">
        <v>27</v>
      </c>
      <c r="K490" t="s">
        <v>41</v>
      </c>
      <c r="L490" t="s">
        <v>42</v>
      </c>
      <c r="M490" t="s">
        <v>1578</v>
      </c>
      <c r="N490" t="s">
        <v>44</v>
      </c>
      <c r="O490">
        <v>7</v>
      </c>
      <c r="P490">
        <v>1547.6</v>
      </c>
      <c r="Q490" s="6">
        <v>0.2</v>
      </c>
      <c r="R490" s="8">
        <f t="shared" si="28"/>
        <v>0.2</v>
      </c>
      <c r="S490">
        <v>8666.56</v>
      </c>
      <c r="T490">
        <v>5967.44</v>
      </c>
      <c r="U490">
        <v>2699.12</v>
      </c>
      <c r="V490" t="s">
        <v>32</v>
      </c>
      <c r="W490" t="s">
        <v>33</v>
      </c>
      <c r="X490" t="str">
        <f t="shared" si="31"/>
        <v/>
      </c>
      <c r="Y490" t="str">
        <f t="shared" si="29"/>
        <v>Exclude</v>
      </c>
    </row>
    <row r="491" spans="1:25">
      <c r="A491" t="s">
        <v>1579</v>
      </c>
      <c r="B491" s="3">
        <v>45329</v>
      </c>
      <c r="C491" s="3">
        <v>45628</v>
      </c>
      <c r="D491" s="6">
        <f t="shared" si="30"/>
        <v>299</v>
      </c>
      <c r="E491" t="s">
        <v>1580</v>
      </c>
      <c r="F491" t="s">
        <v>53</v>
      </c>
      <c r="G491" s="5" t="s">
        <v>95</v>
      </c>
      <c r="H491" t="s">
        <v>38</v>
      </c>
      <c r="I491" t="s">
        <v>99</v>
      </c>
      <c r="J491" t="s">
        <v>100</v>
      </c>
      <c r="K491" t="s">
        <v>74</v>
      </c>
      <c r="L491" t="s">
        <v>75</v>
      </c>
      <c r="M491" t="s">
        <v>1581</v>
      </c>
      <c r="N491" t="s">
        <v>31</v>
      </c>
      <c r="O491">
        <v>1</v>
      </c>
      <c r="P491">
        <v>452.19</v>
      </c>
      <c r="Q491" s="6">
        <v>0.2</v>
      </c>
      <c r="R491" s="8">
        <f t="shared" si="28"/>
        <v>0.2</v>
      </c>
      <c r="S491">
        <v>361.75</v>
      </c>
      <c r="T491">
        <v>262.52999999999997</v>
      </c>
      <c r="U491">
        <v>99.22</v>
      </c>
      <c r="V491" t="s">
        <v>32</v>
      </c>
      <c r="W491" t="s">
        <v>33</v>
      </c>
      <c r="X491" t="str">
        <f t="shared" si="31"/>
        <v/>
      </c>
      <c r="Y491" t="str">
        <f t="shared" si="29"/>
        <v>Exclude</v>
      </c>
    </row>
    <row r="492" spans="1:25">
      <c r="A492" t="s">
        <v>1582</v>
      </c>
      <c r="B492" s="3">
        <v>45551</v>
      </c>
      <c r="C492" s="3">
        <v>45554</v>
      </c>
      <c r="D492" s="6">
        <f t="shared" si="30"/>
        <v>3</v>
      </c>
      <c r="E492" t="s">
        <v>1583</v>
      </c>
      <c r="F492" t="s">
        <v>89</v>
      </c>
      <c r="G492" s="5" t="s">
        <v>24</v>
      </c>
      <c r="H492" t="s">
        <v>63</v>
      </c>
      <c r="I492" t="s">
        <v>26</v>
      </c>
      <c r="J492" t="s">
        <v>109</v>
      </c>
      <c r="K492" t="s">
        <v>28</v>
      </c>
      <c r="L492" t="s">
        <v>153</v>
      </c>
      <c r="M492" t="s">
        <v>1584</v>
      </c>
      <c r="N492" t="s">
        <v>50</v>
      </c>
      <c r="O492">
        <v>7</v>
      </c>
      <c r="P492">
        <v>406.42</v>
      </c>
      <c r="Q492" s="6">
        <v>0.15</v>
      </c>
      <c r="R492" s="8">
        <f t="shared" si="28"/>
        <v>0.15</v>
      </c>
      <c r="S492">
        <v>2418.1999999999998</v>
      </c>
      <c r="T492">
        <v>1613.82</v>
      </c>
      <c r="U492">
        <v>804.38</v>
      </c>
      <c r="V492" t="s">
        <v>32</v>
      </c>
      <c r="W492" t="s">
        <v>33</v>
      </c>
      <c r="X492" t="str">
        <f t="shared" si="31"/>
        <v/>
      </c>
      <c r="Y492" t="str">
        <f t="shared" si="29"/>
        <v>Exclude</v>
      </c>
    </row>
    <row r="493" spans="1:25">
      <c r="A493" t="s">
        <v>1585</v>
      </c>
      <c r="B493" s="3">
        <v>45776</v>
      </c>
      <c r="C493" s="3">
        <v>45777</v>
      </c>
      <c r="D493" s="6">
        <f t="shared" si="30"/>
        <v>1</v>
      </c>
      <c r="E493" t="s">
        <v>1586</v>
      </c>
      <c r="F493" t="s">
        <v>36</v>
      </c>
      <c r="G493" s="5" t="s">
        <v>90</v>
      </c>
      <c r="H493" t="s">
        <v>54</v>
      </c>
      <c r="I493" t="s">
        <v>185</v>
      </c>
      <c r="J493" t="s">
        <v>186</v>
      </c>
      <c r="K493" t="s">
        <v>74</v>
      </c>
      <c r="L493" t="s">
        <v>75</v>
      </c>
      <c r="M493" t="s">
        <v>1587</v>
      </c>
      <c r="N493" t="s">
        <v>59</v>
      </c>
      <c r="O493">
        <v>4</v>
      </c>
      <c r="P493">
        <v>606.58000000000004</v>
      </c>
      <c r="Q493" s="6">
        <v>0.2</v>
      </c>
      <c r="R493" s="8">
        <f t="shared" si="28"/>
        <v>0.2</v>
      </c>
      <c r="S493">
        <v>1941.06</v>
      </c>
      <c r="T493">
        <v>1207.42</v>
      </c>
      <c r="U493">
        <v>733.64</v>
      </c>
      <c r="V493" t="s">
        <v>32</v>
      </c>
      <c r="W493" t="s">
        <v>33</v>
      </c>
      <c r="X493" t="str">
        <f t="shared" si="31"/>
        <v/>
      </c>
      <c r="Y493" t="str">
        <f t="shared" si="29"/>
        <v>Exclude</v>
      </c>
    </row>
    <row r="494" spans="1:25">
      <c r="A494" t="s">
        <v>1588</v>
      </c>
      <c r="B494" s="3">
        <v>45836</v>
      </c>
      <c r="C494" s="3">
        <v>45695</v>
      </c>
      <c r="D494" s="6">
        <f t="shared" si="30"/>
        <v>-141</v>
      </c>
      <c r="E494" t="s">
        <v>1589</v>
      </c>
      <c r="F494" t="s">
        <v>62</v>
      </c>
      <c r="G494" s="5" t="s">
        <v>90</v>
      </c>
      <c r="H494" t="s">
        <v>54</v>
      </c>
      <c r="I494" t="s">
        <v>84</v>
      </c>
      <c r="J494" t="s">
        <v>85</v>
      </c>
      <c r="K494" t="s">
        <v>28</v>
      </c>
      <c r="L494" t="s">
        <v>124</v>
      </c>
      <c r="M494" t="s">
        <v>1590</v>
      </c>
      <c r="N494" t="s">
        <v>31</v>
      </c>
      <c r="O494">
        <v>2</v>
      </c>
      <c r="P494">
        <v>2725.44</v>
      </c>
      <c r="Q494" s="6">
        <v>0.25</v>
      </c>
      <c r="R494" s="8">
        <f t="shared" si="28"/>
        <v>0.25</v>
      </c>
      <c r="S494">
        <v>4088.16</v>
      </c>
      <c r="T494">
        <v>3205.68</v>
      </c>
      <c r="U494">
        <v>882.48</v>
      </c>
      <c r="V494" t="s">
        <v>32</v>
      </c>
      <c r="W494" t="s">
        <v>33</v>
      </c>
      <c r="X494" t="str">
        <f t="shared" si="31"/>
        <v>INVALID: Ship date before order date</v>
      </c>
      <c r="Y494" t="str">
        <f t="shared" si="29"/>
        <v>Exclude</v>
      </c>
    </row>
    <row r="495" spans="1:25">
      <c r="A495" t="s">
        <v>1591</v>
      </c>
      <c r="B495" s="3">
        <v>45701</v>
      </c>
      <c r="C495" s="3">
        <v>45701</v>
      </c>
      <c r="D495" s="6">
        <f t="shared" si="30"/>
        <v>0</v>
      </c>
      <c r="E495" t="s">
        <v>1592</v>
      </c>
      <c r="F495" t="s">
        <v>265</v>
      </c>
      <c r="G495" s="5" t="s">
        <v>90</v>
      </c>
      <c r="H495" t="s">
        <v>38</v>
      </c>
      <c r="I495" t="s">
        <v>39</v>
      </c>
      <c r="J495" t="s">
        <v>40</v>
      </c>
      <c r="K495" t="s">
        <v>28</v>
      </c>
      <c r="L495" t="s">
        <v>29</v>
      </c>
      <c r="M495" t="s">
        <v>1593</v>
      </c>
      <c r="N495" t="s">
        <v>31</v>
      </c>
      <c r="O495">
        <v>7</v>
      </c>
      <c r="P495">
        <v>2296.6999999999998</v>
      </c>
      <c r="Q495" s="6">
        <v>0.05</v>
      </c>
      <c r="R495" s="8">
        <f t="shared" si="28"/>
        <v>0.05</v>
      </c>
      <c r="S495">
        <v>15273.05</v>
      </c>
      <c r="T495">
        <v>11088.76</v>
      </c>
      <c r="U495">
        <v>4184.29</v>
      </c>
      <c r="V495" t="s">
        <v>32</v>
      </c>
      <c r="W495" t="s">
        <v>1594</v>
      </c>
      <c r="X495" t="str">
        <f t="shared" si="31"/>
        <v/>
      </c>
      <c r="Y495" t="str">
        <f t="shared" si="29"/>
        <v>Exclude</v>
      </c>
    </row>
    <row r="496" spans="1:25">
      <c r="A496" t="s">
        <v>1595</v>
      </c>
      <c r="B496" s="3">
        <v>45610</v>
      </c>
      <c r="C496" s="3">
        <v>45618</v>
      </c>
      <c r="D496" s="6">
        <f t="shared" si="30"/>
        <v>8</v>
      </c>
      <c r="E496" t="s">
        <v>1596</v>
      </c>
      <c r="F496" t="s">
        <v>47</v>
      </c>
      <c r="G496" s="5" t="s">
        <v>24</v>
      </c>
      <c r="H496" t="s">
        <v>63</v>
      </c>
      <c r="I496" t="s">
        <v>72</v>
      </c>
      <c r="J496" t="s">
        <v>73</v>
      </c>
      <c r="K496" t="s">
        <v>74</v>
      </c>
      <c r="L496" t="s">
        <v>171</v>
      </c>
      <c r="M496" t="s">
        <v>1597</v>
      </c>
      <c r="N496" t="s">
        <v>59</v>
      </c>
      <c r="O496">
        <v>3</v>
      </c>
      <c r="P496">
        <v>671.68</v>
      </c>
      <c r="Q496" s="6">
        <v>-0.13</v>
      </c>
      <c r="R496" s="8">
        <f t="shared" si="28"/>
        <v>-0.13</v>
      </c>
      <c r="S496">
        <v>1712.78</v>
      </c>
      <c r="T496">
        <v>1569.38</v>
      </c>
      <c r="U496">
        <v>360.66</v>
      </c>
      <c r="V496" t="s">
        <v>155</v>
      </c>
      <c r="W496" t="s">
        <v>68</v>
      </c>
      <c r="X496" t="str">
        <f t="shared" si="31"/>
        <v>INVALID: Negative discount; EXCLUDE: Cancelled order; EXCLUDE: Failed payment</v>
      </c>
      <c r="Y496" t="str">
        <f t="shared" si="29"/>
        <v>Exclude</v>
      </c>
    </row>
    <row r="497" spans="1:25">
      <c r="A497" t="s">
        <v>1598</v>
      </c>
      <c r="B497" s="3">
        <v>45540</v>
      </c>
      <c r="C497" s="3">
        <v>45427</v>
      </c>
      <c r="D497" s="6">
        <f t="shared" si="30"/>
        <v>-113</v>
      </c>
      <c r="E497" t="s">
        <v>1599</v>
      </c>
      <c r="F497" t="s">
        <v>36</v>
      </c>
      <c r="G497" s="5" t="s">
        <v>37</v>
      </c>
      <c r="H497" t="s">
        <v>38</v>
      </c>
      <c r="I497" t="s">
        <v>166</v>
      </c>
      <c r="J497" t="s">
        <v>167</v>
      </c>
      <c r="K497" t="s">
        <v>74</v>
      </c>
      <c r="L497" t="s">
        <v>171</v>
      </c>
      <c r="M497" t="s">
        <v>1600</v>
      </c>
      <c r="N497" t="s">
        <v>31</v>
      </c>
      <c r="O497">
        <v>4</v>
      </c>
      <c r="P497">
        <v>995.98</v>
      </c>
      <c r="Q497" s="6">
        <v>0.05</v>
      </c>
      <c r="R497" s="8">
        <f t="shared" si="28"/>
        <v>0.05</v>
      </c>
      <c r="S497">
        <v>3784.72</v>
      </c>
      <c r="T497">
        <v>2419.2399999999998</v>
      </c>
      <c r="U497">
        <v>1365.48</v>
      </c>
      <c r="V497" t="s">
        <v>102</v>
      </c>
      <c r="W497" t="s">
        <v>103</v>
      </c>
      <c r="X497" t="str">
        <f t="shared" si="31"/>
        <v>INVALID: Ship date before order date; REFUND: Summarize separately</v>
      </c>
      <c r="Y497" t="str">
        <f t="shared" si="29"/>
        <v>Exclude</v>
      </c>
    </row>
    <row r="498" spans="1:25">
      <c r="A498" t="s">
        <v>1601</v>
      </c>
      <c r="B498" s="3">
        <v>45842</v>
      </c>
      <c r="C498" s="3">
        <v>45815</v>
      </c>
      <c r="D498" s="6">
        <f t="shared" si="30"/>
        <v>-27</v>
      </c>
      <c r="E498" t="s">
        <v>1602</v>
      </c>
      <c r="F498" t="s">
        <v>265</v>
      </c>
      <c r="G498" s="5" t="s">
        <v>37</v>
      </c>
      <c r="H498" t="s">
        <v>38</v>
      </c>
      <c r="I498" t="s">
        <v>229</v>
      </c>
      <c r="J498" t="s">
        <v>230</v>
      </c>
      <c r="K498" t="s">
        <v>41</v>
      </c>
      <c r="L498" t="s">
        <v>66</v>
      </c>
      <c r="M498" t="s">
        <v>1603</v>
      </c>
      <c r="N498" t="s">
        <v>31</v>
      </c>
      <c r="O498">
        <v>2</v>
      </c>
      <c r="P498">
        <v>3686.42</v>
      </c>
      <c r="Q498" s="6">
        <v>0.1</v>
      </c>
      <c r="R498" s="8">
        <f t="shared" si="28"/>
        <v>0.1</v>
      </c>
      <c r="S498">
        <v>6635.56</v>
      </c>
      <c r="T498">
        <v>3652.91</v>
      </c>
      <c r="U498">
        <v>2982.65</v>
      </c>
      <c r="V498" t="s">
        <v>32</v>
      </c>
      <c r="W498" t="s">
        <v>33</v>
      </c>
      <c r="X498" t="str">
        <f t="shared" si="31"/>
        <v>INVALID: Ship date before order date</v>
      </c>
      <c r="Y498" t="str">
        <f t="shared" si="29"/>
        <v>Exclude</v>
      </c>
    </row>
    <row r="499" spans="1:25">
      <c r="A499" t="s">
        <v>1604</v>
      </c>
      <c r="B499" s="3">
        <v>45533</v>
      </c>
      <c r="C499" s="3">
        <v>45533</v>
      </c>
      <c r="D499" s="6">
        <f t="shared" si="30"/>
        <v>0</v>
      </c>
      <c r="E499" t="s">
        <v>1605</v>
      </c>
      <c r="F499" t="s">
        <v>132</v>
      </c>
      <c r="G499" s="5" t="s">
        <v>37</v>
      </c>
      <c r="H499" t="s">
        <v>25</v>
      </c>
      <c r="I499" t="s">
        <v>136</v>
      </c>
      <c r="J499" t="s">
        <v>137</v>
      </c>
      <c r="K499" t="s">
        <v>74</v>
      </c>
      <c r="L499" t="s">
        <v>75</v>
      </c>
      <c r="M499" t="s">
        <v>1606</v>
      </c>
      <c r="N499" t="s">
        <v>31</v>
      </c>
      <c r="O499">
        <v>1</v>
      </c>
      <c r="P499">
        <v>3106.88</v>
      </c>
      <c r="Q499" s="6">
        <v>0.2</v>
      </c>
      <c r="R499" s="8">
        <f t="shared" si="28"/>
        <v>0.2</v>
      </c>
      <c r="S499">
        <v>2485.5</v>
      </c>
      <c r="T499">
        <v>2028.43</v>
      </c>
      <c r="U499">
        <v>457.07</v>
      </c>
      <c r="V499" t="s">
        <v>32</v>
      </c>
      <c r="W499" t="s">
        <v>68</v>
      </c>
      <c r="X499" t="str">
        <f t="shared" si="31"/>
        <v>EXCLUDE: Cancelled order</v>
      </c>
      <c r="Y499" t="str">
        <f t="shared" si="29"/>
        <v>Exclude</v>
      </c>
    </row>
    <row r="500" spans="1:25">
      <c r="A500" t="s">
        <v>1607</v>
      </c>
      <c r="B500" s="3">
        <v>45907</v>
      </c>
      <c r="C500" s="3">
        <v>45939</v>
      </c>
      <c r="D500" s="6">
        <f t="shared" si="30"/>
        <v>32</v>
      </c>
      <c r="E500" t="s">
        <v>1608</v>
      </c>
      <c r="F500" t="s">
        <v>23</v>
      </c>
      <c r="G500" s="5" t="s">
        <v>24</v>
      </c>
      <c r="H500" t="s">
        <v>25</v>
      </c>
      <c r="I500" t="s">
        <v>122</v>
      </c>
      <c r="J500" t="s">
        <v>123</v>
      </c>
      <c r="K500" t="s">
        <v>41</v>
      </c>
      <c r="L500" t="s">
        <v>66</v>
      </c>
      <c r="M500" t="s">
        <v>1609</v>
      </c>
      <c r="N500" t="s">
        <v>44</v>
      </c>
      <c r="O500">
        <v>2</v>
      </c>
      <c r="P500">
        <v>447.55</v>
      </c>
      <c r="Q500" s="6">
        <v>0.05</v>
      </c>
      <c r="R500" s="8">
        <f t="shared" si="28"/>
        <v>0.05</v>
      </c>
      <c r="S500">
        <v>850.35</v>
      </c>
      <c r="T500">
        <v>600.98</v>
      </c>
      <c r="U500">
        <v>249.37</v>
      </c>
      <c r="V500" t="s">
        <v>102</v>
      </c>
      <c r="W500" t="s">
        <v>1610</v>
      </c>
      <c r="X500" t="str">
        <f t="shared" si="31"/>
        <v>EXCLUDE: Cancelled order; REFUND: Summarize separately</v>
      </c>
      <c r="Y500" t="str">
        <f t="shared" si="29"/>
        <v>Exclude</v>
      </c>
    </row>
    <row r="501" spans="1:25">
      <c r="A501" t="s">
        <v>1611</v>
      </c>
      <c r="B501" s="3">
        <v>45648</v>
      </c>
      <c r="C501" s="3">
        <v>45652</v>
      </c>
      <c r="D501" s="6">
        <f t="shared" si="30"/>
        <v>4</v>
      </c>
      <c r="E501" t="s">
        <v>1612</v>
      </c>
      <c r="F501" t="s">
        <v>118</v>
      </c>
      <c r="G501" s="5" t="s">
        <v>95</v>
      </c>
      <c r="H501" t="s">
        <v>25</v>
      </c>
      <c r="I501" t="s">
        <v>136</v>
      </c>
      <c r="J501" t="s">
        <v>137</v>
      </c>
      <c r="K501" t="s">
        <v>41</v>
      </c>
      <c r="L501" t="s">
        <v>66</v>
      </c>
      <c r="M501" t="s">
        <v>1613</v>
      </c>
      <c r="N501" t="s">
        <v>59</v>
      </c>
      <c r="O501">
        <v>9</v>
      </c>
      <c r="P501">
        <v>1110.8699999999999</v>
      </c>
      <c r="Q501" s="6">
        <v>0</v>
      </c>
      <c r="R501" s="8">
        <f t="shared" si="28"/>
        <v>0</v>
      </c>
      <c r="S501">
        <v>7498.37</v>
      </c>
      <c r="T501">
        <v>6059.07</v>
      </c>
      <c r="U501">
        <v>1439.3</v>
      </c>
      <c r="V501" t="s">
        <v>32</v>
      </c>
      <c r="W501" t="s">
        <v>68</v>
      </c>
      <c r="X501" t="str">
        <f t="shared" si="31"/>
        <v>EXCLUDE: Cancelled order</v>
      </c>
      <c r="Y501" t="str">
        <f t="shared" si="29"/>
        <v>Exclude</v>
      </c>
    </row>
    <row r="502" spans="1:25">
      <c r="A502" t="s">
        <v>1614</v>
      </c>
      <c r="B502" s="3">
        <v>45429</v>
      </c>
      <c r="C502" s="3">
        <v>45434</v>
      </c>
      <c r="D502" s="6">
        <f t="shared" si="30"/>
        <v>5</v>
      </c>
      <c r="E502" t="s">
        <v>1615</v>
      </c>
      <c r="F502" t="s">
        <v>132</v>
      </c>
      <c r="G502" s="5" t="s">
        <v>24</v>
      </c>
      <c r="H502" t="s">
        <v>54</v>
      </c>
      <c r="I502" t="s">
        <v>185</v>
      </c>
      <c r="J502" t="s">
        <v>186</v>
      </c>
      <c r="K502" t="s">
        <v>74</v>
      </c>
      <c r="L502" t="s">
        <v>171</v>
      </c>
      <c r="M502" t="s">
        <v>1616</v>
      </c>
      <c r="N502" t="s">
        <v>44</v>
      </c>
      <c r="O502">
        <v>9</v>
      </c>
      <c r="P502">
        <v>3795.99</v>
      </c>
      <c r="Q502" s="6" t="s">
        <v>771</v>
      </c>
      <c r="R502" s="8" t="str">
        <f t="shared" si="28"/>
        <v>85%</v>
      </c>
      <c r="S502">
        <v>34163.910000000003</v>
      </c>
      <c r="T502">
        <v>28577.15</v>
      </c>
      <c r="U502">
        <v>5586.76</v>
      </c>
      <c r="V502" t="s">
        <v>32</v>
      </c>
      <c r="W502" t="s">
        <v>33</v>
      </c>
      <c r="X502" t="str">
        <f t="shared" si="31"/>
        <v>INVALID: Discount above range</v>
      </c>
      <c r="Y502" t="str">
        <f t="shared" si="29"/>
        <v>Exclude</v>
      </c>
    </row>
    <row r="503" spans="1:25">
      <c r="A503" t="s">
        <v>1617</v>
      </c>
      <c r="B503" s="3">
        <v>45515</v>
      </c>
      <c r="C503" s="3">
        <v>45521</v>
      </c>
      <c r="D503" s="6">
        <f t="shared" si="30"/>
        <v>6</v>
      </c>
      <c r="E503" t="s">
        <v>813</v>
      </c>
      <c r="F503" t="s">
        <v>79</v>
      </c>
      <c r="G503" s="5" t="s">
        <v>24</v>
      </c>
      <c r="H503" t="s">
        <v>38</v>
      </c>
      <c r="I503" t="s">
        <v>229</v>
      </c>
      <c r="J503" t="s">
        <v>230</v>
      </c>
      <c r="K503" t="s">
        <v>28</v>
      </c>
      <c r="L503" t="s">
        <v>48</v>
      </c>
      <c r="M503" t="s">
        <v>1618</v>
      </c>
      <c r="N503" t="s">
        <v>31</v>
      </c>
      <c r="O503">
        <v>6</v>
      </c>
      <c r="P503">
        <v>3497.54</v>
      </c>
      <c r="Q503" s="6">
        <v>0.15</v>
      </c>
      <c r="R503" s="8">
        <f t="shared" si="28"/>
        <v>0.15</v>
      </c>
      <c r="S503">
        <v>17837.45</v>
      </c>
      <c r="T503">
        <v>13627.02</v>
      </c>
      <c r="U503">
        <v>4210.43</v>
      </c>
      <c r="V503" t="s">
        <v>32</v>
      </c>
      <c r="W503" t="s">
        <v>33</v>
      </c>
      <c r="X503" t="str">
        <f t="shared" si="31"/>
        <v/>
      </c>
      <c r="Y503" t="str">
        <f t="shared" si="29"/>
        <v>Exclude</v>
      </c>
    </row>
    <row r="504" spans="1:25">
      <c r="A504" t="s">
        <v>1619</v>
      </c>
      <c r="B504" s="3">
        <v>45295</v>
      </c>
      <c r="C504" s="3">
        <v>45539</v>
      </c>
      <c r="D504" s="6">
        <f t="shared" si="30"/>
        <v>244</v>
      </c>
      <c r="E504" t="s">
        <v>1620</v>
      </c>
      <c r="F504" t="s">
        <v>114</v>
      </c>
      <c r="G504" s="5" t="s">
        <v>37</v>
      </c>
      <c r="H504" t="s">
        <v>38</v>
      </c>
      <c r="I504" t="s">
        <v>39</v>
      </c>
      <c r="J504" t="s">
        <v>40</v>
      </c>
      <c r="K504" t="s">
        <v>74</v>
      </c>
      <c r="L504" t="s">
        <v>80</v>
      </c>
      <c r="M504" t="s">
        <v>1621</v>
      </c>
      <c r="N504" t="s">
        <v>31</v>
      </c>
      <c r="O504">
        <v>6</v>
      </c>
      <c r="P504">
        <v>826.93</v>
      </c>
      <c r="Q504" s="6">
        <v>0.1</v>
      </c>
      <c r="R504" s="8">
        <f t="shared" si="28"/>
        <v>0.1</v>
      </c>
      <c r="S504">
        <v>4465.42</v>
      </c>
      <c r="T504">
        <v>3377.1</v>
      </c>
      <c r="U504">
        <v>1088.32</v>
      </c>
      <c r="V504" t="s">
        <v>32</v>
      </c>
      <c r="W504" t="s">
        <v>33</v>
      </c>
      <c r="X504" t="str">
        <f t="shared" si="31"/>
        <v/>
      </c>
      <c r="Y504" t="str">
        <f t="shared" si="29"/>
        <v>Exclude</v>
      </c>
    </row>
    <row r="505" spans="1:25">
      <c r="A505" t="s">
        <v>1622</v>
      </c>
      <c r="B505" s="3">
        <v>45563</v>
      </c>
      <c r="C505" s="3">
        <v>45422</v>
      </c>
      <c r="D505" s="6">
        <f t="shared" si="30"/>
        <v>-141</v>
      </c>
      <c r="E505" t="s">
        <v>1623</v>
      </c>
      <c r="F505" t="s">
        <v>128</v>
      </c>
      <c r="G505" s="5" t="s">
        <v>24</v>
      </c>
      <c r="H505" t="s">
        <v>54</v>
      </c>
      <c r="I505" t="s">
        <v>248</v>
      </c>
      <c r="J505" t="s">
        <v>249</v>
      </c>
      <c r="K505" t="s">
        <v>74</v>
      </c>
      <c r="L505" t="s">
        <v>171</v>
      </c>
      <c r="M505" t="s">
        <v>1624</v>
      </c>
      <c r="N505" t="s">
        <v>59</v>
      </c>
      <c r="O505">
        <v>7</v>
      </c>
      <c r="P505">
        <v>1681.6</v>
      </c>
      <c r="Q505" s="6">
        <v>0.1</v>
      </c>
      <c r="R505" s="8">
        <f t="shared" si="28"/>
        <v>0.1</v>
      </c>
      <c r="S505">
        <v>10594.08</v>
      </c>
      <c r="T505">
        <v>7160.31</v>
      </c>
      <c r="U505">
        <v>3433.77</v>
      </c>
      <c r="V505" t="s">
        <v>32</v>
      </c>
      <c r="W505" t="s">
        <v>33</v>
      </c>
      <c r="X505" t="str">
        <f t="shared" si="31"/>
        <v>INVALID: Ship date before order date</v>
      </c>
      <c r="Y505" t="str">
        <f t="shared" si="29"/>
        <v>Exclude</v>
      </c>
    </row>
    <row r="506" spans="1:25">
      <c r="A506" t="s">
        <v>1625</v>
      </c>
      <c r="B506" s="3">
        <v>45700</v>
      </c>
      <c r="C506" s="3">
        <v>45705</v>
      </c>
      <c r="D506" s="6">
        <f t="shared" si="30"/>
        <v>5</v>
      </c>
      <c r="E506" t="s">
        <v>1626</v>
      </c>
      <c r="F506" t="s">
        <v>53</v>
      </c>
      <c r="G506" s="5" t="s">
        <v>90</v>
      </c>
      <c r="H506" t="s">
        <v>63</v>
      </c>
      <c r="I506" t="s">
        <v>180</v>
      </c>
      <c r="J506" t="s">
        <v>181</v>
      </c>
      <c r="K506" t="s">
        <v>28</v>
      </c>
      <c r="L506" t="s">
        <v>48</v>
      </c>
      <c r="M506" t="s">
        <v>1627</v>
      </c>
      <c r="N506" t="s">
        <v>59</v>
      </c>
      <c r="O506">
        <v>4</v>
      </c>
      <c r="P506">
        <v>4328.12</v>
      </c>
      <c r="Q506" s="6">
        <v>0</v>
      </c>
      <c r="R506" s="8">
        <f t="shared" si="28"/>
        <v>0</v>
      </c>
      <c r="S506">
        <v>17312.48</v>
      </c>
      <c r="T506">
        <v>14424.22</v>
      </c>
      <c r="U506">
        <v>2888.26</v>
      </c>
      <c r="V506" t="s">
        <v>32</v>
      </c>
      <c r="W506" t="s">
        <v>33</v>
      </c>
      <c r="X506" t="str">
        <f t="shared" si="31"/>
        <v/>
      </c>
      <c r="Y506" t="str">
        <f t="shared" si="29"/>
        <v>Exclude</v>
      </c>
    </row>
    <row r="507" spans="1:25">
      <c r="A507" t="s">
        <v>1628</v>
      </c>
      <c r="B507" s="3">
        <v>45605</v>
      </c>
      <c r="C507" s="3">
        <v>45610</v>
      </c>
      <c r="D507" s="6">
        <f t="shared" si="30"/>
        <v>5</v>
      </c>
      <c r="E507" t="s">
        <v>1629</v>
      </c>
      <c r="F507" t="s">
        <v>79</v>
      </c>
      <c r="G507" s="5" t="s">
        <v>90</v>
      </c>
      <c r="H507" t="s">
        <v>63</v>
      </c>
      <c r="I507" t="s">
        <v>72</v>
      </c>
      <c r="J507" t="s">
        <v>73</v>
      </c>
      <c r="K507" t="s">
        <v>28</v>
      </c>
      <c r="L507" t="s">
        <v>48</v>
      </c>
      <c r="M507" t="s">
        <v>1630</v>
      </c>
      <c r="N507" t="s">
        <v>50</v>
      </c>
      <c r="O507">
        <v>9</v>
      </c>
      <c r="P507">
        <v>2438.29</v>
      </c>
      <c r="Q507" s="6">
        <v>0.2</v>
      </c>
      <c r="R507" s="8">
        <f t="shared" si="28"/>
        <v>0.2</v>
      </c>
      <c r="S507">
        <v>17555.689999999999</v>
      </c>
      <c r="T507">
        <v>13293.2</v>
      </c>
      <c r="U507">
        <v>4262.49</v>
      </c>
      <c r="V507" t="s">
        <v>32</v>
      </c>
      <c r="W507" t="s">
        <v>68</v>
      </c>
      <c r="X507" t="str">
        <f t="shared" si="31"/>
        <v>EXCLUDE: Cancelled order</v>
      </c>
      <c r="Y507" t="str">
        <f t="shared" si="29"/>
        <v>Exclude</v>
      </c>
    </row>
    <row r="508" spans="1:25">
      <c r="A508" t="s">
        <v>1631</v>
      </c>
      <c r="B508" s="3">
        <v>45641</v>
      </c>
      <c r="C508" s="3">
        <v>45641</v>
      </c>
      <c r="D508" s="6">
        <f t="shared" si="30"/>
        <v>0</v>
      </c>
      <c r="E508" t="s">
        <v>1632</v>
      </c>
      <c r="F508" t="s">
        <v>128</v>
      </c>
      <c r="G508" s="5" t="s">
        <v>37</v>
      </c>
      <c r="H508" t="s">
        <v>25</v>
      </c>
      <c r="I508" t="s">
        <v>122</v>
      </c>
      <c r="J508" t="s">
        <v>123</v>
      </c>
      <c r="K508" t="s">
        <v>41</v>
      </c>
      <c r="L508" t="s">
        <v>57</v>
      </c>
      <c r="M508" t="s">
        <v>1633</v>
      </c>
      <c r="N508" t="s">
        <v>50</v>
      </c>
      <c r="O508">
        <v>2</v>
      </c>
      <c r="P508">
        <v>669.8</v>
      </c>
      <c r="Q508" s="6">
        <v>0.1</v>
      </c>
      <c r="R508" s="8">
        <f t="shared" si="28"/>
        <v>0.1</v>
      </c>
      <c r="S508">
        <v>1205.6400000000001</v>
      </c>
      <c r="T508">
        <v>842.07</v>
      </c>
      <c r="U508">
        <v>363.57</v>
      </c>
      <c r="V508" t="s">
        <v>102</v>
      </c>
      <c r="W508" t="s">
        <v>103</v>
      </c>
      <c r="X508" t="str">
        <f t="shared" si="31"/>
        <v>REFUND: Summarize separately</v>
      </c>
      <c r="Y508" t="str">
        <f t="shared" si="29"/>
        <v>Exclude</v>
      </c>
    </row>
    <row r="509" spans="1:25">
      <c r="A509" t="s">
        <v>1634</v>
      </c>
      <c r="B509" s="3">
        <v>45762</v>
      </c>
      <c r="C509" s="3">
        <v>45769</v>
      </c>
      <c r="D509" s="6">
        <f t="shared" si="30"/>
        <v>7</v>
      </c>
      <c r="E509" t="s">
        <v>1635</v>
      </c>
      <c r="F509" t="s">
        <v>47</v>
      </c>
      <c r="G509" s="5" t="s">
        <v>37</v>
      </c>
      <c r="H509" t="s">
        <v>25</v>
      </c>
      <c r="I509" t="s">
        <v>237</v>
      </c>
      <c r="J509" t="s">
        <v>238</v>
      </c>
      <c r="K509" t="s">
        <v>28</v>
      </c>
      <c r="L509" t="s">
        <v>153</v>
      </c>
      <c r="M509" t="s">
        <v>1636</v>
      </c>
      <c r="N509" t="s">
        <v>44</v>
      </c>
      <c r="O509">
        <v>4</v>
      </c>
      <c r="P509">
        <v>2990.42</v>
      </c>
      <c r="Q509" s="6">
        <v>0.25</v>
      </c>
      <c r="R509" s="8">
        <f t="shared" si="28"/>
        <v>0.25</v>
      </c>
      <c r="S509">
        <v>8971.26</v>
      </c>
      <c r="T509">
        <v>6814.35</v>
      </c>
      <c r="U509">
        <v>2156.91</v>
      </c>
      <c r="V509" t="s">
        <v>32</v>
      </c>
      <c r="W509" t="s">
        <v>33</v>
      </c>
      <c r="X509" t="str">
        <f t="shared" si="31"/>
        <v/>
      </c>
      <c r="Y509" t="str">
        <f t="shared" si="29"/>
        <v>Exclude</v>
      </c>
    </row>
    <row r="510" spans="1:25">
      <c r="A510" t="s">
        <v>1637</v>
      </c>
      <c r="B510" s="3">
        <v>45382</v>
      </c>
      <c r="C510" s="3">
        <v>45389</v>
      </c>
      <c r="D510" s="6">
        <f t="shared" si="30"/>
        <v>7</v>
      </c>
      <c r="E510" t="s">
        <v>1638</v>
      </c>
      <c r="F510" t="s">
        <v>47</v>
      </c>
      <c r="G510" s="5" t="s">
        <v>37</v>
      </c>
      <c r="H510" t="s">
        <v>25</v>
      </c>
      <c r="I510" t="s">
        <v>237</v>
      </c>
      <c r="J510" t="s">
        <v>238</v>
      </c>
      <c r="K510" t="s">
        <v>74</v>
      </c>
      <c r="L510" t="s">
        <v>275</v>
      </c>
      <c r="M510" t="s">
        <v>1639</v>
      </c>
      <c r="N510" t="s">
        <v>31</v>
      </c>
      <c r="O510">
        <v>4</v>
      </c>
      <c r="P510">
        <v>1831</v>
      </c>
      <c r="Q510" s="6">
        <v>0</v>
      </c>
      <c r="R510" s="8">
        <f t="shared" si="28"/>
        <v>0</v>
      </c>
      <c r="S510">
        <v>7324</v>
      </c>
      <c r="T510">
        <v>4179.63</v>
      </c>
      <c r="U510">
        <v>3144.37</v>
      </c>
      <c r="V510" t="s">
        <v>32</v>
      </c>
      <c r="W510" t="s">
        <v>33</v>
      </c>
      <c r="X510" t="str">
        <f t="shared" si="31"/>
        <v/>
      </c>
      <c r="Y510" t="str">
        <f t="shared" si="29"/>
        <v>Exclude</v>
      </c>
    </row>
    <row r="511" spans="1:25">
      <c r="A511" t="s">
        <v>1640</v>
      </c>
      <c r="B511" s="3">
        <v>45789</v>
      </c>
      <c r="C511" s="3">
        <v>45791</v>
      </c>
      <c r="D511" s="6">
        <f t="shared" si="30"/>
        <v>2</v>
      </c>
      <c r="E511" t="s">
        <v>1641</v>
      </c>
      <c r="F511" t="s">
        <v>79</v>
      </c>
      <c r="G511" s="5" t="s">
        <v>24</v>
      </c>
      <c r="H511" t="s">
        <v>63</v>
      </c>
      <c r="I511" t="s">
        <v>180</v>
      </c>
      <c r="J511" t="s">
        <v>181</v>
      </c>
      <c r="K511" t="s">
        <v>74</v>
      </c>
      <c r="L511" t="s">
        <v>275</v>
      </c>
      <c r="M511" t="s">
        <v>1642</v>
      </c>
      <c r="N511" t="s">
        <v>44</v>
      </c>
      <c r="O511">
        <v>8</v>
      </c>
      <c r="P511">
        <v>3631.44</v>
      </c>
      <c r="Q511" s="6">
        <v>0.2</v>
      </c>
      <c r="R511" s="8">
        <f t="shared" si="28"/>
        <v>0.2</v>
      </c>
      <c r="S511">
        <v>23241.22</v>
      </c>
      <c r="T511">
        <v>17220.900000000001</v>
      </c>
      <c r="U511">
        <v>6020.32</v>
      </c>
      <c r="V511" t="s">
        <v>32</v>
      </c>
      <c r="W511" t="s">
        <v>33</v>
      </c>
      <c r="X511" t="str">
        <f t="shared" si="31"/>
        <v/>
      </c>
      <c r="Y511" t="str">
        <f t="shared" si="29"/>
        <v>Exclude</v>
      </c>
    </row>
    <row r="512" spans="1:25">
      <c r="A512" t="s">
        <v>1643</v>
      </c>
      <c r="B512" s="3">
        <v>45583</v>
      </c>
      <c r="C512" s="3">
        <v>45586</v>
      </c>
      <c r="D512" s="6">
        <f t="shared" si="30"/>
        <v>3</v>
      </c>
      <c r="E512" t="s">
        <v>1644</v>
      </c>
      <c r="F512" t="s">
        <v>128</v>
      </c>
      <c r="G512" s="5" t="s">
        <v>24</v>
      </c>
      <c r="H512" t="s">
        <v>54</v>
      </c>
      <c r="I512" t="s">
        <v>175</v>
      </c>
      <c r="J512" t="s">
        <v>176</v>
      </c>
      <c r="K512" t="s">
        <v>28</v>
      </c>
      <c r="L512" t="s">
        <v>124</v>
      </c>
      <c r="M512" t="s">
        <v>1645</v>
      </c>
      <c r="N512" t="s">
        <v>31</v>
      </c>
      <c r="O512">
        <v>2</v>
      </c>
      <c r="P512">
        <v>4238.51</v>
      </c>
      <c r="Q512" s="6">
        <v>0</v>
      </c>
      <c r="R512" s="8">
        <f t="shared" si="28"/>
        <v>0</v>
      </c>
      <c r="S512">
        <v>8477.02</v>
      </c>
      <c r="T512">
        <v>6884.96</v>
      </c>
      <c r="U512">
        <v>1592.06</v>
      </c>
      <c r="V512" t="s">
        <v>32</v>
      </c>
      <c r="W512" t="s">
        <v>33</v>
      </c>
      <c r="X512" t="str">
        <f t="shared" si="31"/>
        <v/>
      </c>
      <c r="Y512" t="str">
        <f t="shared" si="29"/>
        <v>Exclude</v>
      </c>
    </row>
    <row r="513" spans="1:25">
      <c r="A513" t="s">
        <v>1646</v>
      </c>
      <c r="B513" s="3">
        <v>45588</v>
      </c>
      <c r="C513" s="3">
        <v>45591</v>
      </c>
      <c r="D513" s="6">
        <f t="shared" si="30"/>
        <v>3</v>
      </c>
      <c r="E513" t="s">
        <v>1647</v>
      </c>
      <c r="F513" t="s">
        <v>132</v>
      </c>
      <c r="G513" s="5" t="s">
        <v>24</v>
      </c>
      <c r="H513" t="s">
        <v>63</v>
      </c>
      <c r="I513" t="s">
        <v>72</v>
      </c>
      <c r="J513" t="s">
        <v>73</v>
      </c>
      <c r="K513" t="s">
        <v>41</v>
      </c>
      <c r="L513" t="s">
        <v>158</v>
      </c>
      <c r="M513" t="s">
        <v>1648</v>
      </c>
      <c r="N513" t="s">
        <v>59</v>
      </c>
      <c r="O513">
        <v>9</v>
      </c>
      <c r="P513">
        <v>544.27</v>
      </c>
      <c r="Q513" s="6">
        <v>0.25</v>
      </c>
      <c r="R513" s="8">
        <f t="shared" si="28"/>
        <v>0.25</v>
      </c>
      <c r="S513">
        <v>3673.82</v>
      </c>
      <c r="T513">
        <v>2088.15</v>
      </c>
      <c r="U513">
        <v>1585.67</v>
      </c>
      <c r="V513" t="s">
        <v>32</v>
      </c>
      <c r="W513" t="s">
        <v>33</v>
      </c>
      <c r="X513" t="str">
        <f t="shared" si="31"/>
        <v/>
      </c>
      <c r="Y513" t="str">
        <f t="shared" si="29"/>
        <v>Exclude</v>
      </c>
    </row>
    <row r="514" spans="1:25">
      <c r="A514" t="s">
        <v>1649</v>
      </c>
      <c r="B514" s="3">
        <v>45691</v>
      </c>
      <c r="C514" s="3">
        <v>45719</v>
      </c>
      <c r="D514" s="6">
        <f t="shared" si="30"/>
        <v>28</v>
      </c>
      <c r="E514" t="s">
        <v>1256</v>
      </c>
      <c r="F514" t="s">
        <v>47</v>
      </c>
      <c r="G514" s="5" t="s">
        <v>90</v>
      </c>
      <c r="H514" t="s">
        <v>54</v>
      </c>
      <c r="I514" t="s">
        <v>185</v>
      </c>
      <c r="J514" t="s">
        <v>186</v>
      </c>
      <c r="K514" t="s">
        <v>28</v>
      </c>
      <c r="L514" t="s">
        <v>91</v>
      </c>
      <c r="M514" t="s">
        <v>1650</v>
      </c>
      <c r="N514" t="s">
        <v>31</v>
      </c>
      <c r="O514">
        <v>2</v>
      </c>
      <c r="P514">
        <v>4031.45</v>
      </c>
      <c r="Q514" s="6">
        <v>0.25</v>
      </c>
      <c r="R514" s="8">
        <f t="shared" ref="R514:R577" si="32">IF(ISBLANK(Q514),IF(AND(ISNUMBER(O514),O514&gt;0,ISNUMBER(P514),ISNUMBER(S514),ISNUMBER(T514),ISNUMBER(U514)),0,""),Q514)</f>
        <v>0.25</v>
      </c>
      <c r="S514">
        <v>6047.17</v>
      </c>
      <c r="T514">
        <v>3368.79</v>
      </c>
      <c r="U514">
        <v>2678.38</v>
      </c>
      <c r="V514" t="s">
        <v>32</v>
      </c>
      <c r="W514" t="s">
        <v>33</v>
      </c>
      <c r="X514" t="str">
        <f t="shared" si="31"/>
        <v/>
      </c>
      <c r="Y514" t="str">
        <f t="shared" ref="Y514:Y577" si="33">IF(AND(U514="Completed",T514="Paid",ISERROR(SEARCH("INVALID",W514))),"Include","Exclude")</f>
        <v>Exclude</v>
      </c>
    </row>
    <row r="515" spans="1:25">
      <c r="A515" t="s">
        <v>1651</v>
      </c>
      <c r="B515" s="3">
        <v>45835</v>
      </c>
      <c r="C515" s="3">
        <v>45695</v>
      </c>
      <c r="D515" s="6">
        <f t="shared" ref="D515:D578" si="34">IF(OR(B515="",C515=""),"",C515-B515)</f>
        <v>-140</v>
      </c>
      <c r="E515" t="s">
        <v>1652</v>
      </c>
      <c r="F515" t="s">
        <v>128</v>
      </c>
      <c r="G515" s="5" t="s">
        <v>90</v>
      </c>
      <c r="H515" t="s">
        <v>54</v>
      </c>
      <c r="I515" t="s">
        <v>185</v>
      </c>
      <c r="J515" t="s">
        <v>186</v>
      </c>
      <c r="K515" t="s">
        <v>74</v>
      </c>
      <c r="L515" t="s">
        <v>75</v>
      </c>
      <c r="M515" t="s">
        <v>1653</v>
      </c>
      <c r="N515" t="s">
        <v>50</v>
      </c>
      <c r="O515">
        <v>6</v>
      </c>
      <c r="P515">
        <v>1099.49</v>
      </c>
      <c r="Q515" s="6">
        <v>0.1</v>
      </c>
      <c r="R515" s="8">
        <f t="shared" si="32"/>
        <v>0.1</v>
      </c>
      <c r="S515">
        <v>6212.38</v>
      </c>
      <c r="T515">
        <v>4088.46</v>
      </c>
      <c r="U515">
        <v>1848.79</v>
      </c>
      <c r="V515" t="s">
        <v>32</v>
      </c>
      <c r="W515" t="s">
        <v>33</v>
      </c>
      <c r="X515" t="str">
        <f t="shared" ref="X515:X578" si="35">_xlfn.TEXTJOIN("; ",TRUE,IF(R515&lt;0,"INVALID: Negative discount",""),IF(R515&gt;50%,"INVALID: Discount above range",""),IF(D515&lt;0,"INVALID: Ship date before order date",""),IF(W515="Cancelled","EXCLUDE: Cancelled order",""),IF(V515="Failed","EXCLUDE: Failed payment",""),IF(V515="Refunded","REFUND: Summarize separately",""))</f>
        <v>INVALID: Ship date before order date</v>
      </c>
      <c r="Y515" t="str">
        <f t="shared" si="33"/>
        <v>Exclude</v>
      </c>
    </row>
    <row r="516" spans="1:25">
      <c r="A516" t="s">
        <v>1654</v>
      </c>
      <c r="B516" s="3">
        <v>45614</v>
      </c>
      <c r="C516" s="3">
        <v>45618</v>
      </c>
      <c r="D516" s="6">
        <f t="shared" si="34"/>
        <v>4</v>
      </c>
      <c r="E516" t="s">
        <v>1655</v>
      </c>
      <c r="F516" t="s">
        <v>23</v>
      </c>
      <c r="G516" s="5" t="s">
        <v>95</v>
      </c>
      <c r="H516" t="s">
        <v>54</v>
      </c>
      <c r="I516" t="s">
        <v>185</v>
      </c>
      <c r="J516" t="s">
        <v>186</v>
      </c>
      <c r="K516" t="s">
        <v>74</v>
      </c>
      <c r="L516" t="s">
        <v>75</v>
      </c>
      <c r="M516" t="s">
        <v>1656</v>
      </c>
      <c r="N516" t="s">
        <v>59</v>
      </c>
      <c r="O516">
        <v>6</v>
      </c>
      <c r="P516">
        <v>3872.94</v>
      </c>
      <c r="Q516" s="6">
        <v>0.1</v>
      </c>
      <c r="R516" s="8">
        <f t="shared" si="32"/>
        <v>0.1</v>
      </c>
      <c r="S516">
        <v>20913.88</v>
      </c>
      <c r="T516">
        <v>11684.68</v>
      </c>
      <c r="U516">
        <v>9229.2000000000007</v>
      </c>
      <c r="V516" t="s">
        <v>32</v>
      </c>
      <c r="W516" t="s">
        <v>33</v>
      </c>
      <c r="X516" t="str">
        <f t="shared" si="35"/>
        <v/>
      </c>
      <c r="Y516" t="str">
        <f t="shared" si="33"/>
        <v>Exclude</v>
      </c>
    </row>
    <row r="517" spans="1:25">
      <c r="A517" t="s">
        <v>1657</v>
      </c>
      <c r="B517" s="3">
        <v>45965</v>
      </c>
      <c r="C517" s="3">
        <v>45965</v>
      </c>
      <c r="D517" s="6">
        <f t="shared" si="34"/>
        <v>0</v>
      </c>
      <c r="E517" t="s">
        <v>1658</v>
      </c>
      <c r="F517" t="s">
        <v>118</v>
      </c>
      <c r="G517" s="5" t="s">
        <v>90</v>
      </c>
      <c r="H517" t="s">
        <v>25</v>
      </c>
      <c r="I517" t="s">
        <v>351</v>
      </c>
      <c r="J517" t="s">
        <v>352</v>
      </c>
      <c r="K517" t="s">
        <v>28</v>
      </c>
      <c r="L517" t="s">
        <v>29</v>
      </c>
      <c r="M517" t="s">
        <v>1659</v>
      </c>
      <c r="N517" t="s">
        <v>59</v>
      </c>
      <c r="O517">
        <v>1</v>
      </c>
      <c r="P517">
        <v>4458.49</v>
      </c>
      <c r="Q517" s="6">
        <v>-7.0000000000000007E-2</v>
      </c>
      <c r="R517" s="8">
        <f t="shared" si="32"/>
        <v>-7.0000000000000007E-2</v>
      </c>
      <c r="S517">
        <v>3566.79</v>
      </c>
      <c r="T517">
        <v>2083.41</v>
      </c>
      <c r="U517">
        <v>1483.38</v>
      </c>
      <c r="V517" t="s">
        <v>32</v>
      </c>
      <c r="W517" t="s">
        <v>33</v>
      </c>
      <c r="X517" t="str">
        <f t="shared" si="35"/>
        <v>INVALID: Negative discount</v>
      </c>
      <c r="Y517" t="str">
        <f t="shared" si="33"/>
        <v>Exclude</v>
      </c>
    </row>
    <row r="518" spans="1:25">
      <c r="A518" t="s">
        <v>1660</v>
      </c>
      <c r="B518" s="3">
        <v>45563</v>
      </c>
      <c r="C518" s="3">
        <v>45392</v>
      </c>
      <c r="D518" s="6">
        <f t="shared" si="34"/>
        <v>-171</v>
      </c>
      <c r="E518" t="s">
        <v>1661</v>
      </c>
      <c r="F518" t="s">
        <v>265</v>
      </c>
      <c r="G518" s="5" t="s">
        <v>95</v>
      </c>
      <c r="H518" t="s">
        <v>25</v>
      </c>
      <c r="I518" t="s">
        <v>351</v>
      </c>
      <c r="J518" t="s">
        <v>352</v>
      </c>
      <c r="K518" t="s">
        <v>74</v>
      </c>
      <c r="L518" t="s">
        <v>80</v>
      </c>
      <c r="M518" t="s">
        <v>1662</v>
      </c>
      <c r="N518" t="s">
        <v>59</v>
      </c>
      <c r="O518">
        <v>1</v>
      </c>
      <c r="P518">
        <v>2233.1799999999998</v>
      </c>
      <c r="Q518" s="6">
        <v>0</v>
      </c>
      <c r="R518" s="8">
        <f t="shared" si="32"/>
        <v>0</v>
      </c>
      <c r="S518">
        <v>2233.1799999999998</v>
      </c>
      <c r="T518">
        <v>1585.82</v>
      </c>
      <c r="U518">
        <v>647.36</v>
      </c>
      <c r="V518" t="s">
        <v>155</v>
      </c>
      <c r="W518" t="s">
        <v>103</v>
      </c>
      <c r="X518" t="str">
        <f t="shared" si="35"/>
        <v>INVALID: Ship date before order date; EXCLUDE: Failed payment</v>
      </c>
      <c r="Y518" t="str">
        <f t="shared" si="33"/>
        <v>Exclude</v>
      </c>
    </row>
    <row r="519" spans="1:25">
      <c r="A519" t="s">
        <v>1663</v>
      </c>
      <c r="B519" s="3">
        <v>45802</v>
      </c>
      <c r="C519" s="3">
        <v>45804</v>
      </c>
      <c r="D519" s="6">
        <f t="shared" si="34"/>
        <v>2</v>
      </c>
      <c r="E519" t="s">
        <v>1664</v>
      </c>
      <c r="F519" t="s">
        <v>118</v>
      </c>
      <c r="G519" s="5" t="s">
        <v>24</v>
      </c>
      <c r="H519" t="s">
        <v>38</v>
      </c>
      <c r="I519" t="s">
        <v>39</v>
      </c>
      <c r="J519" t="s">
        <v>40</v>
      </c>
      <c r="K519" t="s">
        <v>41</v>
      </c>
      <c r="L519" t="s">
        <v>57</v>
      </c>
      <c r="M519" t="s">
        <v>1665</v>
      </c>
      <c r="N519" t="s">
        <v>31</v>
      </c>
      <c r="O519">
        <v>7</v>
      </c>
      <c r="P519">
        <v>2123.2800000000002</v>
      </c>
      <c r="Q519" s="6">
        <v>0.2</v>
      </c>
      <c r="R519" s="8">
        <f t="shared" si="32"/>
        <v>0.2</v>
      </c>
      <c r="S519">
        <v>11890.37</v>
      </c>
      <c r="T519">
        <v>9234.5300000000007</v>
      </c>
      <c r="U519">
        <v>2655.84</v>
      </c>
      <c r="V519" t="s">
        <v>102</v>
      </c>
      <c r="W519" t="s">
        <v>103</v>
      </c>
      <c r="X519" t="str">
        <f t="shared" si="35"/>
        <v>REFUND: Summarize separately</v>
      </c>
      <c r="Y519" t="str">
        <f t="shared" si="33"/>
        <v>Exclude</v>
      </c>
    </row>
    <row r="520" spans="1:25">
      <c r="A520" t="s">
        <v>1666</v>
      </c>
      <c r="B520" s="3">
        <v>45777</v>
      </c>
      <c r="C520" s="3">
        <v>45773</v>
      </c>
      <c r="D520" s="6">
        <f t="shared" si="34"/>
        <v>-4</v>
      </c>
      <c r="E520" t="s">
        <v>1667</v>
      </c>
      <c r="F520" t="s">
        <v>162</v>
      </c>
      <c r="G520" s="5" t="s">
        <v>90</v>
      </c>
      <c r="H520" t="s">
        <v>38</v>
      </c>
      <c r="I520" t="s">
        <v>39</v>
      </c>
      <c r="J520" t="s">
        <v>40</v>
      </c>
      <c r="K520" t="s">
        <v>41</v>
      </c>
      <c r="L520" t="s">
        <v>42</v>
      </c>
      <c r="M520" t="s">
        <v>1668</v>
      </c>
      <c r="N520" t="s">
        <v>50</v>
      </c>
      <c r="O520">
        <v>7</v>
      </c>
      <c r="P520">
        <v>1604.13</v>
      </c>
      <c r="Q520" s="6">
        <v>0.25</v>
      </c>
      <c r="R520" s="8">
        <f t="shared" si="32"/>
        <v>0.25</v>
      </c>
      <c r="S520">
        <v>8421.68</v>
      </c>
      <c r="T520">
        <v>6534.47</v>
      </c>
      <c r="U520">
        <v>1887.21</v>
      </c>
      <c r="V520" t="s">
        <v>32</v>
      </c>
      <c r="W520" t="s">
        <v>68</v>
      </c>
      <c r="X520" t="str">
        <f t="shared" si="35"/>
        <v>INVALID: Ship date before order date; EXCLUDE: Cancelled order</v>
      </c>
      <c r="Y520" t="str">
        <f t="shared" si="33"/>
        <v>Exclude</v>
      </c>
    </row>
    <row r="521" spans="1:25">
      <c r="A521" t="s">
        <v>1669</v>
      </c>
      <c r="B521" s="3">
        <v>45841</v>
      </c>
      <c r="C521" s="3">
        <v>45845</v>
      </c>
      <c r="D521" s="6">
        <f t="shared" si="34"/>
        <v>4</v>
      </c>
      <c r="E521" t="s">
        <v>1670</v>
      </c>
      <c r="F521" t="s">
        <v>114</v>
      </c>
      <c r="G521" s="5" t="s">
        <v>24</v>
      </c>
      <c r="H521" t="s">
        <v>25</v>
      </c>
      <c r="I521" t="s">
        <v>136</v>
      </c>
      <c r="J521" t="s">
        <v>137</v>
      </c>
      <c r="K521" t="s">
        <v>41</v>
      </c>
      <c r="L521" t="s">
        <v>42</v>
      </c>
      <c r="M521" t="s">
        <v>1671</v>
      </c>
      <c r="N521" t="s">
        <v>59</v>
      </c>
      <c r="O521">
        <v>4</v>
      </c>
      <c r="P521">
        <v>4365.21</v>
      </c>
      <c r="Q521" s="6">
        <v>0.2</v>
      </c>
      <c r="R521" s="8">
        <f t="shared" si="32"/>
        <v>0.2</v>
      </c>
      <c r="S521">
        <v>13968.67</v>
      </c>
      <c r="T521">
        <v>8857.58</v>
      </c>
      <c r="U521">
        <v>5111.09</v>
      </c>
      <c r="V521" t="s">
        <v>111</v>
      </c>
      <c r="W521" t="s">
        <v>68</v>
      </c>
      <c r="X521" t="str">
        <f t="shared" si="35"/>
        <v>EXCLUDE: Cancelled order</v>
      </c>
      <c r="Y521" t="str">
        <f t="shared" si="33"/>
        <v>Exclude</v>
      </c>
    </row>
    <row r="522" spans="1:25">
      <c r="A522" t="s">
        <v>1672</v>
      </c>
      <c r="B522" s="3">
        <v>45489</v>
      </c>
      <c r="C522" s="3">
        <v>45496</v>
      </c>
      <c r="D522" s="6">
        <f t="shared" si="34"/>
        <v>7</v>
      </c>
      <c r="E522" t="s">
        <v>1673</v>
      </c>
      <c r="F522" t="s">
        <v>128</v>
      </c>
      <c r="G522" s="5" t="s">
        <v>95</v>
      </c>
      <c r="H522" t="s">
        <v>54</v>
      </c>
      <c r="I522" t="s">
        <v>175</v>
      </c>
      <c r="J522" t="s">
        <v>176</v>
      </c>
      <c r="K522" t="s">
        <v>74</v>
      </c>
      <c r="L522" t="s">
        <v>275</v>
      </c>
      <c r="M522" t="s">
        <v>1674</v>
      </c>
      <c r="N522" t="s">
        <v>44</v>
      </c>
      <c r="O522">
        <v>1</v>
      </c>
      <c r="P522">
        <v>1695.91</v>
      </c>
      <c r="Q522" s="6">
        <v>0.05</v>
      </c>
      <c r="R522" s="8">
        <f t="shared" si="32"/>
        <v>0.05</v>
      </c>
      <c r="S522">
        <v>1611.11</v>
      </c>
      <c r="T522">
        <v>895.15</v>
      </c>
      <c r="U522">
        <v>715.96</v>
      </c>
      <c r="V522" t="s">
        <v>32</v>
      </c>
      <c r="W522" t="s">
        <v>33</v>
      </c>
      <c r="X522" t="str">
        <f t="shared" si="35"/>
        <v/>
      </c>
      <c r="Y522" t="str">
        <f t="shared" si="33"/>
        <v>Exclude</v>
      </c>
    </row>
    <row r="523" spans="1:25">
      <c r="A523" t="s">
        <v>1675</v>
      </c>
      <c r="B523" s="3">
        <v>45741</v>
      </c>
      <c r="C523" s="3">
        <v>45661</v>
      </c>
      <c r="D523" s="6">
        <f t="shared" si="34"/>
        <v>-80</v>
      </c>
      <c r="E523" t="s">
        <v>1676</v>
      </c>
      <c r="F523" t="s">
        <v>162</v>
      </c>
      <c r="G523" s="5" t="s">
        <v>24</v>
      </c>
      <c r="H523" t="s">
        <v>25</v>
      </c>
      <c r="I523" t="s">
        <v>122</v>
      </c>
      <c r="J523" t="s">
        <v>123</v>
      </c>
      <c r="K523" t="s">
        <v>28</v>
      </c>
      <c r="L523" t="s">
        <v>91</v>
      </c>
      <c r="M523" t="s">
        <v>1677</v>
      </c>
      <c r="N523" t="s">
        <v>31</v>
      </c>
      <c r="O523">
        <v>6</v>
      </c>
      <c r="P523">
        <v>2192.11</v>
      </c>
      <c r="Q523" s="6">
        <v>0.05</v>
      </c>
      <c r="R523" s="8">
        <f t="shared" si="32"/>
        <v>0.05</v>
      </c>
      <c r="S523">
        <v>12495.03</v>
      </c>
      <c r="T523">
        <v>9184.52</v>
      </c>
      <c r="U523">
        <v>3310.51</v>
      </c>
      <c r="V523" t="s">
        <v>32</v>
      </c>
      <c r="W523" t="s">
        <v>33</v>
      </c>
      <c r="X523" t="str">
        <f t="shared" si="35"/>
        <v>INVALID: Ship date before order date</v>
      </c>
      <c r="Y523" t="str">
        <f t="shared" si="33"/>
        <v>Exclude</v>
      </c>
    </row>
    <row r="524" spans="1:25">
      <c r="A524" t="s">
        <v>1678</v>
      </c>
      <c r="B524" s="3">
        <v>45716</v>
      </c>
      <c r="C524" s="3">
        <v>45872</v>
      </c>
      <c r="D524" s="6">
        <f t="shared" si="34"/>
        <v>156</v>
      </c>
      <c r="E524" t="s">
        <v>1679</v>
      </c>
      <c r="F524" t="s">
        <v>79</v>
      </c>
      <c r="G524" s="5" t="s">
        <v>37</v>
      </c>
      <c r="H524" t="s">
        <v>38</v>
      </c>
      <c r="I524" t="s">
        <v>229</v>
      </c>
      <c r="J524" t="s">
        <v>230</v>
      </c>
      <c r="K524" t="s">
        <v>74</v>
      </c>
      <c r="L524" t="s">
        <v>171</v>
      </c>
      <c r="M524" t="s">
        <v>1680</v>
      </c>
      <c r="N524" t="s">
        <v>50</v>
      </c>
      <c r="O524">
        <v>9</v>
      </c>
      <c r="P524">
        <v>3670.54</v>
      </c>
      <c r="Q524" s="6">
        <v>0</v>
      </c>
      <c r="R524" s="8">
        <f t="shared" si="32"/>
        <v>0</v>
      </c>
      <c r="S524">
        <v>33034.86</v>
      </c>
      <c r="T524">
        <v>24539.83</v>
      </c>
      <c r="U524">
        <v>8495.0300000000007</v>
      </c>
      <c r="V524" t="s">
        <v>32</v>
      </c>
      <c r="W524" t="s">
        <v>33</v>
      </c>
      <c r="X524" t="str">
        <f t="shared" si="35"/>
        <v/>
      </c>
      <c r="Y524" t="str">
        <f t="shared" si="33"/>
        <v>Exclude</v>
      </c>
    </row>
    <row r="525" spans="1:25">
      <c r="A525" t="s">
        <v>1681</v>
      </c>
      <c r="B525" s="3">
        <v>45384</v>
      </c>
      <c r="C525" s="3">
        <v>45355</v>
      </c>
      <c r="D525" s="6">
        <f t="shared" si="34"/>
        <v>-29</v>
      </c>
      <c r="E525" t="s">
        <v>1682</v>
      </c>
      <c r="F525" t="s">
        <v>265</v>
      </c>
      <c r="G525" s="5" t="s">
        <v>95</v>
      </c>
      <c r="H525" t="s">
        <v>63</v>
      </c>
      <c r="I525" t="s">
        <v>190</v>
      </c>
      <c r="J525" t="s">
        <v>191</v>
      </c>
      <c r="K525" t="s">
        <v>28</v>
      </c>
      <c r="L525" t="s">
        <v>29</v>
      </c>
      <c r="M525" t="s">
        <v>1683</v>
      </c>
      <c r="N525" t="s">
        <v>31</v>
      </c>
      <c r="O525">
        <v>2</v>
      </c>
      <c r="P525">
        <v>2902.63</v>
      </c>
      <c r="Q525" s="6">
        <v>0</v>
      </c>
      <c r="R525" s="8">
        <f t="shared" si="32"/>
        <v>0</v>
      </c>
      <c r="S525">
        <v>5805.26</v>
      </c>
      <c r="T525">
        <v>4654.3599999999997</v>
      </c>
      <c r="U525">
        <v>1150.9000000000001</v>
      </c>
      <c r="V525" t="s">
        <v>32</v>
      </c>
      <c r="W525" t="s">
        <v>103</v>
      </c>
      <c r="X525" t="str">
        <f t="shared" si="35"/>
        <v>INVALID: Ship date before order date</v>
      </c>
      <c r="Y525" t="str">
        <f t="shared" si="33"/>
        <v>Exclude</v>
      </c>
    </row>
    <row r="526" spans="1:25">
      <c r="A526" t="s">
        <v>1684</v>
      </c>
      <c r="B526" s="3">
        <v>45626</v>
      </c>
      <c r="C526" s="3">
        <v>45303</v>
      </c>
      <c r="D526" s="6">
        <f t="shared" si="34"/>
        <v>-323</v>
      </c>
      <c r="E526" t="s">
        <v>1685</v>
      </c>
      <c r="F526" t="s">
        <v>62</v>
      </c>
      <c r="G526" s="5" t="s">
        <v>90</v>
      </c>
      <c r="H526" t="s">
        <v>63</v>
      </c>
      <c r="I526" t="s">
        <v>180</v>
      </c>
      <c r="J526" t="s">
        <v>181</v>
      </c>
      <c r="K526" t="s">
        <v>41</v>
      </c>
      <c r="L526" t="s">
        <v>66</v>
      </c>
      <c r="M526" t="s">
        <v>1686</v>
      </c>
      <c r="N526" t="s">
        <v>50</v>
      </c>
      <c r="O526">
        <v>9</v>
      </c>
      <c r="P526">
        <v>4207.3599999999997</v>
      </c>
      <c r="Q526" s="6">
        <v>0.1</v>
      </c>
      <c r="R526" s="8">
        <f t="shared" si="32"/>
        <v>0.1</v>
      </c>
      <c r="S526">
        <v>34079.620000000003</v>
      </c>
      <c r="T526">
        <v>21871.39</v>
      </c>
      <c r="U526">
        <v>12208.23</v>
      </c>
      <c r="V526" t="s">
        <v>32</v>
      </c>
      <c r="W526" t="s">
        <v>33</v>
      </c>
      <c r="X526" t="str">
        <f t="shared" si="35"/>
        <v>INVALID: Ship date before order date</v>
      </c>
      <c r="Y526" t="str">
        <f t="shared" si="33"/>
        <v>Exclude</v>
      </c>
    </row>
    <row r="527" spans="1:25">
      <c r="A527" t="s">
        <v>1687</v>
      </c>
      <c r="B527" s="3">
        <v>45582</v>
      </c>
      <c r="C527" s="3">
        <v>45582</v>
      </c>
      <c r="D527" s="6">
        <f t="shared" si="34"/>
        <v>0</v>
      </c>
      <c r="E527" t="s">
        <v>1688</v>
      </c>
      <c r="F527" t="s">
        <v>114</v>
      </c>
      <c r="G527" s="5" t="s">
        <v>95</v>
      </c>
      <c r="H527" t="s">
        <v>38</v>
      </c>
      <c r="I527" t="s">
        <v>99</v>
      </c>
      <c r="J527" t="s">
        <v>100</v>
      </c>
      <c r="K527" t="s">
        <v>41</v>
      </c>
      <c r="L527" t="s">
        <v>66</v>
      </c>
      <c r="M527" t="s">
        <v>1689</v>
      </c>
      <c r="N527" t="s">
        <v>59</v>
      </c>
      <c r="O527">
        <v>5</v>
      </c>
      <c r="P527">
        <v>2524.4</v>
      </c>
      <c r="Q527" s="6">
        <v>0.1</v>
      </c>
      <c r="R527" s="8">
        <f t="shared" si="32"/>
        <v>0.1</v>
      </c>
      <c r="S527">
        <v>11359.8</v>
      </c>
      <c r="T527">
        <v>7062.44</v>
      </c>
      <c r="U527">
        <v>4297.3599999999997</v>
      </c>
      <c r="V527" t="s">
        <v>32</v>
      </c>
      <c r="W527" t="s">
        <v>33</v>
      </c>
      <c r="X527" t="str">
        <f t="shared" si="35"/>
        <v/>
      </c>
      <c r="Y527" t="str">
        <f t="shared" si="33"/>
        <v>Exclude</v>
      </c>
    </row>
    <row r="528" spans="1:25">
      <c r="A528" t="s">
        <v>1690</v>
      </c>
      <c r="B528" s="3">
        <v>45856</v>
      </c>
      <c r="C528" s="3">
        <v>45859</v>
      </c>
      <c r="D528" s="6">
        <f t="shared" si="34"/>
        <v>3</v>
      </c>
      <c r="E528" t="s">
        <v>1691</v>
      </c>
      <c r="F528" t="s">
        <v>114</v>
      </c>
      <c r="G528" s="5" t="s">
        <v>24</v>
      </c>
      <c r="H528" t="s">
        <v>38</v>
      </c>
      <c r="I528" t="s">
        <v>39</v>
      </c>
      <c r="J528" t="s">
        <v>40</v>
      </c>
      <c r="K528" t="s">
        <v>41</v>
      </c>
      <c r="L528" t="s">
        <v>42</v>
      </c>
      <c r="M528" t="s">
        <v>1692</v>
      </c>
      <c r="N528" t="s">
        <v>31</v>
      </c>
      <c r="O528">
        <v>4</v>
      </c>
      <c r="P528">
        <v>284.04000000000002</v>
      </c>
      <c r="Q528" s="6">
        <v>0</v>
      </c>
      <c r="R528" s="8">
        <f t="shared" si="32"/>
        <v>0</v>
      </c>
      <c r="S528">
        <v>908.93</v>
      </c>
      <c r="T528">
        <v>572.08000000000004</v>
      </c>
      <c r="U528">
        <v>336.85</v>
      </c>
      <c r="V528" t="s">
        <v>32</v>
      </c>
      <c r="W528" t="s">
        <v>33</v>
      </c>
      <c r="X528" t="str">
        <f t="shared" si="35"/>
        <v/>
      </c>
      <c r="Y528" t="str">
        <f t="shared" si="33"/>
        <v>Exclude</v>
      </c>
    </row>
    <row r="529" spans="1:25">
      <c r="A529" t="s">
        <v>1693</v>
      </c>
      <c r="B529" s="3">
        <v>45931</v>
      </c>
      <c r="C529" s="3">
        <v>45787</v>
      </c>
      <c r="D529" s="6">
        <f t="shared" si="34"/>
        <v>-144</v>
      </c>
      <c r="E529" t="s">
        <v>1694</v>
      </c>
      <c r="F529" t="s">
        <v>89</v>
      </c>
      <c r="G529" s="5" t="s">
        <v>95</v>
      </c>
      <c r="H529" t="s">
        <v>25</v>
      </c>
      <c r="I529" t="s">
        <v>237</v>
      </c>
      <c r="J529" t="s">
        <v>238</v>
      </c>
      <c r="K529" t="s">
        <v>28</v>
      </c>
      <c r="L529" t="s">
        <v>29</v>
      </c>
      <c r="M529" t="s">
        <v>1695</v>
      </c>
      <c r="N529" t="s">
        <v>50</v>
      </c>
      <c r="O529">
        <v>5</v>
      </c>
      <c r="P529">
        <v>3247.56</v>
      </c>
      <c r="Q529" s="6">
        <v>0.15</v>
      </c>
      <c r="R529" s="8">
        <f t="shared" si="32"/>
        <v>0.15</v>
      </c>
      <c r="S529">
        <v>13802.13</v>
      </c>
      <c r="T529">
        <v>10075.93</v>
      </c>
      <c r="U529">
        <v>3726.2</v>
      </c>
      <c r="V529" t="s">
        <v>32</v>
      </c>
      <c r="W529" t="s">
        <v>33</v>
      </c>
      <c r="X529" t="str">
        <f t="shared" si="35"/>
        <v>INVALID: Ship date before order date</v>
      </c>
      <c r="Y529" t="str">
        <f t="shared" si="33"/>
        <v>Exclude</v>
      </c>
    </row>
    <row r="530" spans="1:25">
      <c r="A530" t="s">
        <v>1696</v>
      </c>
      <c r="B530" s="3">
        <v>45572</v>
      </c>
      <c r="C530" s="3">
        <v>45574</v>
      </c>
      <c r="D530" s="6">
        <f t="shared" si="34"/>
        <v>2</v>
      </c>
      <c r="E530" t="s">
        <v>1697</v>
      </c>
      <c r="F530" t="s">
        <v>162</v>
      </c>
      <c r="G530" s="5" t="s">
        <v>24</v>
      </c>
      <c r="H530" t="s">
        <v>54</v>
      </c>
      <c r="I530" t="s">
        <v>248</v>
      </c>
      <c r="J530" t="s">
        <v>249</v>
      </c>
      <c r="K530" t="s">
        <v>28</v>
      </c>
      <c r="L530" t="s">
        <v>153</v>
      </c>
      <c r="M530" t="s">
        <v>1698</v>
      </c>
      <c r="N530" t="s">
        <v>59</v>
      </c>
      <c r="O530">
        <v>9</v>
      </c>
      <c r="P530">
        <v>3457.09</v>
      </c>
      <c r="Q530" s="6">
        <v>0.05</v>
      </c>
      <c r="R530" s="8">
        <f t="shared" si="32"/>
        <v>0.05</v>
      </c>
      <c r="S530">
        <v>29558.12</v>
      </c>
      <c r="T530">
        <v>21302.13</v>
      </c>
      <c r="U530">
        <v>8255.99</v>
      </c>
      <c r="V530" t="s">
        <v>111</v>
      </c>
      <c r="W530" t="s">
        <v>103</v>
      </c>
      <c r="X530" t="str">
        <f t="shared" si="35"/>
        <v/>
      </c>
      <c r="Y530" t="str">
        <f t="shared" si="33"/>
        <v>Exclude</v>
      </c>
    </row>
    <row r="531" spans="1:25">
      <c r="A531" t="s">
        <v>1699</v>
      </c>
      <c r="B531" s="3">
        <v>45328</v>
      </c>
      <c r="C531" s="3">
        <v>45506</v>
      </c>
      <c r="D531" s="6">
        <f t="shared" si="34"/>
        <v>178</v>
      </c>
      <c r="E531" t="s">
        <v>733</v>
      </c>
      <c r="F531" t="s">
        <v>23</v>
      </c>
      <c r="G531" s="5" t="s">
        <v>24</v>
      </c>
      <c r="H531" t="s">
        <v>38</v>
      </c>
      <c r="I531" t="s">
        <v>229</v>
      </c>
      <c r="J531" t="s">
        <v>230</v>
      </c>
      <c r="K531" t="s">
        <v>41</v>
      </c>
      <c r="L531" t="s">
        <v>158</v>
      </c>
      <c r="M531" t="s">
        <v>1700</v>
      </c>
      <c r="N531" t="s">
        <v>31</v>
      </c>
      <c r="O531">
        <v>9</v>
      </c>
      <c r="P531">
        <v>1822.25</v>
      </c>
      <c r="Q531" s="6">
        <v>0</v>
      </c>
      <c r="R531" s="8">
        <f t="shared" si="32"/>
        <v>0</v>
      </c>
      <c r="S531">
        <v>16400.25</v>
      </c>
      <c r="T531">
        <v>12146.96</v>
      </c>
      <c r="U531">
        <v>4253.29</v>
      </c>
      <c r="V531" t="s">
        <v>32</v>
      </c>
      <c r="W531" t="s">
        <v>33</v>
      </c>
      <c r="X531" t="str">
        <f t="shared" si="35"/>
        <v/>
      </c>
      <c r="Y531" t="str">
        <f t="shared" si="33"/>
        <v>Exclude</v>
      </c>
    </row>
    <row r="532" spans="1:25">
      <c r="A532" t="s">
        <v>1701</v>
      </c>
      <c r="B532" s="3">
        <v>45807</v>
      </c>
      <c r="C532" s="3">
        <v>45663</v>
      </c>
      <c r="D532" s="6">
        <f t="shared" si="34"/>
        <v>-144</v>
      </c>
      <c r="E532" t="s">
        <v>1702</v>
      </c>
      <c r="F532" t="s">
        <v>118</v>
      </c>
      <c r="G532" s="5" t="s">
        <v>95</v>
      </c>
      <c r="H532" t="s">
        <v>54</v>
      </c>
      <c r="I532" t="s">
        <v>248</v>
      </c>
      <c r="J532" t="s">
        <v>249</v>
      </c>
      <c r="K532" t="s">
        <v>28</v>
      </c>
      <c r="L532" t="s">
        <v>153</v>
      </c>
      <c r="M532" t="s">
        <v>1703</v>
      </c>
      <c r="N532" t="s">
        <v>59</v>
      </c>
      <c r="O532">
        <v>9</v>
      </c>
      <c r="P532">
        <v>1994.51</v>
      </c>
      <c r="Q532" s="6">
        <v>0.05</v>
      </c>
      <c r="R532" s="8">
        <f t="shared" si="32"/>
        <v>0.05</v>
      </c>
      <c r="S532">
        <v>17053.060000000001</v>
      </c>
      <c r="T532">
        <v>10742.38</v>
      </c>
      <c r="U532">
        <v>6310.68</v>
      </c>
      <c r="V532" t="s">
        <v>32</v>
      </c>
      <c r="W532" t="s">
        <v>33</v>
      </c>
      <c r="X532" t="str">
        <f t="shared" si="35"/>
        <v>INVALID: Ship date before order date</v>
      </c>
      <c r="Y532" t="str">
        <f t="shared" si="33"/>
        <v>Exclude</v>
      </c>
    </row>
    <row r="533" spans="1:25">
      <c r="A533" t="s">
        <v>1704</v>
      </c>
      <c r="B533" s="3">
        <v>45505</v>
      </c>
      <c r="C533" s="3">
        <v>45512</v>
      </c>
      <c r="D533" s="6">
        <f t="shared" si="34"/>
        <v>7</v>
      </c>
      <c r="E533" t="s">
        <v>1705</v>
      </c>
      <c r="F533" t="s">
        <v>162</v>
      </c>
      <c r="G533" s="5" t="s">
        <v>37</v>
      </c>
      <c r="H533" t="s">
        <v>63</v>
      </c>
      <c r="I533" t="s">
        <v>64</v>
      </c>
      <c r="J533" t="s">
        <v>65</v>
      </c>
      <c r="K533" t="s">
        <v>28</v>
      </c>
      <c r="L533" t="s">
        <v>124</v>
      </c>
      <c r="M533" t="s">
        <v>1706</v>
      </c>
      <c r="N533" t="s">
        <v>2806</v>
      </c>
      <c r="O533">
        <v>1</v>
      </c>
      <c r="P533">
        <v>442.97</v>
      </c>
      <c r="Q533" s="6">
        <v>0.1</v>
      </c>
      <c r="R533" s="8">
        <f t="shared" si="32"/>
        <v>0.1</v>
      </c>
      <c r="S533">
        <v>398.67</v>
      </c>
      <c r="T533">
        <v>311.66000000000003</v>
      </c>
      <c r="U533">
        <v>87.01</v>
      </c>
      <c r="V533" t="s">
        <v>32</v>
      </c>
      <c r="W533" t="s">
        <v>33</v>
      </c>
      <c r="X533" t="str">
        <f t="shared" si="35"/>
        <v/>
      </c>
      <c r="Y533" t="str">
        <f t="shared" si="33"/>
        <v>Exclude</v>
      </c>
    </row>
    <row r="534" spans="1:25">
      <c r="A534" t="s">
        <v>1707</v>
      </c>
      <c r="B534" s="3">
        <v>45935</v>
      </c>
      <c r="C534" s="3">
        <v>45940</v>
      </c>
      <c r="D534" s="6">
        <f t="shared" si="34"/>
        <v>5</v>
      </c>
      <c r="E534" t="s">
        <v>1708</v>
      </c>
      <c r="F534" t="s">
        <v>114</v>
      </c>
      <c r="G534" s="5" t="s">
        <v>90</v>
      </c>
      <c r="H534" t="s">
        <v>38</v>
      </c>
      <c r="I534" t="s">
        <v>166</v>
      </c>
      <c r="J534" t="s">
        <v>167</v>
      </c>
      <c r="K534" t="s">
        <v>41</v>
      </c>
      <c r="L534" t="s">
        <v>42</v>
      </c>
      <c r="M534" t="s">
        <v>1709</v>
      </c>
      <c r="N534" t="s">
        <v>31</v>
      </c>
      <c r="O534">
        <v>9</v>
      </c>
      <c r="P534">
        <v>2089.14</v>
      </c>
      <c r="Q534" s="6">
        <v>0.05</v>
      </c>
      <c r="R534" s="8">
        <f t="shared" si="32"/>
        <v>0.05</v>
      </c>
      <c r="S534">
        <v>17862.150000000001</v>
      </c>
      <c r="T534">
        <v>9892.2099999999991</v>
      </c>
      <c r="U534">
        <v>7969.94</v>
      </c>
      <c r="V534" t="s">
        <v>155</v>
      </c>
      <c r="W534" t="s">
        <v>68</v>
      </c>
      <c r="X534" t="str">
        <f t="shared" si="35"/>
        <v>EXCLUDE: Cancelled order; EXCLUDE: Failed payment</v>
      </c>
      <c r="Y534" t="str">
        <f t="shared" si="33"/>
        <v>Exclude</v>
      </c>
    </row>
    <row r="535" spans="1:25">
      <c r="A535" t="s">
        <v>1710</v>
      </c>
      <c r="B535" s="3">
        <v>45529</v>
      </c>
      <c r="C535" s="3">
        <v>45300</v>
      </c>
      <c r="D535" s="6">
        <f t="shared" si="34"/>
        <v>-229</v>
      </c>
      <c r="E535" t="s">
        <v>1711</v>
      </c>
      <c r="F535" t="s">
        <v>47</v>
      </c>
      <c r="G535" s="5" t="s">
        <v>95</v>
      </c>
      <c r="H535" t="s">
        <v>25</v>
      </c>
      <c r="I535" t="s">
        <v>26</v>
      </c>
      <c r="J535" t="s">
        <v>27</v>
      </c>
      <c r="K535" t="s">
        <v>41</v>
      </c>
      <c r="L535" t="s">
        <v>42</v>
      </c>
      <c r="M535" t="s">
        <v>1712</v>
      </c>
      <c r="N535" t="s">
        <v>44</v>
      </c>
      <c r="O535">
        <v>6</v>
      </c>
      <c r="P535">
        <v>481.3</v>
      </c>
      <c r="Q535" s="6">
        <v>0.25</v>
      </c>
      <c r="R535" s="8">
        <f t="shared" si="32"/>
        <v>0.25</v>
      </c>
      <c r="S535">
        <v>2165.85</v>
      </c>
      <c r="T535">
        <v>2124.48</v>
      </c>
      <c r="U535">
        <v>430.45</v>
      </c>
      <c r="V535" t="s">
        <v>32</v>
      </c>
      <c r="W535" t="s">
        <v>33</v>
      </c>
      <c r="X535" t="str">
        <f t="shared" si="35"/>
        <v>INVALID: Ship date before order date</v>
      </c>
      <c r="Y535" t="str">
        <f t="shared" si="33"/>
        <v>Exclude</v>
      </c>
    </row>
    <row r="536" spans="1:25">
      <c r="A536" t="s">
        <v>1713</v>
      </c>
      <c r="B536" s="3">
        <v>45774</v>
      </c>
      <c r="C536" s="3">
        <v>45782</v>
      </c>
      <c r="D536" s="6">
        <f t="shared" si="34"/>
        <v>8</v>
      </c>
      <c r="E536" t="s">
        <v>1714</v>
      </c>
      <c r="F536" t="s">
        <v>141</v>
      </c>
      <c r="G536" s="5" t="s">
        <v>95</v>
      </c>
      <c r="H536" t="s">
        <v>38</v>
      </c>
      <c r="I536" t="s">
        <v>145</v>
      </c>
      <c r="J536" t="s">
        <v>146</v>
      </c>
      <c r="K536" t="s">
        <v>74</v>
      </c>
      <c r="L536" t="s">
        <v>75</v>
      </c>
      <c r="M536" t="s">
        <v>1715</v>
      </c>
      <c r="N536" t="s">
        <v>31</v>
      </c>
      <c r="O536">
        <v>4</v>
      </c>
      <c r="P536">
        <v>3963.39</v>
      </c>
      <c r="Q536" s="6">
        <v>0.1</v>
      </c>
      <c r="R536" s="8">
        <f t="shared" si="32"/>
        <v>0.1</v>
      </c>
      <c r="S536">
        <v>14268.2</v>
      </c>
      <c r="T536">
        <v>11705.3</v>
      </c>
      <c r="U536">
        <v>2562.9</v>
      </c>
      <c r="V536" t="s">
        <v>111</v>
      </c>
      <c r="W536" t="s">
        <v>103</v>
      </c>
      <c r="X536" t="str">
        <f t="shared" si="35"/>
        <v/>
      </c>
      <c r="Y536" t="str">
        <f t="shared" si="33"/>
        <v>Exclude</v>
      </c>
    </row>
    <row r="537" spans="1:25">
      <c r="A537" t="s">
        <v>1716</v>
      </c>
      <c r="B537" s="3">
        <v>45431</v>
      </c>
      <c r="C537" s="3">
        <v>45433</v>
      </c>
      <c r="D537" s="6">
        <f t="shared" si="34"/>
        <v>2</v>
      </c>
      <c r="E537" t="s">
        <v>1717</v>
      </c>
      <c r="F537" t="s">
        <v>162</v>
      </c>
      <c r="G537" s="5" t="s">
        <v>37</v>
      </c>
      <c r="H537" t="s">
        <v>63</v>
      </c>
      <c r="I537" t="s">
        <v>64</v>
      </c>
      <c r="J537" t="s">
        <v>65</v>
      </c>
      <c r="K537" t="s">
        <v>74</v>
      </c>
      <c r="L537" t="s">
        <v>80</v>
      </c>
      <c r="M537" t="s">
        <v>1718</v>
      </c>
      <c r="N537" t="s">
        <v>50</v>
      </c>
      <c r="O537">
        <v>3</v>
      </c>
      <c r="P537">
        <v>4000.98</v>
      </c>
      <c r="Q537" s="6">
        <v>0.2</v>
      </c>
      <c r="R537" s="8">
        <f t="shared" si="32"/>
        <v>0.2</v>
      </c>
      <c r="S537">
        <v>9602.35</v>
      </c>
      <c r="T537">
        <v>7387.57</v>
      </c>
      <c r="U537">
        <v>2214.7800000000002</v>
      </c>
      <c r="V537" t="s">
        <v>32</v>
      </c>
      <c r="W537" t="s">
        <v>33</v>
      </c>
      <c r="X537" t="str">
        <f t="shared" si="35"/>
        <v/>
      </c>
      <c r="Y537" t="str">
        <f t="shared" si="33"/>
        <v>Exclude</v>
      </c>
    </row>
    <row r="538" spans="1:25">
      <c r="A538" t="s">
        <v>1719</v>
      </c>
      <c r="B538" s="3">
        <v>45757</v>
      </c>
      <c r="C538" s="3">
        <v>45764</v>
      </c>
      <c r="D538" s="6">
        <f t="shared" si="34"/>
        <v>7</v>
      </c>
      <c r="E538" t="s">
        <v>1720</v>
      </c>
      <c r="F538" t="s">
        <v>62</v>
      </c>
      <c r="G538" s="5" t="s">
        <v>37</v>
      </c>
      <c r="H538" t="s">
        <v>63</v>
      </c>
      <c r="I538" t="s">
        <v>26</v>
      </c>
      <c r="J538" t="s">
        <v>109</v>
      </c>
      <c r="K538" t="s">
        <v>41</v>
      </c>
      <c r="L538" t="s">
        <v>66</v>
      </c>
      <c r="M538" t="s">
        <v>1721</v>
      </c>
      <c r="N538" t="s">
        <v>50</v>
      </c>
      <c r="O538">
        <v>7</v>
      </c>
      <c r="P538">
        <v>3788.9</v>
      </c>
      <c r="Q538" s="6">
        <v>0.25</v>
      </c>
      <c r="R538" s="8">
        <f t="shared" si="32"/>
        <v>0.25</v>
      </c>
      <c r="S538">
        <v>19891.72</v>
      </c>
      <c r="T538">
        <v>12295.76</v>
      </c>
      <c r="U538">
        <v>7595.96</v>
      </c>
      <c r="V538" t="s">
        <v>155</v>
      </c>
      <c r="W538" t="s">
        <v>68</v>
      </c>
      <c r="X538" t="str">
        <f t="shared" si="35"/>
        <v>EXCLUDE: Cancelled order; EXCLUDE: Failed payment</v>
      </c>
      <c r="Y538" t="str">
        <f t="shared" si="33"/>
        <v>Exclude</v>
      </c>
    </row>
    <row r="539" spans="1:25">
      <c r="A539" t="s">
        <v>1722</v>
      </c>
      <c r="B539" s="3">
        <v>45313</v>
      </c>
      <c r="C539" s="3">
        <v>45321</v>
      </c>
      <c r="D539" s="6">
        <f t="shared" si="34"/>
        <v>8</v>
      </c>
      <c r="E539" t="s">
        <v>1723</v>
      </c>
      <c r="F539" t="s">
        <v>62</v>
      </c>
      <c r="G539" s="5" t="s">
        <v>37</v>
      </c>
      <c r="H539" t="s">
        <v>25</v>
      </c>
      <c r="I539" t="s">
        <v>237</v>
      </c>
      <c r="J539" t="s">
        <v>238</v>
      </c>
      <c r="K539" t="s">
        <v>28</v>
      </c>
      <c r="L539" t="s">
        <v>48</v>
      </c>
      <c r="M539" t="s">
        <v>1724</v>
      </c>
      <c r="N539" t="s">
        <v>44</v>
      </c>
      <c r="O539">
        <v>3</v>
      </c>
      <c r="P539">
        <v>676.37</v>
      </c>
      <c r="Q539" s="6">
        <v>0.05</v>
      </c>
      <c r="R539" s="8">
        <f t="shared" si="32"/>
        <v>0.05</v>
      </c>
      <c r="S539">
        <v>1927.65</v>
      </c>
      <c r="T539">
        <v>1460.6</v>
      </c>
      <c r="U539">
        <v>467.05</v>
      </c>
      <c r="V539" t="s">
        <v>155</v>
      </c>
      <c r="W539" t="s">
        <v>68</v>
      </c>
      <c r="X539" t="str">
        <f t="shared" si="35"/>
        <v>EXCLUDE: Cancelled order; EXCLUDE: Failed payment</v>
      </c>
      <c r="Y539" t="str">
        <f t="shared" si="33"/>
        <v>Exclude</v>
      </c>
    </row>
    <row r="540" spans="1:25">
      <c r="A540" t="s">
        <v>1725</v>
      </c>
      <c r="B540" s="3">
        <v>45560</v>
      </c>
      <c r="C540" s="3">
        <v>45566</v>
      </c>
      <c r="D540" s="6">
        <f t="shared" si="34"/>
        <v>6</v>
      </c>
      <c r="E540" t="s">
        <v>1726</v>
      </c>
      <c r="F540" t="s">
        <v>162</v>
      </c>
      <c r="G540" s="5" t="s">
        <v>37</v>
      </c>
      <c r="H540" t="s">
        <v>38</v>
      </c>
      <c r="I540" t="s">
        <v>229</v>
      </c>
      <c r="J540" t="s">
        <v>230</v>
      </c>
      <c r="K540" t="s">
        <v>41</v>
      </c>
      <c r="L540" t="s">
        <v>42</v>
      </c>
      <c r="M540" t="s">
        <v>1727</v>
      </c>
      <c r="N540" t="s">
        <v>31</v>
      </c>
      <c r="O540">
        <v>9</v>
      </c>
      <c r="P540">
        <v>3908.6</v>
      </c>
      <c r="Q540" s="6">
        <v>0.15</v>
      </c>
      <c r="R540" s="8">
        <f t="shared" si="32"/>
        <v>0.15</v>
      </c>
      <c r="S540">
        <v>29900.79</v>
      </c>
      <c r="T540">
        <v>24650.67</v>
      </c>
      <c r="U540">
        <v>5250.12</v>
      </c>
      <c r="V540" t="s">
        <v>32</v>
      </c>
      <c r="W540" t="s">
        <v>33</v>
      </c>
      <c r="X540" t="str">
        <f t="shared" si="35"/>
        <v/>
      </c>
      <c r="Y540" t="str">
        <f t="shared" si="33"/>
        <v>Exclude</v>
      </c>
    </row>
    <row r="541" spans="1:25">
      <c r="A541" t="s">
        <v>1728</v>
      </c>
      <c r="B541" s="3">
        <v>45754</v>
      </c>
      <c r="C541" s="3">
        <v>45754</v>
      </c>
      <c r="D541" s="6">
        <f t="shared" si="34"/>
        <v>0</v>
      </c>
      <c r="E541" t="s">
        <v>1729</v>
      </c>
      <c r="F541" t="s">
        <v>36</v>
      </c>
      <c r="G541" s="5" t="s">
        <v>37</v>
      </c>
      <c r="H541" t="s">
        <v>54</v>
      </c>
      <c r="I541" t="s">
        <v>248</v>
      </c>
      <c r="J541" t="s">
        <v>249</v>
      </c>
      <c r="K541" t="s">
        <v>41</v>
      </c>
      <c r="L541" t="s">
        <v>66</v>
      </c>
      <c r="M541" t="s">
        <v>1730</v>
      </c>
      <c r="N541" t="s">
        <v>59</v>
      </c>
      <c r="O541">
        <v>3</v>
      </c>
      <c r="P541">
        <v>705.35</v>
      </c>
      <c r="Q541" s="6">
        <v>0.1</v>
      </c>
      <c r="R541" s="8">
        <f t="shared" si="32"/>
        <v>0.1</v>
      </c>
      <c r="S541">
        <v>1904.45</v>
      </c>
      <c r="T541">
        <v>1316.54</v>
      </c>
      <c r="U541">
        <v>587.91</v>
      </c>
      <c r="V541" t="s">
        <v>32</v>
      </c>
      <c r="W541" t="s">
        <v>68</v>
      </c>
      <c r="X541" t="str">
        <f t="shared" si="35"/>
        <v>EXCLUDE: Cancelled order</v>
      </c>
      <c r="Y541" t="str">
        <f t="shared" si="33"/>
        <v>Exclude</v>
      </c>
    </row>
    <row r="542" spans="1:25">
      <c r="A542" t="s">
        <v>1731</v>
      </c>
      <c r="B542" s="3">
        <v>45348</v>
      </c>
      <c r="C542" s="3">
        <v>45345</v>
      </c>
      <c r="D542" s="6">
        <f t="shared" si="34"/>
        <v>-3</v>
      </c>
      <c r="E542" t="s">
        <v>1732</v>
      </c>
      <c r="F542" t="s">
        <v>265</v>
      </c>
      <c r="G542" s="5" t="s">
        <v>24</v>
      </c>
      <c r="H542" t="s">
        <v>63</v>
      </c>
      <c r="I542" t="s">
        <v>180</v>
      </c>
      <c r="J542" t="s">
        <v>181</v>
      </c>
      <c r="K542" t="s">
        <v>41</v>
      </c>
      <c r="L542" t="s">
        <v>57</v>
      </c>
      <c r="M542" t="s">
        <v>1733</v>
      </c>
      <c r="N542" t="s">
        <v>59</v>
      </c>
      <c r="O542">
        <v>7</v>
      </c>
      <c r="P542">
        <v>3852.07</v>
      </c>
      <c r="Q542" s="6">
        <v>0.2</v>
      </c>
      <c r="R542" s="8">
        <f t="shared" si="32"/>
        <v>0.2</v>
      </c>
      <c r="S542">
        <v>21571.59</v>
      </c>
      <c r="T542">
        <v>17118.07</v>
      </c>
      <c r="U542">
        <v>4453.5200000000004</v>
      </c>
      <c r="V542" t="s">
        <v>32</v>
      </c>
      <c r="W542" t="s">
        <v>33</v>
      </c>
      <c r="X542" t="str">
        <f t="shared" si="35"/>
        <v>INVALID: Ship date before order date</v>
      </c>
      <c r="Y542" t="str">
        <f t="shared" si="33"/>
        <v>Exclude</v>
      </c>
    </row>
    <row r="543" spans="1:25">
      <c r="A543" t="s">
        <v>1734</v>
      </c>
      <c r="B543" s="3">
        <v>45846</v>
      </c>
      <c r="C543" s="3">
        <v>45907</v>
      </c>
      <c r="D543" s="6">
        <f t="shared" si="34"/>
        <v>61</v>
      </c>
      <c r="E543" t="s">
        <v>1735</v>
      </c>
      <c r="F543" t="s">
        <v>132</v>
      </c>
      <c r="G543" s="5" t="s">
        <v>24</v>
      </c>
      <c r="H543" t="s">
        <v>63</v>
      </c>
      <c r="I543" t="s">
        <v>64</v>
      </c>
      <c r="J543" t="s">
        <v>65</v>
      </c>
      <c r="K543" t="s">
        <v>74</v>
      </c>
      <c r="L543" t="s">
        <v>80</v>
      </c>
      <c r="M543" t="s">
        <v>1736</v>
      </c>
      <c r="N543" t="s">
        <v>44</v>
      </c>
      <c r="O543">
        <v>3</v>
      </c>
      <c r="P543">
        <v>2880.56</v>
      </c>
      <c r="Q543" s="6">
        <v>0</v>
      </c>
      <c r="R543" s="8">
        <f t="shared" si="32"/>
        <v>0</v>
      </c>
      <c r="S543">
        <v>8641.68</v>
      </c>
      <c r="T543">
        <v>5747.09</v>
      </c>
      <c r="U543">
        <v>2894.59</v>
      </c>
      <c r="V543" t="s">
        <v>32</v>
      </c>
      <c r="W543" t="s">
        <v>103</v>
      </c>
      <c r="X543" t="str">
        <f t="shared" si="35"/>
        <v/>
      </c>
      <c r="Y543" t="str">
        <f t="shared" si="33"/>
        <v>Exclude</v>
      </c>
    </row>
    <row r="544" spans="1:25">
      <c r="A544" t="s">
        <v>1737</v>
      </c>
      <c r="B544" s="3">
        <v>45552</v>
      </c>
      <c r="C544" s="3">
        <v>45558</v>
      </c>
      <c r="D544" s="6">
        <f t="shared" si="34"/>
        <v>6</v>
      </c>
      <c r="E544" t="s">
        <v>1738</v>
      </c>
      <c r="F544" t="s">
        <v>118</v>
      </c>
      <c r="G544" s="5" t="s">
        <v>95</v>
      </c>
      <c r="H544" t="s">
        <v>54</v>
      </c>
      <c r="I544" t="s">
        <v>185</v>
      </c>
      <c r="J544" t="s">
        <v>186</v>
      </c>
      <c r="K544" t="s">
        <v>41</v>
      </c>
      <c r="L544" t="s">
        <v>158</v>
      </c>
      <c r="M544" t="s">
        <v>1739</v>
      </c>
      <c r="N544" t="s">
        <v>31</v>
      </c>
      <c r="O544">
        <v>3</v>
      </c>
      <c r="P544">
        <v>4067.62</v>
      </c>
      <c r="Q544" s="6">
        <v>0.2</v>
      </c>
      <c r="R544" s="8">
        <f t="shared" si="32"/>
        <v>0.2</v>
      </c>
      <c r="S544">
        <v>9988.5300000000007</v>
      </c>
      <c r="T544">
        <v>8368.24</v>
      </c>
      <c r="U544">
        <v>1394.05</v>
      </c>
      <c r="V544" t="s">
        <v>32</v>
      </c>
      <c r="W544" t="s">
        <v>1740</v>
      </c>
      <c r="X544" t="str">
        <f t="shared" si="35"/>
        <v>EXCLUDE: Cancelled order</v>
      </c>
      <c r="Y544" t="str">
        <f t="shared" si="33"/>
        <v>Exclude</v>
      </c>
    </row>
    <row r="545" spans="1:25">
      <c r="A545" t="s">
        <v>1741</v>
      </c>
      <c r="B545" s="3">
        <v>45487</v>
      </c>
      <c r="C545" s="3">
        <v>45493</v>
      </c>
      <c r="D545" s="6">
        <f t="shared" si="34"/>
        <v>6</v>
      </c>
      <c r="E545" t="s">
        <v>1742</v>
      </c>
      <c r="F545" t="s">
        <v>36</v>
      </c>
      <c r="G545" s="5" t="s">
        <v>24</v>
      </c>
      <c r="H545" t="s">
        <v>38</v>
      </c>
      <c r="I545" t="s">
        <v>145</v>
      </c>
      <c r="J545" t="s">
        <v>146</v>
      </c>
      <c r="K545" t="s">
        <v>74</v>
      </c>
      <c r="L545" t="s">
        <v>80</v>
      </c>
      <c r="M545" t="s">
        <v>1743</v>
      </c>
      <c r="N545" t="s">
        <v>44</v>
      </c>
      <c r="O545">
        <v>1</v>
      </c>
      <c r="P545">
        <v>492.67</v>
      </c>
      <c r="Q545" s="6">
        <v>0.15</v>
      </c>
      <c r="R545" s="8">
        <f t="shared" si="32"/>
        <v>0.15</v>
      </c>
      <c r="S545">
        <v>418.77</v>
      </c>
      <c r="T545">
        <v>313.72000000000003</v>
      </c>
      <c r="U545">
        <v>105.05</v>
      </c>
      <c r="V545" t="s">
        <v>32</v>
      </c>
      <c r="W545" t="s">
        <v>33</v>
      </c>
      <c r="X545" t="str">
        <f t="shared" si="35"/>
        <v/>
      </c>
      <c r="Y545" t="str">
        <f t="shared" si="33"/>
        <v>Exclude</v>
      </c>
    </row>
    <row r="546" spans="1:25">
      <c r="A546" t="s">
        <v>1744</v>
      </c>
      <c r="B546" s="3">
        <v>45686</v>
      </c>
      <c r="C546" s="3">
        <v>45779</v>
      </c>
      <c r="D546" s="6">
        <f t="shared" si="34"/>
        <v>93</v>
      </c>
      <c r="E546" t="s">
        <v>1745</v>
      </c>
      <c r="F546" t="s">
        <v>62</v>
      </c>
      <c r="G546" s="5" t="s">
        <v>24</v>
      </c>
      <c r="H546" t="s">
        <v>54</v>
      </c>
      <c r="I546" t="s">
        <v>185</v>
      </c>
      <c r="J546" t="s">
        <v>186</v>
      </c>
      <c r="K546" t="s">
        <v>28</v>
      </c>
      <c r="L546" t="s">
        <v>48</v>
      </c>
      <c r="M546" t="s">
        <v>1746</v>
      </c>
      <c r="N546" t="s">
        <v>44</v>
      </c>
      <c r="O546">
        <v>8</v>
      </c>
      <c r="P546">
        <v>3643.62</v>
      </c>
      <c r="Q546" s="6">
        <v>0.25</v>
      </c>
      <c r="R546" s="8">
        <f t="shared" si="32"/>
        <v>0.25</v>
      </c>
      <c r="S546">
        <v>21861.72</v>
      </c>
      <c r="T546">
        <v>18464.34</v>
      </c>
      <c r="U546">
        <v>3397.38</v>
      </c>
      <c r="V546" t="s">
        <v>32</v>
      </c>
      <c r="W546" t="s">
        <v>68</v>
      </c>
      <c r="X546" t="str">
        <f t="shared" si="35"/>
        <v>EXCLUDE: Cancelled order</v>
      </c>
      <c r="Y546" t="str">
        <f t="shared" si="33"/>
        <v>Exclude</v>
      </c>
    </row>
    <row r="547" spans="1:25">
      <c r="A547" t="s">
        <v>1747</v>
      </c>
      <c r="B547" s="3">
        <v>45439</v>
      </c>
      <c r="C547" s="3">
        <v>45442</v>
      </c>
      <c r="D547" s="6">
        <f t="shared" si="34"/>
        <v>3</v>
      </c>
      <c r="E547" t="s">
        <v>1748</v>
      </c>
      <c r="F547" t="s">
        <v>265</v>
      </c>
      <c r="G547" s="5" t="s">
        <v>37</v>
      </c>
      <c r="H547" t="s">
        <v>38</v>
      </c>
      <c r="I547" t="s">
        <v>229</v>
      </c>
      <c r="J547" t="s">
        <v>230</v>
      </c>
      <c r="K547" t="s">
        <v>28</v>
      </c>
      <c r="L547" t="s">
        <v>124</v>
      </c>
      <c r="M547" t="s">
        <v>1749</v>
      </c>
      <c r="N547" t="s">
        <v>44</v>
      </c>
      <c r="O547">
        <v>7</v>
      </c>
      <c r="P547">
        <v>2900.86</v>
      </c>
      <c r="Q547" s="6">
        <v>0.15</v>
      </c>
      <c r="R547" s="8">
        <f t="shared" si="32"/>
        <v>0.15</v>
      </c>
      <c r="S547">
        <v>17260.12</v>
      </c>
      <c r="T547">
        <v>13513.51</v>
      </c>
      <c r="U547">
        <v>3746.61</v>
      </c>
      <c r="V547" t="s">
        <v>32</v>
      </c>
      <c r="W547" t="s">
        <v>33</v>
      </c>
      <c r="X547" t="str">
        <f t="shared" si="35"/>
        <v/>
      </c>
      <c r="Y547" t="str">
        <f t="shared" si="33"/>
        <v>Exclude</v>
      </c>
    </row>
    <row r="548" spans="1:25">
      <c r="A548" t="s">
        <v>1750</v>
      </c>
      <c r="B548" s="3">
        <v>45883</v>
      </c>
      <c r="C548" s="3">
        <v>45891</v>
      </c>
      <c r="D548" s="6">
        <f t="shared" si="34"/>
        <v>8</v>
      </c>
      <c r="E548" t="s">
        <v>1751</v>
      </c>
      <c r="F548" t="s">
        <v>53</v>
      </c>
      <c r="G548" s="5" t="s">
        <v>90</v>
      </c>
      <c r="H548" t="s">
        <v>63</v>
      </c>
      <c r="I548" t="s">
        <v>180</v>
      </c>
      <c r="J548" t="s">
        <v>181</v>
      </c>
      <c r="K548" t="s">
        <v>1752</v>
      </c>
      <c r="L548" t="s">
        <v>29</v>
      </c>
      <c r="M548" t="s">
        <v>1753</v>
      </c>
      <c r="N548" t="s">
        <v>50</v>
      </c>
      <c r="O548">
        <v>5</v>
      </c>
      <c r="P548">
        <v>2567.37</v>
      </c>
      <c r="Q548" s="6">
        <v>0.15</v>
      </c>
      <c r="R548" s="8">
        <f t="shared" si="32"/>
        <v>0.15</v>
      </c>
      <c r="S548">
        <v>10911.32</v>
      </c>
      <c r="T548">
        <v>6966.44</v>
      </c>
      <c r="U548">
        <v>4395.17</v>
      </c>
      <c r="V548" t="s">
        <v>32</v>
      </c>
      <c r="W548" t="s">
        <v>33</v>
      </c>
      <c r="X548" t="str">
        <f t="shared" si="35"/>
        <v/>
      </c>
      <c r="Y548" t="str">
        <f t="shared" si="33"/>
        <v>Exclude</v>
      </c>
    </row>
    <row r="549" spans="1:25">
      <c r="A549" t="s">
        <v>1754</v>
      </c>
      <c r="B549" s="3">
        <v>45428</v>
      </c>
      <c r="C549" s="3">
        <v>45435</v>
      </c>
      <c r="D549" s="6">
        <f t="shared" si="34"/>
        <v>7</v>
      </c>
      <c r="E549" t="s">
        <v>1755</v>
      </c>
      <c r="F549" t="s">
        <v>79</v>
      </c>
      <c r="G549" s="5" t="s">
        <v>37</v>
      </c>
      <c r="H549" t="s">
        <v>25</v>
      </c>
      <c r="I549" t="s">
        <v>136</v>
      </c>
      <c r="J549" t="s">
        <v>137</v>
      </c>
      <c r="K549" t="s">
        <v>74</v>
      </c>
      <c r="L549" t="s">
        <v>80</v>
      </c>
      <c r="M549" t="s">
        <v>1756</v>
      </c>
      <c r="N549" t="s">
        <v>59</v>
      </c>
      <c r="O549">
        <v>9</v>
      </c>
      <c r="P549">
        <v>3722.09</v>
      </c>
      <c r="Q549" s="6">
        <v>0.1</v>
      </c>
      <c r="R549" s="8">
        <f t="shared" si="32"/>
        <v>0.1</v>
      </c>
      <c r="S549">
        <v>30148.93</v>
      </c>
      <c r="T549">
        <v>25155.07</v>
      </c>
      <c r="U549">
        <v>4993.8599999999997</v>
      </c>
      <c r="V549" t="s">
        <v>32</v>
      </c>
      <c r="W549" t="s">
        <v>33</v>
      </c>
      <c r="X549" t="str">
        <f t="shared" si="35"/>
        <v/>
      </c>
      <c r="Y549" t="str">
        <f t="shared" si="33"/>
        <v>Exclude</v>
      </c>
    </row>
    <row r="550" spans="1:25">
      <c r="A550" t="s">
        <v>1757</v>
      </c>
      <c r="B550" s="3">
        <v>45441</v>
      </c>
      <c r="C550" s="3">
        <v>45441</v>
      </c>
      <c r="D550" s="6">
        <f t="shared" si="34"/>
        <v>0</v>
      </c>
      <c r="E550" t="s">
        <v>1758</v>
      </c>
      <c r="F550" t="s">
        <v>141</v>
      </c>
      <c r="G550" s="5" t="s">
        <v>90</v>
      </c>
      <c r="H550" t="s">
        <v>38</v>
      </c>
      <c r="I550" t="s">
        <v>145</v>
      </c>
      <c r="J550" t="s">
        <v>146</v>
      </c>
      <c r="K550" t="s">
        <v>41</v>
      </c>
      <c r="L550" t="s">
        <v>158</v>
      </c>
      <c r="M550" t="s">
        <v>1759</v>
      </c>
      <c r="N550" t="s">
        <v>44</v>
      </c>
      <c r="O550">
        <v>1</v>
      </c>
      <c r="P550">
        <v>1072.01</v>
      </c>
      <c r="Q550" s="6">
        <v>0</v>
      </c>
      <c r="R550" s="8">
        <f t="shared" si="32"/>
        <v>0</v>
      </c>
      <c r="S550">
        <v>1072.01</v>
      </c>
      <c r="T550">
        <v>852.62</v>
      </c>
      <c r="U550">
        <v>219.39</v>
      </c>
      <c r="V550" t="s">
        <v>111</v>
      </c>
      <c r="W550" t="s">
        <v>68</v>
      </c>
      <c r="X550" t="str">
        <f t="shared" si="35"/>
        <v>EXCLUDE: Cancelled order</v>
      </c>
      <c r="Y550" t="str">
        <f t="shared" si="33"/>
        <v>Exclude</v>
      </c>
    </row>
    <row r="551" spans="1:25">
      <c r="A551" t="s">
        <v>1760</v>
      </c>
      <c r="B551" s="3">
        <v>45971</v>
      </c>
      <c r="C551" s="3">
        <v>45943</v>
      </c>
      <c r="D551" s="6">
        <f t="shared" si="34"/>
        <v>-28</v>
      </c>
      <c r="E551" t="s">
        <v>1761</v>
      </c>
      <c r="F551" t="s">
        <v>36</v>
      </c>
      <c r="G551" s="5" t="s">
        <v>90</v>
      </c>
      <c r="H551" t="s">
        <v>54</v>
      </c>
      <c r="I551" t="s">
        <v>55</v>
      </c>
      <c r="J551" t="s">
        <v>56</v>
      </c>
      <c r="K551" t="s">
        <v>28</v>
      </c>
      <c r="L551" t="s">
        <v>48</v>
      </c>
      <c r="M551" t="s">
        <v>1762</v>
      </c>
      <c r="N551" t="s">
        <v>31</v>
      </c>
      <c r="O551">
        <v>3</v>
      </c>
      <c r="P551">
        <v>3804.27</v>
      </c>
      <c r="Q551" s="6">
        <v>0.1</v>
      </c>
      <c r="R551" s="8">
        <f t="shared" si="32"/>
        <v>0.1</v>
      </c>
      <c r="S551">
        <v>10271.530000000001</v>
      </c>
      <c r="T551">
        <v>8272.24</v>
      </c>
      <c r="U551">
        <v>1999.29</v>
      </c>
      <c r="V551" t="s">
        <v>32</v>
      </c>
      <c r="W551" t="s">
        <v>33</v>
      </c>
      <c r="X551" t="str">
        <f t="shared" si="35"/>
        <v>INVALID: Ship date before order date</v>
      </c>
      <c r="Y551" t="str">
        <f t="shared" si="33"/>
        <v>Exclude</v>
      </c>
    </row>
    <row r="552" spans="1:25">
      <c r="A552" t="s">
        <v>1763</v>
      </c>
      <c r="B552" s="3">
        <v>45506</v>
      </c>
      <c r="C552" s="3">
        <v>45573</v>
      </c>
      <c r="D552" s="6">
        <f t="shared" si="34"/>
        <v>67</v>
      </c>
      <c r="E552" t="s">
        <v>1764</v>
      </c>
      <c r="F552" t="s">
        <v>36</v>
      </c>
      <c r="G552" s="5" t="s">
        <v>95</v>
      </c>
      <c r="H552" t="s">
        <v>38</v>
      </c>
      <c r="I552" t="s">
        <v>39</v>
      </c>
      <c r="J552" t="s">
        <v>40</v>
      </c>
      <c r="K552" t="s">
        <v>74</v>
      </c>
      <c r="L552" t="s">
        <v>75</v>
      </c>
      <c r="M552" t="s">
        <v>1765</v>
      </c>
      <c r="N552" t="s">
        <v>59</v>
      </c>
      <c r="O552">
        <v>6</v>
      </c>
      <c r="P552">
        <v>2126.44</v>
      </c>
      <c r="Q552" s="6">
        <v>0.2</v>
      </c>
      <c r="R552" s="8">
        <f t="shared" si="32"/>
        <v>0.2</v>
      </c>
      <c r="S552">
        <v>10206.91</v>
      </c>
      <c r="T552">
        <v>6764.53</v>
      </c>
      <c r="U552">
        <v>3442.38</v>
      </c>
      <c r="V552" t="s">
        <v>32</v>
      </c>
      <c r="W552" t="s">
        <v>33</v>
      </c>
      <c r="X552" t="str">
        <f t="shared" si="35"/>
        <v/>
      </c>
      <c r="Y552" t="str">
        <f t="shared" si="33"/>
        <v>Exclude</v>
      </c>
    </row>
    <row r="553" spans="1:25">
      <c r="A553" t="s">
        <v>1766</v>
      </c>
      <c r="B553" s="3">
        <v>45349</v>
      </c>
      <c r="C553" s="3">
        <v>45349</v>
      </c>
      <c r="D553" s="6">
        <f t="shared" si="34"/>
        <v>0</v>
      </c>
      <c r="E553" t="s">
        <v>1767</v>
      </c>
      <c r="F553" t="s">
        <v>132</v>
      </c>
      <c r="G553" s="5" t="s">
        <v>24</v>
      </c>
      <c r="H553" t="s">
        <v>38</v>
      </c>
      <c r="I553" t="s">
        <v>229</v>
      </c>
      <c r="J553" t="s">
        <v>230</v>
      </c>
      <c r="K553" t="s">
        <v>41</v>
      </c>
      <c r="L553" t="s">
        <v>66</v>
      </c>
      <c r="M553" t="s">
        <v>1768</v>
      </c>
      <c r="N553" t="s">
        <v>31</v>
      </c>
      <c r="O553">
        <v>3</v>
      </c>
      <c r="P553">
        <v>3148.09</v>
      </c>
      <c r="Q553" s="6">
        <v>0.15</v>
      </c>
      <c r="R553" s="8">
        <f t="shared" si="32"/>
        <v>0.15</v>
      </c>
      <c r="S553">
        <v>8027.63</v>
      </c>
      <c r="T553">
        <v>5496.09</v>
      </c>
      <c r="U553">
        <v>2531.54</v>
      </c>
      <c r="V553" t="s">
        <v>32</v>
      </c>
      <c r="W553" t="s">
        <v>33</v>
      </c>
      <c r="X553" t="str">
        <f t="shared" si="35"/>
        <v/>
      </c>
      <c r="Y553" t="str">
        <f t="shared" si="33"/>
        <v>Exclude</v>
      </c>
    </row>
    <row r="554" spans="1:25">
      <c r="A554" t="s">
        <v>1769</v>
      </c>
      <c r="B554" s="3">
        <v>45681</v>
      </c>
      <c r="C554" s="3">
        <v>45687</v>
      </c>
      <c r="D554" s="6">
        <f t="shared" si="34"/>
        <v>6</v>
      </c>
      <c r="E554" t="s">
        <v>1770</v>
      </c>
      <c r="F554" t="s">
        <v>62</v>
      </c>
      <c r="G554" s="5" t="s">
        <v>90</v>
      </c>
      <c r="H554" t="s">
        <v>38</v>
      </c>
      <c r="I554" t="s">
        <v>99</v>
      </c>
      <c r="J554" t="s">
        <v>100</v>
      </c>
      <c r="K554" t="s">
        <v>74</v>
      </c>
      <c r="L554" t="s">
        <v>80</v>
      </c>
      <c r="M554" t="s">
        <v>1771</v>
      </c>
      <c r="N554" t="s">
        <v>59</v>
      </c>
      <c r="O554">
        <v>8</v>
      </c>
      <c r="P554">
        <v>312.52999999999997</v>
      </c>
      <c r="Q554" s="6" t="s">
        <v>464</v>
      </c>
      <c r="R554" s="8" t="str">
        <f t="shared" si="32"/>
        <v>70%</v>
      </c>
      <c r="S554">
        <v>1875.18</v>
      </c>
      <c r="T554">
        <v>1579.17</v>
      </c>
      <c r="U554">
        <v>296.01</v>
      </c>
      <c r="V554" t="s">
        <v>32</v>
      </c>
      <c r="W554" t="s">
        <v>33</v>
      </c>
      <c r="X554" t="str">
        <f t="shared" si="35"/>
        <v>INVALID: Discount above range</v>
      </c>
      <c r="Y554" t="str">
        <f t="shared" si="33"/>
        <v>Exclude</v>
      </c>
    </row>
    <row r="555" spans="1:25">
      <c r="A555" t="s">
        <v>1772</v>
      </c>
      <c r="B555" s="3">
        <v>45772</v>
      </c>
      <c r="C555" s="3">
        <v>45775</v>
      </c>
      <c r="D555" s="6">
        <f t="shared" si="34"/>
        <v>3</v>
      </c>
      <c r="E555" t="s">
        <v>1773</v>
      </c>
      <c r="F555" t="s">
        <v>128</v>
      </c>
      <c r="G555" s="5" t="s">
        <v>37</v>
      </c>
      <c r="H555" t="s">
        <v>63</v>
      </c>
      <c r="I555" t="s">
        <v>180</v>
      </c>
      <c r="J555" t="s">
        <v>181</v>
      </c>
      <c r="K555" t="s">
        <v>28</v>
      </c>
      <c r="L555" t="s">
        <v>124</v>
      </c>
      <c r="M555" t="s">
        <v>1774</v>
      </c>
      <c r="N555" t="s">
        <v>50</v>
      </c>
      <c r="O555">
        <v>9</v>
      </c>
      <c r="P555">
        <v>1294.1099999999999</v>
      </c>
      <c r="Q555" s="6">
        <v>0.25</v>
      </c>
      <c r="R555" s="8">
        <f t="shared" si="32"/>
        <v>0.25</v>
      </c>
      <c r="S555">
        <v>8735.24</v>
      </c>
      <c r="T555">
        <v>6620.07</v>
      </c>
      <c r="U555">
        <v>2115.17</v>
      </c>
      <c r="V555" t="s">
        <v>32</v>
      </c>
      <c r="W555" t="s">
        <v>33</v>
      </c>
      <c r="X555" t="str">
        <f t="shared" si="35"/>
        <v/>
      </c>
      <c r="Y555" t="str">
        <f t="shared" si="33"/>
        <v>Exclude</v>
      </c>
    </row>
    <row r="556" spans="1:25">
      <c r="A556" t="s">
        <v>1775</v>
      </c>
      <c r="B556" s="3">
        <v>45577</v>
      </c>
      <c r="C556" s="3">
        <v>45582</v>
      </c>
      <c r="D556" s="6">
        <f t="shared" si="34"/>
        <v>5</v>
      </c>
      <c r="E556" t="s">
        <v>1776</v>
      </c>
      <c r="F556" t="s">
        <v>53</v>
      </c>
      <c r="G556" s="5" t="s">
        <v>24</v>
      </c>
      <c r="H556" t="s">
        <v>2806</v>
      </c>
      <c r="I556" t="s">
        <v>229</v>
      </c>
      <c r="J556" t="s">
        <v>230</v>
      </c>
      <c r="K556" t="s">
        <v>41</v>
      </c>
      <c r="L556" t="s">
        <v>57</v>
      </c>
      <c r="M556" t="s">
        <v>1777</v>
      </c>
      <c r="N556" t="s">
        <v>59</v>
      </c>
      <c r="O556">
        <v>4</v>
      </c>
      <c r="P556">
        <v>1071.22</v>
      </c>
      <c r="Q556" s="6">
        <v>0.05</v>
      </c>
      <c r="R556" s="8">
        <f t="shared" si="32"/>
        <v>0.05</v>
      </c>
      <c r="S556">
        <v>4070.64</v>
      </c>
      <c r="T556">
        <v>2831.62</v>
      </c>
      <c r="U556">
        <v>1239.02</v>
      </c>
      <c r="V556" t="s">
        <v>32</v>
      </c>
      <c r="W556" t="s">
        <v>33</v>
      </c>
      <c r="X556" t="str">
        <f t="shared" si="35"/>
        <v/>
      </c>
      <c r="Y556" t="str">
        <f t="shared" si="33"/>
        <v>Exclude</v>
      </c>
    </row>
    <row r="557" spans="1:25">
      <c r="A557" t="s">
        <v>1778</v>
      </c>
      <c r="B557" s="3">
        <v>45692</v>
      </c>
      <c r="C557" s="3">
        <v>45932</v>
      </c>
      <c r="D557" s="6">
        <f t="shared" si="34"/>
        <v>240</v>
      </c>
      <c r="E557" t="s">
        <v>1779</v>
      </c>
      <c r="F557" t="s">
        <v>62</v>
      </c>
      <c r="G557" s="5" t="s">
        <v>37</v>
      </c>
      <c r="H557" t="s">
        <v>54</v>
      </c>
      <c r="I557" t="s">
        <v>55</v>
      </c>
      <c r="J557" t="s">
        <v>56</v>
      </c>
      <c r="K557" t="s">
        <v>28</v>
      </c>
      <c r="L557" t="s">
        <v>124</v>
      </c>
      <c r="M557" t="s">
        <v>1780</v>
      </c>
      <c r="N557" t="s">
        <v>59</v>
      </c>
      <c r="O557">
        <v>6</v>
      </c>
      <c r="P557">
        <v>1042.8</v>
      </c>
      <c r="Q557" s="6">
        <v>0.05</v>
      </c>
      <c r="R557" s="8">
        <f t="shared" si="32"/>
        <v>0.05</v>
      </c>
      <c r="S557">
        <v>5943.96</v>
      </c>
      <c r="T557">
        <v>3604.14</v>
      </c>
      <c r="U557">
        <v>2339.8200000000002</v>
      </c>
      <c r="V557" t="s">
        <v>32</v>
      </c>
      <c r="W557" t="s">
        <v>33</v>
      </c>
      <c r="X557" t="str">
        <f t="shared" si="35"/>
        <v/>
      </c>
      <c r="Y557" t="str">
        <f t="shared" si="33"/>
        <v>Exclude</v>
      </c>
    </row>
    <row r="558" spans="1:25">
      <c r="A558" t="s">
        <v>1781</v>
      </c>
      <c r="B558" s="3">
        <v>45466</v>
      </c>
      <c r="C558" s="3">
        <v>45472</v>
      </c>
      <c r="D558" s="6">
        <f t="shared" si="34"/>
        <v>6</v>
      </c>
      <c r="E558" t="s">
        <v>1782</v>
      </c>
      <c r="F558" t="s">
        <v>79</v>
      </c>
      <c r="G558" s="5" t="s">
        <v>24</v>
      </c>
      <c r="H558" t="s">
        <v>25</v>
      </c>
      <c r="I558" t="s">
        <v>237</v>
      </c>
      <c r="J558" t="s">
        <v>238</v>
      </c>
      <c r="K558" t="s">
        <v>41</v>
      </c>
      <c r="L558" t="s">
        <v>42</v>
      </c>
      <c r="M558" t="s">
        <v>1783</v>
      </c>
      <c r="N558" t="s">
        <v>50</v>
      </c>
      <c r="O558">
        <v>1</v>
      </c>
      <c r="P558">
        <v>4426.66</v>
      </c>
      <c r="Q558" s="6">
        <v>0</v>
      </c>
      <c r="R558" s="8">
        <f t="shared" si="32"/>
        <v>0</v>
      </c>
      <c r="S558">
        <v>4426.66</v>
      </c>
      <c r="T558">
        <v>3035.2</v>
      </c>
      <c r="U558">
        <v>1816.23</v>
      </c>
      <c r="V558" t="s">
        <v>32</v>
      </c>
      <c r="W558" t="s">
        <v>103</v>
      </c>
      <c r="X558" t="str">
        <f t="shared" si="35"/>
        <v/>
      </c>
      <c r="Y558" t="str">
        <f t="shared" si="33"/>
        <v>Exclude</v>
      </c>
    </row>
    <row r="559" spans="1:25">
      <c r="A559" t="s">
        <v>1784</v>
      </c>
      <c r="B559" s="3">
        <v>45420</v>
      </c>
      <c r="C559" s="3">
        <v>45426</v>
      </c>
      <c r="D559" s="6">
        <f t="shared" si="34"/>
        <v>6</v>
      </c>
      <c r="E559" t="s">
        <v>1785</v>
      </c>
      <c r="F559" t="s">
        <v>71</v>
      </c>
      <c r="G559" s="5" t="s">
        <v>95</v>
      </c>
      <c r="H559" t="s">
        <v>25</v>
      </c>
      <c r="I559" t="s">
        <v>237</v>
      </c>
      <c r="J559" t="s">
        <v>238</v>
      </c>
      <c r="K559" t="s">
        <v>74</v>
      </c>
      <c r="L559" t="s">
        <v>171</v>
      </c>
      <c r="M559" t="s">
        <v>1786</v>
      </c>
      <c r="N559" t="s">
        <v>50</v>
      </c>
      <c r="O559">
        <v>9</v>
      </c>
      <c r="P559">
        <v>3769.46</v>
      </c>
      <c r="Q559" s="6">
        <v>0.05</v>
      </c>
      <c r="R559" s="8">
        <f t="shared" si="32"/>
        <v>0.05</v>
      </c>
      <c r="S559">
        <v>32228.880000000001</v>
      </c>
      <c r="T559">
        <v>24971.360000000001</v>
      </c>
      <c r="U559">
        <v>7257.52</v>
      </c>
      <c r="V559" t="s">
        <v>32</v>
      </c>
      <c r="W559" t="s">
        <v>68</v>
      </c>
      <c r="X559" t="str">
        <f t="shared" si="35"/>
        <v>EXCLUDE: Cancelled order</v>
      </c>
      <c r="Y559" t="str">
        <f t="shared" si="33"/>
        <v>Exclude</v>
      </c>
    </row>
    <row r="560" spans="1:25">
      <c r="A560" t="s">
        <v>1787</v>
      </c>
      <c r="B560" s="3">
        <v>45904</v>
      </c>
      <c r="C560" s="3">
        <v>45756</v>
      </c>
      <c r="D560" s="6">
        <f t="shared" si="34"/>
        <v>-148</v>
      </c>
      <c r="E560" t="s">
        <v>1788</v>
      </c>
      <c r="F560" t="s">
        <v>89</v>
      </c>
      <c r="G560" s="5" t="s">
        <v>90</v>
      </c>
      <c r="H560" t="s">
        <v>25</v>
      </c>
      <c r="I560" t="s">
        <v>122</v>
      </c>
      <c r="J560" t="s">
        <v>123</v>
      </c>
      <c r="K560" t="s">
        <v>74</v>
      </c>
      <c r="L560" t="s">
        <v>275</v>
      </c>
      <c r="M560" t="s">
        <v>1789</v>
      </c>
      <c r="N560" t="s">
        <v>50</v>
      </c>
      <c r="O560">
        <v>8</v>
      </c>
      <c r="P560">
        <v>3079.95</v>
      </c>
      <c r="Q560" s="6">
        <v>0.2</v>
      </c>
      <c r="R560" s="8">
        <f t="shared" si="32"/>
        <v>0.2</v>
      </c>
      <c r="S560">
        <v>19711.68</v>
      </c>
      <c r="T560">
        <v>14461.8</v>
      </c>
      <c r="U560">
        <v>5249.88</v>
      </c>
      <c r="V560" t="s">
        <v>32</v>
      </c>
      <c r="W560" t="s">
        <v>33</v>
      </c>
      <c r="X560" t="str">
        <f t="shared" si="35"/>
        <v>INVALID: Ship date before order date</v>
      </c>
      <c r="Y560" t="str">
        <f t="shared" si="33"/>
        <v>Exclude</v>
      </c>
    </row>
    <row r="561" spans="1:25">
      <c r="A561" t="s">
        <v>1790</v>
      </c>
      <c r="B561" s="3">
        <v>45930</v>
      </c>
      <c r="C561" s="3">
        <v>45848</v>
      </c>
      <c r="D561" s="6">
        <f t="shared" si="34"/>
        <v>-82</v>
      </c>
      <c r="E561" t="s">
        <v>1791</v>
      </c>
      <c r="F561" t="s">
        <v>162</v>
      </c>
      <c r="G561" s="5" t="s">
        <v>90</v>
      </c>
      <c r="H561" t="s">
        <v>38</v>
      </c>
      <c r="I561" t="s">
        <v>145</v>
      </c>
      <c r="J561" t="s">
        <v>146</v>
      </c>
      <c r="K561" t="s">
        <v>74</v>
      </c>
      <c r="L561" t="s">
        <v>80</v>
      </c>
      <c r="M561" t="s">
        <v>1792</v>
      </c>
      <c r="N561" t="s">
        <v>31</v>
      </c>
      <c r="O561">
        <v>5</v>
      </c>
      <c r="P561">
        <v>3277.82</v>
      </c>
      <c r="Q561" s="6">
        <v>0.1</v>
      </c>
      <c r="R561" s="8">
        <f t="shared" si="32"/>
        <v>0.1</v>
      </c>
      <c r="S561">
        <v>14750.19</v>
      </c>
      <c r="T561">
        <v>9482.58</v>
      </c>
      <c r="U561">
        <v>5267.61</v>
      </c>
      <c r="V561" t="s">
        <v>32</v>
      </c>
      <c r="W561" t="s">
        <v>103</v>
      </c>
      <c r="X561" t="str">
        <f t="shared" si="35"/>
        <v>INVALID: Ship date before order date</v>
      </c>
      <c r="Y561" t="str">
        <f t="shared" si="33"/>
        <v>Exclude</v>
      </c>
    </row>
    <row r="562" spans="1:25">
      <c r="A562" t="s">
        <v>1793</v>
      </c>
      <c r="B562" s="3">
        <v>45307</v>
      </c>
      <c r="C562" s="3">
        <v>45313</v>
      </c>
      <c r="D562" s="6">
        <f t="shared" si="34"/>
        <v>6</v>
      </c>
      <c r="E562" t="s">
        <v>1794</v>
      </c>
      <c r="F562" t="s">
        <v>53</v>
      </c>
      <c r="G562" s="5" t="s">
        <v>24</v>
      </c>
      <c r="H562" t="s">
        <v>63</v>
      </c>
      <c r="I562" t="s">
        <v>190</v>
      </c>
      <c r="J562" t="s">
        <v>191</v>
      </c>
      <c r="K562" t="s">
        <v>28</v>
      </c>
      <c r="L562" t="s">
        <v>124</v>
      </c>
      <c r="M562" t="s">
        <v>1795</v>
      </c>
      <c r="N562" t="s">
        <v>59</v>
      </c>
      <c r="O562">
        <v>4</v>
      </c>
      <c r="P562">
        <v>282.52999999999997</v>
      </c>
      <c r="Q562" s="6">
        <v>0</v>
      </c>
      <c r="R562" s="8">
        <f t="shared" si="32"/>
        <v>0</v>
      </c>
      <c r="S562">
        <v>1130.1199999999999</v>
      </c>
      <c r="T562">
        <v>848.62</v>
      </c>
      <c r="U562">
        <v>281.5</v>
      </c>
      <c r="V562" t="s">
        <v>32</v>
      </c>
      <c r="W562" t="s">
        <v>68</v>
      </c>
      <c r="X562" t="str">
        <f t="shared" si="35"/>
        <v>EXCLUDE: Cancelled order</v>
      </c>
      <c r="Y562" t="str">
        <f t="shared" si="33"/>
        <v>Exclude</v>
      </c>
    </row>
    <row r="563" spans="1:25">
      <c r="A563" t="s">
        <v>1796</v>
      </c>
      <c r="B563" s="3">
        <v>45852</v>
      </c>
      <c r="C563" s="3">
        <v>45856</v>
      </c>
      <c r="D563" s="6">
        <f t="shared" si="34"/>
        <v>4</v>
      </c>
      <c r="E563" t="s">
        <v>1797</v>
      </c>
      <c r="F563" t="s">
        <v>89</v>
      </c>
      <c r="G563" s="5" t="s">
        <v>24</v>
      </c>
      <c r="H563" t="s">
        <v>25</v>
      </c>
      <c r="I563" t="s">
        <v>122</v>
      </c>
      <c r="J563" t="s">
        <v>123</v>
      </c>
      <c r="K563" t="s">
        <v>74</v>
      </c>
      <c r="L563" t="s">
        <v>80</v>
      </c>
      <c r="M563" t="s">
        <v>1798</v>
      </c>
      <c r="N563" t="s">
        <v>50</v>
      </c>
      <c r="O563">
        <v>4</v>
      </c>
      <c r="P563">
        <v>725.22</v>
      </c>
      <c r="Q563" s="6">
        <v>0</v>
      </c>
      <c r="R563" s="8">
        <f t="shared" si="32"/>
        <v>0</v>
      </c>
      <c r="S563">
        <v>2900.88</v>
      </c>
      <c r="T563">
        <v>2391.85</v>
      </c>
      <c r="U563">
        <v>509.03</v>
      </c>
      <c r="V563" t="s">
        <v>111</v>
      </c>
      <c r="W563" t="s">
        <v>103</v>
      </c>
      <c r="X563" t="str">
        <f t="shared" si="35"/>
        <v/>
      </c>
      <c r="Y563" t="str">
        <f t="shared" si="33"/>
        <v>Exclude</v>
      </c>
    </row>
    <row r="564" spans="1:25">
      <c r="A564" t="s">
        <v>1799</v>
      </c>
      <c r="B564" s="3">
        <v>45422</v>
      </c>
      <c r="C564" s="3">
        <v>45428</v>
      </c>
      <c r="D564" s="6">
        <f t="shared" si="34"/>
        <v>6</v>
      </c>
      <c r="E564" t="s">
        <v>1800</v>
      </c>
      <c r="F564" t="s">
        <v>23</v>
      </c>
      <c r="G564" s="5" t="s">
        <v>24</v>
      </c>
      <c r="H564" t="s">
        <v>25</v>
      </c>
      <c r="I564" t="s">
        <v>122</v>
      </c>
      <c r="J564" t="s">
        <v>123</v>
      </c>
      <c r="K564" t="s">
        <v>28</v>
      </c>
      <c r="L564" t="s">
        <v>153</v>
      </c>
      <c r="M564" t="s">
        <v>1801</v>
      </c>
      <c r="N564" t="s">
        <v>44</v>
      </c>
      <c r="O564">
        <v>7</v>
      </c>
      <c r="P564">
        <v>121.54</v>
      </c>
      <c r="Q564" s="6">
        <v>0.2</v>
      </c>
      <c r="R564" s="8">
        <f t="shared" si="32"/>
        <v>0.2</v>
      </c>
      <c r="S564">
        <v>680.62</v>
      </c>
      <c r="T564">
        <v>463.49</v>
      </c>
      <c r="U564">
        <v>217.13</v>
      </c>
      <c r="V564" t="s">
        <v>155</v>
      </c>
      <c r="W564" t="s">
        <v>103</v>
      </c>
      <c r="X564" t="str">
        <f t="shared" si="35"/>
        <v>EXCLUDE: Failed payment</v>
      </c>
      <c r="Y564" t="str">
        <f t="shared" si="33"/>
        <v>Exclude</v>
      </c>
    </row>
    <row r="565" spans="1:25">
      <c r="A565" t="s">
        <v>1802</v>
      </c>
      <c r="B565" s="3">
        <v>45448</v>
      </c>
      <c r="C565" s="3">
        <v>45424</v>
      </c>
      <c r="D565" s="6">
        <f t="shared" si="34"/>
        <v>-24</v>
      </c>
      <c r="E565" t="s">
        <v>1803</v>
      </c>
      <c r="F565" t="s">
        <v>53</v>
      </c>
      <c r="G565" s="5" t="s">
        <v>90</v>
      </c>
      <c r="H565" t="s">
        <v>63</v>
      </c>
      <c r="I565" t="s">
        <v>190</v>
      </c>
      <c r="J565" t="s">
        <v>191</v>
      </c>
      <c r="K565" t="s">
        <v>41</v>
      </c>
      <c r="L565" t="s">
        <v>42</v>
      </c>
      <c r="M565" t="s">
        <v>1804</v>
      </c>
      <c r="N565" t="s">
        <v>59</v>
      </c>
      <c r="O565">
        <v>9</v>
      </c>
      <c r="P565">
        <v>790.97</v>
      </c>
      <c r="Q565" s="6">
        <v>0.2</v>
      </c>
      <c r="R565" s="8">
        <f t="shared" si="32"/>
        <v>0.2</v>
      </c>
      <c r="S565">
        <v>5694.98</v>
      </c>
      <c r="T565">
        <v>4618.33</v>
      </c>
      <c r="U565">
        <v>1076.6500000000001</v>
      </c>
      <c r="V565" t="s">
        <v>111</v>
      </c>
      <c r="W565" t="s">
        <v>68</v>
      </c>
      <c r="X565" t="str">
        <f t="shared" si="35"/>
        <v>INVALID: Ship date before order date; EXCLUDE: Cancelled order</v>
      </c>
      <c r="Y565" t="str">
        <f t="shared" si="33"/>
        <v>Exclude</v>
      </c>
    </row>
    <row r="566" spans="1:25">
      <c r="A566" t="s">
        <v>1805</v>
      </c>
      <c r="B566" s="3">
        <v>45576</v>
      </c>
      <c r="C566" s="3">
        <v>45610</v>
      </c>
      <c r="D566" s="6">
        <f t="shared" si="34"/>
        <v>34</v>
      </c>
      <c r="E566" t="s">
        <v>1806</v>
      </c>
      <c r="F566" t="s">
        <v>132</v>
      </c>
      <c r="G566" s="5" t="s">
        <v>90</v>
      </c>
      <c r="H566" t="s">
        <v>54</v>
      </c>
      <c r="I566" t="s">
        <v>84</v>
      </c>
      <c r="J566" t="s">
        <v>85</v>
      </c>
      <c r="K566" t="s">
        <v>41</v>
      </c>
      <c r="L566" t="s">
        <v>42</v>
      </c>
      <c r="M566" t="s">
        <v>1807</v>
      </c>
      <c r="N566" t="s">
        <v>50</v>
      </c>
      <c r="O566">
        <v>2</v>
      </c>
      <c r="P566">
        <v>921.34</v>
      </c>
      <c r="Q566" s="6">
        <v>0.2</v>
      </c>
      <c r="R566" s="8">
        <f t="shared" si="32"/>
        <v>0.2</v>
      </c>
      <c r="S566">
        <v>1474.14</v>
      </c>
      <c r="T566">
        <v>968.46</v>
      </c>
      <c r="U566">
        <v>505.68</v>
      </c>
      <c r="V566" t="s">
        <v>32</v>
      </c>
      <c r="W566" t="s">
        <v>33</v>
      </c>
      <c r="X566" t="str">
        <f t="shared" si="35"/>
        <v/>
      </c>
      <c r="Y566" t="str">
        <f t="shared" si="33"/>
        <v>Exclude</v>
      </c>
    </row>
    <row r="567" spans="1:25">
      <c r="A567" t="s">
        <v>1808</v>
      </c>
      <c r="B567" s="3">
        <v>45876</v>
      </c>
      <c r="C567" s="3">
        <v>45882</v>
      </c>
      <c r="D567" s="6">
        <f t="shared" si="34"/>
        <v>6</v>
      </c>
      <c r="E567" t="s">
        <v>1809</v>
      </c>
      <c r="F567" t="s">
        <v>36</v>
      </c>
      <c r="G567" s="5" t="s">
        <v>90</v>
      </c>
      <c r="H567" t="s">
        <v>25</v>
      </c>
      <c r="I567" t="s">
        <v>351</v>
      </c>
      <c r="J567" t="s">
        <v>352</v>
      </c>
      <c r="K567" t="s">
        <v>74</v>
      </c>
      <c r="L567" t="s">
        <v>171</v>
      </c>
      <c r="M567" t="s">
        <v>1810</v>
      </c>
      <c r="N567" t="s">
        <v>59</v>
      </c>
      <c r="O567">
        <v>6</v>
      </c>
      <c r="P567">
        <v>1921.86</v>
      </c>
      <c r="Q567" s="6">
        <v>0.2</v>
      </c>
      <c r="R567" s="8">
        <f t="shared" si="32"/>
        <v>0.2</v>
      </c>
      <c r="S567">
        <v>9224.93</v>
      </c>
      <c r="T567">
        <v>7005.2</v>
      </c>
      <c r="U567">
        <v>2219.73</v>
      </c>
      <c r="V567" t="s">
        <v>102</v>
      </c>
      <c r="W567" t="s">
        <v>68</v>
      </c>
      <c r="X567" t="str">
        <f t="shared" si="35"/>
        <v>EXCLUDE: Cancelled order; REFUND: Summarize separately</v>
      </c>
      <c r="Y567" t="str">
        <f t="shared" si="33"/>
        <v>Exclude</v>
      </c>
    </row>
    <row r="568" spans="1:25">
      <c r="A568" t="s">
        <v>1811</v>
      </c>
      <c r="B568" s="3">
        <v>45515</v>
      </c>
      <c r="C568" s="3">
        <v>45523</v>
      </c>
      <c r="D568" s="6">
        <f t="shared" si="34"/>
        <v>8</v>
      </c>
      <c r="E568" t="s">
        <v>1812</v>
      </c>
      <c r="F568" t="s">
        <v>132</v>
      </c>
      <c r="G568" s="5" t="s">
        <v>37</v>
      </c>
      <c r="H568" t="s">
        <v>63</v>
      </c>
      <c r="I568" t="s">
        <v>64</v>
      </c>
      <c r="J568" t="s">
        <v>65</v>
      </c>
      <c r="K568" t="s">
        <v>28</v>
      </c>
      <c r="L568" t="s">
        <v>29</v>
      </c>
      <c r="M568" t="s">
        <v>1813</v>
      </c>
      <c r="N568" t="s">
        <v>44</v>
      </c>
      <c r="O568">
        <v>2</v>
      </c>
      <c r="P568">
        <v>2617.89</v>
      </c>
      <c r="Q568" s="6">
        <v>0.1</v>
      </c>
      <c r="R568" s="8">
        <f t="shared" si="32"/>
        <v>0.1</v>
      </c>
      <c r="S568">
        <v>4712.2</v>
      </c>
      <c r="T568">
        <v>3851.91</v>
      </c>
      <c r="U568">
        <v>860.29</v>
      </c>
      <c r="V568" t="s">
        <v>155</v>
      </c>
      <c r="W568" t="s">
        <v>103</v>
      </c>
      <c r="X568" t="str">
        <f t="shared" si="35"/>
        <v>EXCLUDE: Failed payment</v>
      </c>
      <c r="Y568" t="str">
        <f t="shared" si="33"/>
        <v>Exclude</v>
      </c>
    </row>
    <row r="569" spans="1:25">
      <c r="A569" t="s">
        <v>1814</v>
      </c>
      <c r="B569" s="3">
        <v>45328</v>
      </c>
      <c r="C569" s="3">
        <v>45332</v>
      </c>
      <c r="D569" s="6">
        <f t="shared" si="34"/>
        <v>4</v>
      </c>
      <c r="E569" t="s">
        <v>1815</v>
      </c>
      <c r="F569" t="s">
        <v>53</v>
      </c>
      <c r="G569" s="5" t="s">
        <v>95</v>
      </c>
      <c r="H569" t="s">
        <v>25</v>
      </c>
      <c r="I569" t="s">
        <v>136</v>
      </c>
      <c r="J569" t="s">
        <v>137</v>
      </c>
      <c r="K569" t="s">
        <v>41</v>
      </c>
      <c r="L569" t="s">
        <v>57</v>
      </c>
      <c r="M569" t="s">
        <v>599</v>
      </c>
      <c r="N569" t="s">
        <v>44</v>
      </c>
      <c r="O569">
        <v>1</v>
      </c>
      <c r="P569">
        <v>1374.06</v>
      </c>
      <c r="Q569" s="6">
        <v>0.05</v>
      </c>
      <c r="R569" s="8">
        <f t="shared" si="32"/>
        <v>0.05</v>
      </c>
      <c r="S569">
        <v>1305.3599999999999</v>
      </c>
      <c r="T569">
        <v>731.89</v>
      </c>
      <c r="U569">
        <v>573.47</v>
      </c>
      <c r="V569" t="s">
        <v>32</v>
      </c>
      <c r="W569" t="s">
        <v>33</v>
      </c>
      <c r="X569" t="str">
        <f t="shared" si="35"/>
        <v/>
      </c>
      <c r="Y569" t="str">
        <f t="shared" si="33"/>
        <v>Exclude</v>
      </c>
    </row>
    <row r="570" spans="1:25">
      <c r="A570" t="s">
        <v>1816</v>
      </c>
      <c r="B570" s="3">
        <v>45312</v>
      </c>
      <c r="C570" s="3">
        <v>45315</v>
      </c>
      <c r="D570" s="6">
        <f t="shared" si="34"/>
        <v>3</v>
      </c>
      <c r="E570" t="s">
        <v>1817</v>
      </c>
      <c r="F570" t="s">
        <v>265</v>
      </c>
      <c r="G570" s="5" t="s">
        <v>90</v>
      </c>
      <c r="H570" t="s">
        <v>25</v>
      </c>
      <c r="I570" t="s">
        <v>122</v>
      </c>
      <c r="J570" t="s">
        <v>123</v>
      </c>
      <c r="K570" t="s">
        <v>74</v>
      </c>
      <c r="L570" t="s">
        <v>275</v>
      </c>
      <c r="M570" t="s">
        <v>1818</v>
      </c>
      <c r="N570" t="s">
        <v>44</v>
      </c>
      <c r="O570">
        <v>1</v>
      </c>
      <c r="P570">
        <v>3806.3</v>
      </c>
      <c r="Q570" s="6">
        <v>0.25</v>
      </c>
      <c r="R570" s="8">
        <f t="shared" si="32"/>
        <v>0.25</v>
      </c>
      <c r="S570">
        <v>2854.73</v>
      </c>
      <c r="T570">
        <v>1968.12</v>
      </c>
      <c r="U570">
        <v>886.61</v>
      </c>
      <c r="V570" t="s">
        <v>32</v>
      </c>
      <c r="W570" t="s">
        <v>33</v>
      </c>
      <c r="X570" t="str">
        <f t="shared" si="35"/>
        <v/>
      </c>
      <c r="Y570" t="str">
        <f t="shared" si="33"/>
        <v>Exclude</v>
      </c>
    </row>
    <row r="571" spans="1:25">
      <c r="A571" t="s">
        <v>1819</v>
      </c>
      <c r="B571" s="3">
        <v>45878</v>
      </c>
      <c r="C571" s="3">
        <v>45939</v>
      </c>
      <c r="D571" s="6">
        <f t="shared" si="34"/>
        <v>61</v>
      </c>
      <c r="E571" t="s">
        <v>1820</v>
      </c>
      <c r="F571" t="s">
        <v>118</v>
      </c>
      <c r="G571" s="5" t="s">
        <v>95</v>
      </c>
      <c r="H571" t="s">
        <v>63</v>
      </c>
      <c r="I571" t="s">
        <v>64</v>
      </c>
      <c r="J571" t="s">
        <v>65</v>
      </c>
      <c r="K571" t="s">
        <v>41</v>
      </c>
      <c r="L571" t="s">
        <v>57</v>
      </c>
      <c r="M571" t="s">
        <v>1821</v>
      </c>
      <c r="N571" t="s">
        <v>59</v>
      </c>
      <c r="O571">
        <v>6</v>
      </c>
      <c r="P571">
        <v>3251.17</v>
      </c>
      <c r="Q571" s="6">
        <v>0.25</v>
      </c>
      <c r="R571" s="8">
        <f t="shared" si="32"/>
        <v>0.25</v>
      </c>
      <c r="S571">
        <v>14630.26</v>
      </c>
      <c r="T571">
        <v>11906.36</v>
      </c>
      <c r="U571">
        <v>2723.9</v>
      </c>
      <c r="V571" t="s">
        <v>102</v>
      </c>
      <c r="W571" t="s">
        <v>103</v>
      </c>
      <c r="X571" t="str">
        <f t="shared" si="35"/>
        <v>REFUND: Summarize separately</v>
      </c>
      <c r="Y571" t="str">
        <f t="shared" si="33"/>
        <v>Exclude</v>
      </c>
    </row>
    <row r="572" spans="1:25">
      <c r="A572" t="s">
        <v>1822</v>
      </c>
      <c r="B572" s="3">
        <v>45887</v>
      </c>
      <c r="C572" s="3">
        <v>45891</v>
      </c>
      <c r="D572" s="6">
        <f t="shared" si="34"/>
        <v>4</v>
      </c>
      <c r="E572" t="s">
        <v>1823</v>
      </c>
      <c r="F572" t="s">
        <v>53</v>
      </c>
      <c r="G572" s="5" t="s">
        <v>24</v>
      </c>
      <c r="H572" t="s">
        <v>38</v>
      </c>
      <c r="I572" t="s">
        <v>229</v>
      </c>
      <c r="J572" t="s">
        <v>230</v>
      </c>
      <c r="K572" t="s">
        <v>41</v>
      </c>
      <c r="L572" t="s">
        <v>57</v>
      </c>
      <c r="M572" t="s">
        <v>1824</v>
      </c>
      <c r="N572" t="s">
        <v>31</v>
      </c>
      <c r="O572">
        <v>3</v>
      </c>
      <c r="P572">
        <v>3946.44</v>
      </c>
      <c r="Q572" s="6">
        <v>0.25</v>
      </c>
      <c r="R572" s="8">
        <f t="shared" si="32"/>
        <v>0.25</v>
      </c>
      <c r="S572">
        <v>8879.49</v>
      </c>
      <c r="T572">
        <v>6344.57</v>
      </c>
      <c r="U572">
        <v>2534.92</v>
      </c>
      <c r="V572" t="s">
        <v>155</v>
      </c>
      <c r="W572" t="s">
        <v>103</v>
      </c>
      <c r="X572" t="str">
        <f t="shared" si="35"/>
        <v>EXCLUDE: Failed payment</v>
      </c>
      <c r="Y572" t="str">
        <f t="shared" si="33"/>
        <v>Exclude</v>
      </c>
    </row>
    <row r="573" spans="1:25">
      <c r="A573" t="s">
        <v>1825</v>
      </c>
      <c r="B573" s="3">
        <v>45698</v>
      </c>
      <c r="C573" s="3">
        <v>45702</v>
      </c>
      <c r="D573" s="6">
        <f t="shared" si="34"/>
        <v>4</v>
      </c>
      <c r="E573" t="s">
        <v>1826</v>
      </c>
      <c r="F573" t="s">
        <v>114</v>
      </c>
      <c r="G573" s="5" t="s">
        <v>37</v>
      </c>
      <c r="H573" t="s">
        <v>25</v>
      </c>
      <c r="I573" t="s">
        <v>136</v>
      </c>
      <c r="J573" t="s">
        <v>137</v>
      </c>
      <c r="K573" t="s">
        <v>74</v>
      </c>
      <c r="L573" t="s">
        <v>171</v>
      </c>
      <c r="M573" t="s">
        <v>1827</v>
      </c>
      <c r="N573" t="s">
        <v>2806</v>
      </c>
      <c r="O573">
        <v>5</v>
      </c>
      <c r="P573">
        <v>4276.29</v>
      </c>
      <c r="Q573" s="6">
        <v>0</v>
      </c>
      <c r="R573" s="8">
        <f t="shared" si="32"/>
        <v>0</v>
      </c>
      <c r="S573">
        <v>21381.45</v>
      </c>
      <c r="T573">
        <v>13240.21</v>
      </c>
      <c r="U573">
        <v>8141.24</v>
      </c>
      <c r="V573" t="s">
        <v>155</v>
      </c>
      <c r="W573" t="s">
        <v>103</v>
      </c>
      <c r="X573" t="str">
        <f t="shared" si="35"/>
        <v>EXCLUDE: Failed payment</v>
      </c>
      <c r="Y573" t="str">
        <f t="shared" si="33"/>
        <v>Exclude</v>
      </c>
    </row>
    <row r="574" spans="1:25">
      <c r="A574" t="s">
        <v>1828</v>
      </c>
      <c r="B574" s="3">
        <v>45323</v>
      </c>
      <c r="C574" s="3">
        <v>45300</v>
      </c>
      <c r="D574" s="6">
        <f t="shared" si="34"/>
        <v>-23</v>
      </c>
      <c r="E574" t="s">
        <v>1829</v>
      </c>
      <c r="F574" t="s">
        <v>162</v>
      </c>
      <c r="G574" s="5" t="s">
        <v>90</v>
      </c>
      <c r="H574" t="s">
        <v>25</v>
      </c>
      <c r="I574" t="s">
        <v>351</v>
      </c>
      <c r="J574" t="s">
        <v>352</v>
      </c>
      <c r="K574" t="s">
        <v>74</v>
      </c>
      <c r="L574" t="s">
        <v>171</v>
      </c>
      <c r="M574" t="s">
        <v>1830</v>
      </c>
      <c r="N574" t="s">
        <v>59</v>
      </c>
      <c r="O574">
        <v>3</v>
      </c>
      <c r="P574">
        <v>739.56</v>
      </c>
      <c r="Q574" s="6">
        <v>0.2</v>
      </c>
      <c r="R574" s="8">
        <f t="shared" si="32"/>
        <v>0.2</v>
      </c>
      <c r="S574">
        <v>1774.94</v>
      </c>
      <c r="T574">
        <v>1007.4</v>
      </c>
      <c r="U574">
        <v>767.54</v>
      </c>
      <c r="V574" t="s">
        <v>32</v>
      </c>
      <c r="W574" t="s">
        <v>33</v>
      </c>
      <c r="X574" t="str">
        <f t="shared" si="35"/>
        <v>INVALID: Ship date before order date</v>
      </c>
      <c r="Y574" t="str">
        <f t="shared" si="33"/>
        <v>Exclude</v>
      </c>
    </row>
    <row r="575" spans="1:25">
      <c r="A575" t="s">
        <v>1831</v>
      </c>
      <c r="B575" s="3">
        <v>45922</v>
      </c>
      <c r="C575" s="3">
        <v>45926</v>
      </c>
      <c r="D575" s="6">
        <f t="shared" si="34"/>
        <v>4</v>
      </c>
      <c r="E575" t="s">
        <v>1832</v>
      </c>
      <c r="F575" t="s">
        <v>47</v>
      </c>
      <c r="G575" s="5" t="s">
        <v>24</v>
      </c>
      <c r="H575" t="s">
        <v>54</v>
      </c>
      <c r="I575" t="s">
        <v>84</v>
      </c>
      <c r="J575" t="s">
        <v>85</v>
      </c>
      <c r="K575" t="s">
        <v>74</v>
      </c>
      <c r="L575" t="s">
        <v>171</v>
      </c>
      <c r="M575" t="s">
        <v>1833</v>
      </c>
      <c r="N575" t="s">
        <v>59</v>
      </c>
      <c r="O575">
        <v>1</v>
      </c>
      <c r="P575">
        <v>573.65</v>
      </c>
      <c r="Q575" s="6">
        <v>0</v>
      </c>
      <c r="R575" s="8">
        <f t="shared" si="32"/>
        <v>0</v>
      </c>
      <c r="S575">
        <v>573.65</v>
      </c>
      <c r="T575">
        <v>322.67</v>
      </c>
      <c r="U575">
        <v>250.98</v>
      </c>
      <c r="V575" t="s">
        <v>32</v>
      </c>
      <c r="W575" t="s">
        <v>33</v>
      </c>
      <c r="X575" t="str">
        <f t="shared" si="35"/>
        <v/>
      </c>
      <c r="Y575" t="str">
        <f t="shared" si="33"/>
        <v>Exclude</v>
      </c>
    </row>
    <row r="576" spans="1:25">
      <c r="A576" t="s">
        <v>1834</v>
      </c>
      <c r="B576" s="3">
        <v>45342</v>
      </c>
      <c r="C576" s="3">
        <v>45347</v>
      </c>
      <c r="D576" s="6">
        <f t="shared" si="34"/>
        <v>5</v>
      </c>
      <c r="E576" t="s">
        <v>806</v>
      </c>
      <c r="F576" t="s">
        <v>162</v>
      </c>
      <c r="G576" s="5" t="s">
        <v>95</v>
      </c>
      <c r="H576" t="s">
        <v>25</v>
      </c>
      <c r="I576" t="s">
        <v>122</v>
      </c>
      <c r="J576" t="s">
        <v>123</v>
      </c>
      <c r="K576" t="s">
        <v>74</v>
      </c>
      <c r="L576" t="s">
        <v>275</v>
      </c>
      <c r="M576" t="s">
        <v>1835</v>
      </c>
      <c r="N576" t="s">
        <v>59</v>
      </c>
      <c r="O576">
        <v>4</v>
      </c>
      <c r="P576">
        <v>1355.8</v>
      </c>
      <c r="Q576" s="6">
        <v>0</v>
      </c>
      <c r="R576" s="8">
        <f t="shared" si="32"/>
        <v>0</v>
      </c>
      <c r="S576">
        <v>5423.2</v>
      </c>
      <c r="T576">
        <v>4072.44</v>
      </c>
      <c r="U576">
        <v>1350.76</v>
      </c>
      <c r="V576" t="s">
        <v>32</v>
      </c>
      <c r="W576" t="s">
        <v>33</v>
      </c>
      <c r="X576" t="str">
        <f t="shared" si="35"/>
        <v/>
      </c>
      <c r="Y576" t="str">
        <f t="shared" si="33"/>
        <v>Exclude</v>
      </c>
    </row>
    <row r="577" spans="1:25">
      <c r="A577" t="s">
        <v>1836</v>
      </c>
      <c r="B577" s="3">
        <v>45727</v>
      </c>
      <c r="C577" s="3">
        <v>45730</v>
      </c>
      <c r="D577" s="6">
        <f t="shared" si="34"/>
        <v>3</v>
      </c>
      <c r="E577" t="s">
        <v>1837</v>
      </c>
      <c r="F577" t="s">
        <v>132</v>
      </c>
      <c r="G577" s="5" t="s">
        <v>95</v>
      </c>
      <c r="H577" t="s">
        <v>54</v>
      </c>
      <c r="I577" t="s">
        <v>185</v>
      </c>
      <c r="J577" t="s">
        <v>186</v>
      </c>
      <c r="K577" t="s">
        <v>41</v>
      </c>
      <c r="L577" t="s">
        <v>57</v>
      </c>
      <c r="M577" t="s">
        <v>1838</v>
      </c>
      <c r="N577" t="s">
        <v>44</v>
      </c>
      <c r="O577">
        <v>4</v>
      </c>
      <c r="P577">
        <v>1244.82</v>
      </c>
      <c r="Q577" s="6">
        <v>0.2</v>
      </c>
      <c r="R577" s="8">
        <f t="shared" si="32"/>
        <v>0.2</v>
      </c>
      <c r="S577">
        <v>3983.42</v>
      </c>
      <c r="T577">
        <v>3174.91</v>
      </c>
      <c r="U577">
        <v>808.51</v>
      </c>
      <c r="V577" t="s">
        <v>155</v>
      </c>
      <c r="W577" t="s">
        <v>103</v>
      </c>
      <c r="X577" t="str">
        <f t="shared" si="35"/>
        <v>EXCLUDE: Failed payment</v>
      </c>
      <c r="Y577" t="str">
        <f t="shared" si="33"/>
        <v>Exclude</v>
      </c>
    </row>
    <row r="578" spans="1:25">
      <c r="A578" t="s">
        <v>1839</v>
      </c>
      <c r="B578" s="3">
        <v>45339</v>
      </c>
      <c r="C578" s="3">
        <v>45345</v>
      </c>
      <c r="D578" s="6">
        <f t="shared" si="34"/>
        <v>6</v>
      </c>
      <c r="E578" t="s">
        <v>1840</v>
      </c>
      <c r="F578" t="s">
        <v>141</v>
      </c>
      <c r="G578" s="5" t="s">
        <v>95</v>
      </c>
      <c r="H578" t="s">
        <v>2806</v>
      </c>
      <c r="I578" t="s">
        <v>145</v>
      </c>
      <c r="J578" t="s">
        <v>146</v>
      </c>
      <c r="K578" t="s">
        <v>28</v>
      </c>
      <c r="L578" t="s">
        <v>153</v>
      </c>
      <c r="M578" t="s">
        <v>1841</v>
      </c>
      <c r="N578" t="s">
        <v>59</v>
      </c>
      <c r="O578">
        <v>9</v>
      </c>
      <c r="P578">
        <v>2614.46</v>
      </c>
      <c r="Q578" s="6">
        <v>0</v>
      </c>
      <c r="R578" s="8">
        <f t="shared" ref="R578:R641" si="36">IF(ISBLANK(Q578),IF(AND(ISNUMBER(O578),O578&gt;0,ISNUMBER(P578),ISNUMBER(S578),ISNUMBER(T578),ISNUMBER(U578)),0,""),Q578)</f>
        <v>0</v>
      </c>
      <c r="S578">
        <v>23530.14</v>
      </c>
      <c r="T578">
        <v>19537.79</v>
      </c>
      <c r="U578">
        <v>3992.35</v>
      </c>
      <c r="V578" t="s">
        <v>102</v>
      </c>
      <c r="W578" t="s">
        <v>103</v>
      </c>
      <c r="X578" t="str">
        <f t="shared" si="35"/>
        <v>REFUND: Summarize separately</v>
      </c>
      <c r="Y578" t="str">
        <f t="shared" ref="Y578:Y641" si="37">IF(AND(U578="Completed",T578="Paid",ISERROR(SEARCH("INVALID",W578))),"Include","Exclude")</f>
        <v>Exclude</v>
      </c>
    </row>
    <row r="579" spans="1:25">
      <c r="A579" t="s">
        <v>1842</v>
      </c>
      <c r="B579" s="3">
        <v>45897</v>
      </c>
      <c r="C579" s="3">
        <v>45725</v>
      </c>
      <c r="D579" s="6">
        <f t="shared" ref="D579:D642" si="38">IF(OR(B579="",C579=""),"",C579-B579)</f>
        <v>-172</v>
      </c>
      <c r="E579" t="s">
        <v>1843</v>
      </c>
      <c r="F579" t="s">
        <v>114</v>
      </c>
      <c r="G579" s="5" t="s">
        <v>90</v>
      </c>
      <c r="H579" t="s">
        <v>63</v>
      </c>
      <c r="I579" t="s">
        <v>72</v>
      </c>
      <c r="J579" t="s">
        <v>73</v>
      </c>
      <c r="K579" t="s">
        <v>41</v>
      </c>
      <c r="L579" t="s">
        <v>57</v>
      </c>
      <c r="M579" t="s">
        <v>1844</v>
      </c>
      <c r="N579" t="s">
        <v>59</v>
      </c>
      <c r="O579">
        <v>7</v>
      </c>
      <c r="P579">
        <v>268.45</v>
      </c>
      <c r="Q579" s="6">
        <v>0</v>
      </c>
      <c r="R579" s="8">
        <f t="shared" si="36"/>
        <v>0</v>
      </c>
      <c r="S579">
        <v>1879.15</v>
      </c>
      <c r="T579">
        <v>1134.9000000000001</v>
      </c>
      <c r="U579">
        <v>744.25</v>
      </c>
      <c r="V579" t="s">
        <v>32</v>
      </c>
      <c r="W579" t="s">
        <v>33</v>
      </c>
      <c r="X579" t="str">
        <f t="shared" ref="X579:X642" si="39">_xlfn.TEXTJOIN("; ",TRUE,IF(R579&lt;0,"INVALID: Negative discount",""),IF(R579&gt;50%,"INVALID: Discount above range",""),IF(D579&lt;0,"INVALID: Ship date before order date",""),IF(W579="Cancelled","EXCLUDE: Cancelled order",""),IF(V579="Failed","EXCLUDE: Failed payment",""),IF(V579="Refunded","REFUND: Summarize separately",""))</f>
        <v>INVALID: Ship date before order date</v>
      </c>
      <c r="Y579" t="str">
        <f t="shared" si="37"/>
        <v>Exclude</v>
      </c>
    </row>
    <row r="580" spans="1:25">
      <c r="A580" t="s">
        <v>1845</v>
      </c>
      <c r="B580" s="3">
        <v>45343</v>
      </c>
      <c r="C580" s="3">
        <v>45345</v>
      </c>
      <c r="D580" s="6">
        <f t="shared" si="38"/>
        <v>2</v>
      </c>
      <c r="E580" t="s">
        <v>296</v>
      </c>
      <c r="F580" t="s">
        <v>79</v>
      </c>
      <c r="G580" s="5" t="s">
        <v>37</v>
      </c>
      <c r="H580" t="s">
        <v>63</v>
      </c>
      <c r="I580" t="s">
        <v>180</v>
      </c>
      <c r="J580" t="s">
        <v>181</v>
      </c>
      <c r="K580" t="s">
        <v>74</v>
      </c>
      <c r="L580" t="s">
        <v>80</v>
      </c>
      <c r="M580" t="s">
        <v>1846</v>
      </c>
      <c r="N580" t="s">
        <v>50</v>
      </c>
      <c r="O580">
        <v>6</v>
      </c>
      <c r="P580">
        <v>2633.65</v>
      </c>
      <c r="Q580" s="6">
        <v>0.05</v>
      </c>
      <c r="R580" s="8">
        <f t="shared" si="36"/>
        <v>0.05</v>
      </c>
      <c r="S580">
        <v>15011.81</v>
      </c>
      <c r="T580">
        <v>9660.36</v>
      </c>
      <c r="U580">
        <v>5351.45</v>
      </c>
      <c r="V580" t="s">
        <v>32</v>
      </c>
      <c r="W580" t="s">
        <v>33</v>
      </c>
      <c r="X580" t="str">
        <f t="shared" si="39"/>
        <v/>
      </c>
      <c r="Y580" t="str">
        <f t="shared" si="37"/>
        <v>Exclude</v>
      </c>
    </row>
    <row r="581" spans="1:25">
      <c r="A581" t="s">
        <v>1847</v>
      </c>
      <c r="B581" s="3">
        <v>45462</v>
      </c>
      <c r="C581" s="3">
        <v>45467</v>
      </c>
      <c r="D581" s="6">
        <f t="shared" si="38"/>
        <v>5</v>
      </c>
      <c r="E581" t="s">
        <v>1848</v>
      </c>
      <c r="F581" t="s">
        <v>128</v>
      </c>
      <c r="G581" s="5" t="s">
        <v>37</v>
      </c>
      <c r="H581" t="s">
        <v>54</v>
      </c>
      <c r="I581" t="s">
        <v>248</v>
      </c>
      <c r="J581" t="s">
        <v>249</v>
      </c>
      <c r="K581" t="s">
        <v>28</v>
      </c>
      <c r="L581" t="s">
        <v>124</v>
      </c>
      <c r="M581" t="s">
        <v>1849</v>
      </c>
      <c r="N581" t="s">
        <v>44</v>
      </c>
      <c r="O581">
        <v>1</v>
      </c>
      <c r="P581">
        <v>3202.41</v>
      </c>
      <c r="Q581" s="6">
        <v>0</v>
      </c>
      <c r="R581" s="8">
        <f t="shared" si="36"/>
        <v>0</v>
      </c>
      <c r="S581">
        <v>3202.41</v>
      </c>
      <c r="T581">
        <v>2608.44</v>
      </c>
      <c r="U581">
        <v>593.97</v>
      </c>
      <c r="V581" t="s">
        <v>32</v>
      </c>
      <c r="W581" t="s">
        <v>33</v>
      </c>
      <c r="X581" t="str">
        <f t="shared" si="39"/>
        <v/>
      </c>
      <c r="Y581" t="str">
        <f t="shared" si="37"/>
        <v>Exclude</v>
      </c>
    </row>
    <row r="582" spans="1:25">
      <c r="A582" t="s">
        <v>1850</v>
      </c>
      <c r="B582" s="3">
        <v>45722</v>
      </c>
      <c r="C582" s="3">
        <v>45729</v>
      </c>
      <c r="D582" s="6">
        <f t="shared" si="38"/>
        <v>7</v>
      </c>
      <c r="E582" t="s">
        <v>1851</v>
      </c>
      <c r="F582" t="s">
        <v>265</v>
      </c>
      <c r="G582" s="5" t="s">
        <v>24</v>
      </c>
      <c r="H582" t="s">
        <v>54</v>
      </c>
      <c r="I582" t="s">
        <v>185</v>
      </c>
      <c r="J582" t="s">
        <v>186</v>
      </c>
      <c r="K582" t="s">
        <v>41</v>
      </c>
      <c r="L582" t="s">
        <v>66</v>
      </c>
      <c r="M582" t="s">
        <v>1852</v>
      </c>
      <c r="N582" t="s">
        <v>59</v>
      </c>
      <c r="O582">
        <v>3</v>
      </c>
      <c r="P582">
        <v>163.72</v>
      </c>
      <c r="Q582" s="6">
        <v>0.15</v>
      </c>
      <c r="R582" s="8">
        <f t="shared" si="36"/>
        <v>0.15</v>
      </c>
      <c r="S582">
        <v>417.49</v>
      </c>
      <c r="T582">
        <v>261.67</v>
      </c>
      <c r="U582">
        <v>155.82</v>
      </c>
      <c r="V582" t="s">
        <v>155</v>
      </c>
      <c r="W582" t="s">
        <v>103</v>
      </c>
      <c r="X582" t="str">
        <f t="shared" si="39"/>
        <v>EXCLUDE: Failed payment</v>
      </c>
      <c r="Y582" t="str">
        <f t="shared" si="37"/>
        <v>Exclude</v>
      </c>
    </row>
    <row r="583" spans="1:25">
      <c r="A583" t="s">
        <v>1853</v>
      </c>
      <c r="B583" s="3">
        <v>45878</v>
      </c>
      <c r="C583" s="3">
        <v>45938</v>
      </c>
      <c r="D583" s="6">
        <f t="shared" si="38"/>
        <v>60</v>
      </c>
      <c r="E583" t="s">
        <v>1854</v>
      </c>
      <c r="F583" t="s">
        <v>79</v>
      </c>
      <c r="G583" s="5" t="s">
        <v>24</v>
      </c>
      <c r="H583" t="s">
        <v>25</v>
      </c>
      <c r="I583" t="s">
        <v>351</v>
      </c>
      <c r="J583" t="s">
        <v>352</v>
      </c>
      <c r="K583" t="s">
        <v>28</v>
      </c>
      <c r="L583" t="s">
        <v>48</v>
      </c>
      <c r="M583" t="s">
        <v>1855</v>
      </c>
      <c r="N583" t="s">
        <v>31</v>
      </c>
      <c r="O583">
        <v>4</v>
      </c>
      <c r="P583">
        <v>4080.95</v>
      </c>
      <c r="Q583" s="6">
        <v>0</v>
      </c>
      <c r="R583" s="8">
        <f t="shared" si="36"/>
        <v>0</v>
      </c>
      <c r="S583">
        <v>16323.8</v>
      </c>
      <c r="T583">
        <v>9965.7900000000009</v>
      </c>
      <c r="U583">
        <v>6358.01</v>
      </c>
      <c r="V583" t="s">
        <v>102</v>
      </c>
      <c r="W583" t="s">
        <v>103</v>
      </c>
      <c r="X583" t="str">
        <f t="shared" si="39"/>
        <v>REFUND: Summarize separately</v>
      </c>
      <c r="Y583" t="str">
        <f t="shared" si="37"/>
        <v>Exclude</v>
      </c>
    </row>
    <row r="584" spans="1:25">
      <c r="A584" t="s">
        <v>1856</v>
      </c>
      <c r="B584" s="3">
        <v>45580</v>
      </c>
      <c r="C584" s="3">
        <v>45585</v>
      </c>
      <c r="D584" s="6">
        <f t="shared" si="38"/>
        <v>5</v>
      </c>
      <c r="E584" t="s">
        <v>1857</v>
      </c>
      <c r="F584" t="s">
        <v>62</v>
      </c>
      <c r="G584" s="5" t="s">
        <v>24</v>
      </c>
      <c r="H584" t="s">
        <v>38</v>
      </c>
      <c r="I584" t="s">
        <v>39</v>
      </c>
      <c r="J584" t="s">
        <v>40</v>
      </c>
      <c r="K584" t="s">
        <v>28</v>
      </c>
      <c r="L584" t="s">
        <v>48</v>
      </c>
      <c r="M584" t="s">
        <v>1858</v>
      </c>
      <c r="N584" t="s">
        <v>50</v>
      </c>
      <c r="O584">
        <v>5</v>
      </c>
      <c r="P584">
        <v>671.24</v>
      </c>
      <c r="Q584" s="6">
        <v>0</v>
      </c>
      <c r="R584" s="8">
        <f t="shared" si="36"/>
        <v>0</v>
      </c>
      <c r="S584">
        <v>3356.2</v>
      </c>
      <c r="T584">
        <v>2205.7199999999998</v>
      </c>
      <c r="U584">
        <v>1150.48</v>
      </c>
      <c r="V584" t="s">
        <v>111</v>
      </c>
      <c r="W584" t="s">
        <v>103</v>
      </c>
      <c r="X584" t="str">
        <f t="shared" si="39"/>
        <v/>
      </c>
      <c r="Y584" t="str">
        <f t="shared" si="37"/>
        <v>Exclude</v>
      </c>
    </row>
    <row r="585" spans="1:25">
      <c r="A585" t="s">
        <v>1859</v>
      </c>
      <c r="B585" s="3">
        <v>45350</v>
      </c>
      <c r="C585" s="3">
        <v>45350</v>
      </c>
      <c r="D585" s="6">
        <f t="shared" si="38"/>
        <v>0</v>
      </c>
      <c r="E585" t="s">
        <v>1860</v>
      </c>
      <c r="F585" t="s">
        <v>141</v>
      </c>
      <c r="G585" s="5" t="s">
        <v>37</v>
      </c>
      <c r="H585" t="s">
        <v>38</v>
      </c>
      <c r="I585" t="s">
        <v>99</v>
      </c>
      <c r="J585" t="s">
        <v>100</v>
      </c>
      <c r="K585" t="s">
        <v>28</v>
      </c>
      <c r="L585" t="s">
        <v>124</v>
      </c>
      <c r="M585" t="s">
        <v>1861</v>
      </c>
      <c r="N585" t="s">
        <v>50</v>
      </c>
      <c r="O585">
        <v>1</v>
      </c>
      <c r="P585">
        <v>2626.84</v>
      </c>
      <c r="Q585" s="6">
        <v>0.2</v>
      </c>
      <c r="R585" s="8">
        <f t="shared" si="36"/>
        <v>0.2</v>
      </c>
      <c r="S585">
        <v>2101.4699999999998</v>
      </c>
      <c r="T585">
        <v>1217.83</v>
      </c>
      <c r="U585">
        <v>883.64</v>
      </c>
      <c r="V585" t="s">
        <v>155</v>
      </c>
      <c r="W585" t="s">
        <v>103</v>
      </c>
      <c r="X585" t="str">
        <f t="shared" si="39"/>
        <v>EXCLUDE: Failed payment</v>
      </c>
      <c r="Y585" t="str">
        <f t="shared" si="37"/>
        <v>Exclude</v>
      </c>
    </row>
    <row r="586" spans="1:25">
      <c r="A586" t="s">
        <v>1862</v>
      </c>
      <c r="B586" s="3">
        <v>45390</v>
      </c>
      <c r="C586" s="3">
        <v>45514</v>
      </c>
      <c r="D586" s="6">
        <f t="shared" si="38"/>
        <v>124</v>
      </c>
      <c r="E586" t="s">
        <v>1863</v>
      </c>
      <c r="F586" t="s">
        <v>71</v>
      </c>
      <c r="G586" s="5" t="s">
        <v>24</v>
      </c>
      <c r="H586" t="s">
        <v>38</v>
      </c>
      <c r="I586" t="s">
        <v>145</v>
      </c>
      <c r="J586" t="s">
        <v>146</v>
      </c>
      <c r="K586" t="s">
        <v>28</v>
      </c>
      <c r="L586" t="s">
        <v>48</v>
      </c>
      <c r="M586" t="s">
        <v>1864</v>
      </c>
      <c r="N586" t="s">
        <v>44</v>
      </c>
      <c r="O586">
        <v>1</v>
      </c>
      <c r="P586">
        <v>984.93</v>
      </c>
      <c r="Q586" s="6">
        <v>0.15</v>
      </c>
      <c r="R586" s="8">
        <f t="shared" si="36"/>
        <v>0.15</v>
      </c>
      <c r="S586">
        <v>837.19</v>
      </c>
      <c r="T586">
        <v>583.79</v>
      </c>
      <c r="U586">
        <v>253.4</v>
      </c>
      <c r="V586" t="s">
        <v>111</v>
      </c>
      <c r="W586" t="s">
        <v>103</v>
      </c>
      <c r="X586" t="str">
        <f t="shared" si="39"/>
        <v/>
      </c>
      <c r="Y586" t="str">
        <f t="shared" si="37"/>
        <v>Exclude</v>
      </c>
    </row>
    <row r="587" spans="1:25">
      <c r="A587" t="s">
        <v>1865</v>
      </c>
      <c r="B587" s="3">
        <v>45830</v>
      </c>
      <c r="C587" s="3">
        <v>45833</v>
      </c>
      <c r="D587" s="6">
        <f t="shared" si="38"/>
        <v>3</v>
      </c>
      <c r="E587" t="s">
        <v>1866</v>
      </c>
      <c r="F587" t="s">
        <v>162</v>
      </c>
      <c r="G587" s="5" t="s">
        <v>37</v>
      </c>
      <c r="H587" t="s">
        <v>63</v>
      </c>
      <c r="I587" t="s">
        <v>64</v>
      </c>
      <c r="J587" t="s">
        <v>65</v>
      </c>
      <c r="K587" t="s">
        <v>74</v>
      </c>
      <c r="L587" t="s">
        <v>171</v>
      </c>
      <c r="M587" t="s">
        <v>1867</v>
      </c>
      <c r="N587" t="s">
        <v>50</v>
      </c>
      <c r="O587">
        <v>8</v>
      </c>
      <c r="P587">
        <v>3453.66</v>
      </c>
      <c r="Q587" s="6">
        <v>0</v>
      </c>
      <c r="R587" s="8">
        <f t="shared" si="36"/>
        <v>0</v>
      </c>
      <c r="S587">
        <v>27629.279999999999</v>
      </c>
      <c r="T587">
        <v>22026.48</v>
      </c>
      <c r="U587">
        <v>5602.8</v>
      </c>
      <c r="V587" t="s">
        <v>32</v>
      </c>
      <c r="W587" t="s">
        <v>33</v>
      </c>
      <c r="X587" t="str">
        <f t="shared" si="39"/>
        <v/>
      </c>
      <c r="Y587" t="str">
        <f t="shared" si="37"/>
        <v>Exclude</v>
      </c>
    </row>
    <row r="588" spans="1:25">
      <c r="A588" t="s">
        <v>1868</v>
      </c>
      <c r="B588" s="3">
        <v>45759</v>
      </c>
      <c r="C588" s="3">
        <v>45995</v>
      </c>
      <c r="D588" s="6">
        <f t="shared" si="38"/>
        <v>236</v>
      </c>
      <c r="E588" t="s">
        <v>1869</v>
      </c>
      <c r="F588" t="s">
        <v>36</v>
      </c>
      <c r="G588" s="5" t="s">
        <v>95</v>
      </c>
      <c r="H588" t="s">
        <v>25</v>
      </c>
      <c r="I588" t="s">
        <v>122</v>
      </c>
      <c r="J588" t="s">
        <v>123</v>
      </c>
      <c r="K588" t="s">
        <v>28</v>
      </c>
      <c r="L588" t="s">
        <v>153</v>
      </c>
      <c r="M588" t="s">
        <v>1870</v>
      </c>
      <c r="N588" t="s">
        <v>31</v>
      </c>
      <c r="O588">
        <v>7</v>
      </c>
      <c r="P588">
        <v>1334.2</v>
      </c>
      <c r="Q588" s="6">
        <v>0.2</v>
      </c>
      <c r="R588" s="8">
        <f t="shared" si="36"/>
        <v>0.2</v>
      </c>
      <c r="S588">
        <v>7471.52</v>
      </c>
      <c r="T588">
        <v>6184.32</v>
      </c>
      <c r="U588">
        <v>1287.2</v>
      </c>
      <c r="V588" t="s">
        <v>32</v>
      </c>
      <c r="W588" t="s">
        <v>33</v>
      </c>
      <c r="X588" t="str">
        <f t="shared" si="39"/>
        <v/>
      </c>
      <c r="Y588" t="str">
        <f t="shared" si="37"/>
        <v>Exclude</v>
      </c>
    </row>
    <row r="589" spans="1:25">
      <c r="A589" t="s">
        <v>1871</v>
      </c>
      <c r="B589" s="3">
        <v>45861</v>
      </c>
      <c r="C589" s="3">
        <v>45869</v>
      </c>
      <c r="D589" s="6">
        <f t="shared" si="38"/>
        <v>8</v>
      </c>
      <c r="E589" t="s">
        <v>1872</v>
      </c>
      <c r="F589" t="s">
        <v>265</v>
      </c>
      <c r="G589" s="5" t="s">
        <v>95</v>
      </c>
      <c r="H589" t="s">
        <v>63</v>
      </c>
      <c r="I589" t="s">
        <v>72</v>
      </c>
      <c r="J589" t="s">
        <v>73</v>
      </c>
      <c r="K589" t="s">
        <v>74</v>
      </c>
      <c r="L589" t="s">
        <v>75</v>
      </c>
      <c r="M589" t="s">
        <v>1873</v>
      </c>
      <c r="N589" t="s">
        <v>50</v>
      </c>
      <c r="O589">
        <v>1</v>
      </c>
      <c r="P589">
        <v>4253.84</v>
      </c>
      <c r="Q589" s="6">
        <v>0.15</v>
      </c>
      <c r="R589" s="8">
        <f t="shared" si="36"/>
        <v>0.15</v>
      </c>
      <c r="S589">
        <v>3615.76</v>
      </c>
      <c r="T589">
        <v>2951.52</v>
      </c>
      <c r="U589">
        <v>664.24</v>
      </c>
      <c r="V589" t="s">
        <v>102</v>
      </c>
      <c r="W589" t="s">
        <v>68</v>
      </c>
      <c r="X589" t="str">
        <f t="shared" si="39"/>
        <v>EXCLUDE: Cancelled order; REFUND: Summarize separately</v>
      </c>
      <c r="Y589" t="str">
        <f t="shared" si="37"/>
        <v>Exclude</v>
      </c>
    </row>
    <row r="590" spans="1:25">
      <c r="A590" t="s">
        <v>1874</v>
      </c>
      <c r="B590" s="3">
        <v>45727</v>
      </c>
      <c r="C590" s="3">
        <v>45731</v>
      </c>
      <c r="D590" s="6">
        <f t="shared" si="38"/>
        <v>4</v>
      </c>
      <c r="E590" t="s">
        <v>1875</v>
      </c>
      <c r="F590" t="s">
        <v>128</v>
      </c>
      <c r="G590" s="5" t="s">
        <v>95</v>
      </c>
      <c r="H590" t="s">
        <v>54</v>
      </c>
      <c r="I590" t="s">
        <v>175</v>
      </c>
      <c r="J590" t="s">
        <v>176</v>
      </c>
      <c r="K590" t="s">
        <v>74</v>
      </c>
      <c r="L590" t="s">
        <v>75</v>
      </c>
      <c r="M590" t="s">
        <v>1876</v>
      </c>
      <c r="N590" t="s">
        <v>31</v>
      </c>
      <c r="O590">
        <v>8</v>
      </c>
      <c r="P590">
        <v>4446.3599999999997</v>
      </c>
      <c r="Q590" s="6">
        <v>0.1</v>
      </c>
      <c r="R590" s="8">
        <f t="shared" si="36"/>
        <v>0.1</v>
      </c>
      <c r="S590">
        <v>32013.79</v>
      </c>
      <c r="T590">
        <v>20896.88</v>
      </c>
      <c r="U590">
        <v>11116.91</v>
      </c>
      <c r="V590" t="s">
        <v>102</v>
      </c>
      <c r="W590" t="s">
        <v>68</v>
      </c>
      <c r="X590" t="str">
        <f t="shared" si="39"/>
        <v>EXCLUDE: Cancelled order; REFUND: Summarize separately</v>
      </c>
      <c r="Y590" t="str">
        <f t="shared" si="37"/>
        <v>Exclude</v>
      </c>
    </row>
    <row r="591" spans="1:25">
      <c r="A591" t="s">
        <v>1877</v>
      </c>
      <c r="B591" s="3">
        <v>45632</v>
      </c>
      <c r="C591" s="3">
        <v>45638</v>
      </c>
      <c r="D591" s="6">
        <f t="shared" si="38"/>
        <v>6</v>
      </c>
      <c r="E591" t="s">
        <v>1878</v>
      </c>
      <c r="F591" t="s">
        <v>141</v>
      </c>
      <c r="G591" s="5" t="s">
        <v>90</v>
      </c>
      <c r="H591" t="s">
        <v>25</v>
      </c>
      <c r="I591" t="s">
        <v>136</v>
      </c>
      <c r="J591" t="s">
        <v>137</v>
      </c>
      <c r="K591" t="s">
        <v>74</v>
      </c>
      <c r="L591" t="s">
        <v>171</v>
      </c>
      <c r="M591" t="s">
        <v>1879</v>
      </c>
      <c r="N591" t="s">
        <v>50</v>
      </c>
      <c r="O591">
        <v>3</v>
      </c>
      <c r="P591">
        <v>524.75</v>
      </c>
      <c r="Q591" s="6">
        <v>0</v>
      </c>
      <c r="R591" s="8">
        <f t="shared" si="36"/>
        <v>0</v>
      </c>
      <c r="S591">
        <v>1574.25</v>
      </c>
      <c r="T591">
        <v>1326.12</v>
      </c>
      <c r="U591">
        <v>248.13</v>
      </c>
      <c r="V591" t="s">
        <v>32</v>
      </c>
      <c r="W591" t="s">
        <v>33</v>
      </c>
      <c r="X591" t="str">
        <f t="shared" si="39"/>
        <v/>
      </c>
      <c r="Y591" t="str">
        <f t="shared" si="37"/>
        <v>Exclude</v>
      </c>
    </row>
    <row r="592" spans="1:25">
      <c r="A592" t="s">
        <v>1880</v>
      </c>
      <c r="B592" s="3">
        <v>45441</v>
      </c>
      <c r="C592" s="3">
        <v>45441</v>
      </c>
      <c r="D592" s="6">
        <f t="shared" si="38"/>
        <v>0</v>
      </c>
      <c r="E592" t="s">
        <v>1881</v>
      </c>
      <c r="F592" t="s">
        <v>128</v>
      </c>
      <c r="G592" s="5" t="s">
        <v>95</v>
      </c>
      <c r="H592" t="s">
        <v>25</v>
      </c>
      <c r="I592" t="s">
        <v>351</v>
      </c>
      <c r="J592" t="s">
        <v>352</v>
      </c>
      <c r="K592" t="s">
        <v>41</v>
      </c>
      <c r="L592" t="s">
        <v>66</v>
      </c>
      <c r="M592" t="s">
        <v>1882</v>
      </c>
      <c r="N592" t="s">
        <v>44</v>
      </c>
      <c r="O592">
        <v>6</v>
      </c>
      <c r="P592">
        <v>3430.35</v>
      </c>
      <c r="Q592" s="6">
        <v>0</v>
      </c>
      <c r="R592" s="8">
        <f t="shared" si="36"/>
        <v>0</v>
      </c>
      <c r="S592">
        <v>20582.099999999999</v>
      </c>
      <c r="T592">
        <v>15897.65</v>
      </c>
      <c r="U592">
        <v>4684.45</v>
      </c>
      <c r="V592" t="s">
        <v>111</v>
      </c>
      <c r="W592" t="s">
        <v>68</v>
      </c>
      <c r="X592" t="str">
        <f t="shared" si="39"/>
        <v>EXCLUDE: Cancelled order</v>
      </c>
      <c r="Y592" t="str">
        <f t="shared" si="37"/>
        <v>Exclude</v>
      </c>
    </row>
    <row r="593" spans="1:25">
      <c r="A593" t="s">
        <v>1883</v>
      </c>
      <c r="B593" s="3">
        <v>45344</v>
      </c>
      <c r="C593" s="3">
        <v>45346</v>
      </c>
      <c r="D593" s="6">
        <f t="shared" si="38"/>
        <v>2</v>
      </c>
      <c r="E593" t="s">
        <v>1884</v>
      </c>
      <c r="F593" t="s">
        <v>132</v>
      </c>
      <c r="G593" s="5" t="s">
        <v>24</v>
      </c>
      <c r="H593" t="s">
        <v>54</v>
      </c>
      <c r="I593" t="s">
        <v>175</v>
      </c>
      <c r="J593" t="s">
        <v>176</v>
      </c>
      <c r="K593" t="s">
        <v>74</v>
      </c>
      <c r="L593" t="s">
        <v>80</v>
      </c>
      <c r="M593" t="s">
        <v>1885</v>
      </c>
      <c r="N593" t="s">
        <v>50</v>
      </c>
      <c r="O593">
        <v>3</v>
      </c>
      <c r="P593">
        <v>3545.08</v>
      </c>
      <c r="Q593" s="6">
        <v>0</v>
      </c>
      <c r="R593" s="8">
        <f t="shared" si="36"/>
        <v>0</v>
      </c>
      <c r="S593">
        <v>10635.24</v>
      </c>
      <c r="T593">
        <v>6031.88</v>
      </c>
      <c r="U593">
        <v>4603.3599999999997</v>
      </c>
      <c r="V593" t="s">
        <v>155</v>
      </c>
      <c r="W593" t="s">
        <v>103</v>
      </c>
      <c r="X593" t="str">
        <f t="shared" si="39"/>
        <v>EXCLUDE: Failed payment</v>
      </c>
      <c r="Y593" t="str">
        <f t="shared" si="37"/>
        <v>Exclude</v>
      </c>
    </row>
    <row r="594" spans="1:25">
      <c r="A594" t="s">
        <v>1886</v>
      </c>
      <c r="B594" s="3">
        <v>45355</v>
      </c>
      <c r="C594" s="3">
        <v>45538</v>
      </c>
      <c r="D594" s="6">
        <f t="shared" si="38"/>
        <v>183</v>
      </c>
      <c r="E594" t="s">
        <v>1887</v>
      </c>
      <c r="F594" t="s">
        <v>36</v>
      </c>
      <c r="G594" s="5" t="s">
        <v>24</v>
      </c>
      <c r="H594" t="s">
        <v>38</v>
      </c>
      <c r="I594" t="s">
        <v>99</v>
      </c>
      <c r="J594" t="s">
        <v>100</v>
      </c>
      <c r="K594" t="s">
        <v>74</v>
      </c>
      <c r="L594" t="s">
        <v>75</v>
      </c>
      <c r="M594" t="s">
        <v>1888</v>
      </c>
      <c r="N594" t="s">
        <v>44</v>
      </c>
      <c r="O594">
        <v>8</v>
      </c>
      <c r="P594">
        <v>4401.41</v>
      </c>
      <c r="Q594" s="6">
        <v>0.15</v>
      </c>
      <c r="R594" s="8">
        <f t="shared" si="36"/>
        <v>0.15</v>
      </c>
      <c r="S594">
        <v>29929.59</v>
      </c>
      <c r="T594">
        <v>22436.03</v>
      </c>
      <c r="U594">
        <v>7493.56</v>
      </c>
      <c r="V594" t="s">
        <v>32</v>
      </c>
      <c r="W594" t="s">
        <v>33</v>
      </c>
      <c r="X594" t="str">
        <f t="shared" si="39"/>
        <v/>
      </c>
      <c r="Y594" t="str">
        <f t="shared" si="37"/>
        <v>Exclude</v>
      </c>
    </row>
    <row r="595" spans="1:25">
      <c r="A595" t="s">
        <v>1889</v>
      </c>
      <c r="B595" s="3">
        <v>45927</v>
      </c>
      <c r="C595" s="3">
        <v>45929</v>
      </c>
      <c r="D595" s="6">
        <f t="shared" si="38"/>
        <v>2</v>
      </c>
      <c r="E595" t="s">
        <v>1679</v>
      </c>
      <c r="F595" t="s">
        <v>53</v>
      </c>
      <c r="G595" s="5" t="s">
        <v>95</v>
      </c>
      <c r="H595" t="s">
        <v>25</v>
      </c>
      <c r="I595" t="s">
        <v>136</v>
      </c>
      <c r="J595" t="s">
        <v>137</v>
      </c>
      <c r="K595" t="s">
        <v>41</v>
      </c>
      <c r="L595" t="s">
        <v>42</v>
      </c>
      <c r="M595" t="s">
        <v>1890</v>
      </c>
      <c r="N595" t="s">
        <v>31</v>
      </c>
      <c r="O595">
        <v>9</v>
      </c>
      <c r="P595">
        <v>4100.1099999999997</v>
      </c>
      <c r="Q595" s="6">
        <v>0.25</v>
      </c>
      <c r="R595" s="8">
        <f t="shared" si="36"/>
        <v>0.25</v>
      </c>
      <c r="S595">
        <v>27675.74</v>
      </c>
      <c r="T595">
        <v>15571.08</v>
      </c>
      <c r="U595">
        <v>12104.66</v>
      </c>
      <c r="V595" t="s">
        <v>32</v>
      </c>
      <c r="W595" t="s">
        <v>33</v>
      </c>
      <c r="X595" t="str">
        <f t="shared" si="39"/>
        <v/>
      </c>
      <c r="Y595" t="str">
        <f t="shared" si="37"/>
        <v>Exclude</v>
      </c>
    </row>
    <row r="596" spans="1:25">
      <c r="A596" t="s">
        <v>1891</v>
      </c>
      <c r="B596" s="3">
        <v>45554</v>
      </c>
      <c r="C596" s="3">
        <v>45556</v>
      </c>
      <c r="D596" s="6">
        <f t="shared" si="38"/>
        <v>2</v>
      </c>
      <c r="E596" t="s">
        <v>1892</v>
      </c>
      <c r="F596" t="s">
        <v>23</v>
      </c>
      <c r="G596" s="5" t="s">
        <v>37</v>
      </c>
      <c r="H596" t="s">
        <v>38</v>
      </c>
      <c r="I596" t="s">
        <v>99</v>
      </c>
      <c r="J596" t="s">
        <v>100</v>
      </c>
      <c r="K596" t="s">
        <v>41</v>
      </c>
      <c r="L596" t="s">
        <v>66</v>
      </c>
      <c r="M596" t="s">
        <v>1893</v>
      </c>
      <c r="N596" t="s">
        <v>50</v>
      </c>
      <c r="O596">
        <v>3</v>
      </c>
      <c r="P596">
        <v>3981.76</v>
      </c>
      <c r="Q596" s="6">
        <v>0</v>
      </c>
      <c r="R596" s="8">
        <f t="shared" si="36"/>
        <v>0</v>
      </c>
      <c r="S596">
        <v>11945.28</v>
      </c>
      <c r="T596">
        <v>9700.31</v>
      </c>
      <c r="U596">
        <v>2244.9699999999998</v>
      </c>
      <c r="V596" t="s">
        <v>32</v>
      </c>
      <c r="W596" t="s">
        <v>33</v>
      </c>
      <c r="X596" t="str">
        <f t="shared" si="39"/>
        <v/>
      </c>
      <c r="Y596" t="str">
        <f t="shared" si="37"/>
        <v>Exclude</v>
      </c>
    </row>
    <row r="597" spans="1:25">
      <c r="A597" t="s">
        <v>1894</v>
      </c>
      <c r="B597" s="3">
        <v>45963</v>
      </c>
      <c r="C597" s="3">
        <v>45704</v>
      </c>
      <c r="D597" s="6">
        <f t="shared" si="38"/>
        <v>-259</v>
      </c>
      <c r="E597" t="s">
        <v>1895</v>
      </c>
      <c r="F597" t="s">
        <v>36</v>
      </c>
      <c r="G597" s="5" t="s">
        <v>90</v>
      </c>
      <c r="H597" t="s">
        <v>25</v>
      </c>
      <c r="I597" t="s">
        <v>136</v>
      </c>
      <c r="J597" t="s">
        <v>137</v>
      </c>
      <c r="K597" t="s">
        <v>74</v>
      </c>
      <c r="L597" t="s">
        <v>171</v>
      </c>
      <c r="M597" t="s">
        <v>1896</v>
      </c>
      <c r="N597" t="s">
        <v>50</v>
      </c>
      <c r="O597">
        <v>8</v>
      </c>
      <c r="P597">
        <v>1825.56</v>
      </c>
      <c r="Q597" s="6">
        <v>0.1</v>
      </c>
      <c r="R597" s="8">
        <f t="shared" si="36"/>
        <v>0.1</v>
      </c>
      <c r="S597">
        <v>13144.03</v>
      </c>
      <c r="T597">
        <v>9764</v>
      </c>
      <c r="U597">
        <v>3380.03</v>
      </c>
      <c r="V597" t="s">
        <v>32</v>
      </c>
      <c r="W597" t="s">
        <v>33</v>
      </c>
      <c r="X597" t="str">
        <f t="shared" si="39"/>
        <v>INVALID: Ship date before order date</v>
      </c>
      <c r="Y597" t="str">
        <f t="shared" si="37"/>
        <v>Exclude</v>
      </c>
    </row>
    <row r="598" spans="1:25">
      <c r="A598" t="s">
        <v>1897</v>
      </c>
      <c r="B598" s="3">
        <v>45392</v>
      </c>
      <c r="C598" s="3">
        <v>45398</v>
      </c>
      <c r="D598" s="6">
        <f t="shared" si="38"/>
        <v>6</v>
      </c>
      <c r="E598" t="s">
        <v>1898</v>
      </c>
      <c r="F598" t="s">
        <v>89</v>
      </c>
      <c r="G598" s="5" t="s">
        <v>24</v>
      </c>
      <c r="H598" t="s">
        <v>54</v>
      </c>
      <c r="I598" t="s">
        <v>185</v>
      </c>
      <c r="J598" t="s">
        <v>186</v>
      </c>
      <c r="K598" t="s">
        <v>41</v>
      </c>
      <c r="L598" t="s">
        <v>66</v>
      </c>
      <c r="M598" t="s">
        <v>1899</v>
      </c>
      <c r="N598" t="s">
        <v>31</v>
      </c>
      <c r="O598">
        <v>9</v>
      </c>
      <c r="P598">
        <v>2723.26</v>
      </c>
      <c r="Q598" s="6">
        <v>0.25</v>
      </c>
      <c r="R598" s="8">
        <f t="shared" si="36"/>
        <v>0.25</v>
      </c>
      <c r="S598">
        <v>18382.009999999998</v>
      </c>
      <c r="T598">
        <v>13108.2</v>
      </c>
      <c r="U598">
        <v>5273.81</v>
      </c>
      <c r="V598" t="s">
        <v>32</v>
      </c>
      <c r="W598" t="s">
        <v>33</v>
      </c>
      <c r="X598" t="str">
        <f t="shared" si="39"/>
        <v/>
      </c>
      <c r="Y598" t="str">
        <f t="shared" si="37"/>
        <v>Exclude</v>
      </c>
    </row>
    <row r="599" spans="1:25">
      <c r="A599" t="s">
        <v>1900</v>
      </c>
      <c r="B599" s="3">
        <v>45846</v>
      </c>
      <c r="C599" s="3">
        <v>45876</v>
      </c>
      <c r="D599" s="6">
        <f t="shared" si="38"/>
        <v>30</v>
      </c>
      <c r="E599" t="s">
        <v>1901</v>
      </c>
      <c r="F599" t="s">
        <v>89</v>
      </c>
      <c r="G599" s="5" t="s">
        <v>24</v>
      </c>
      <c r="H599" t="s">
        <v>54</v>
      </c>
      <c r="I599" t="s">
        <v>55</v>
      </c>
      <c r="J599" t="s">
        <v>56</v>
      </c>
      <c r="K599" t="s">
        <v>74</v>
      </c>
      <c r="L599" t="s">
        <v>80</v>
      </c>
      <c r="M599" t="s">
        <v>1902</v>
      </c>
      <c r="N599" t="s">
        <v>44</v>
      </c>
      <c r="O599">
        <v>9</v>
      </c>
      <c r="P599">
        <v>274.88</v>
      </c>
      <c r="Q599" s="6">
        <v>0.25</v>
      </c>
      <c r="R599" s="8">
        <f t="shared" si="36"/>
        <v>0.25</v>
      </c>
      <c r="S599">
        <v>1855.44</v>
      </c>
      <c r="T599">
        <v>1262.74</v>
      </c>
      <c r="U599">
        <v>592.70000000000005</v>
      </c>
      <c r="V599" t="s">
        <v>32</v>
      </c>
      <c r="W599" t="s">
        <v>33</v>
      </c>
      <c r="X599" t="str">
        <f t="shared" si="39"/>
        <v/>
      </c>
      <c r="Y599" t="str">
        <f t="shared" si="37"/>
        <v>Exclude</v>
      </c>
    </row>
    <row r="600" spans="1:25">
      <c r="A600" t="s">
        <v>1903</v>
      </c>
      <c r="B600" s="3">
        <v>45521</v>
      </c>
      <c r="C600" s="3">
        <v>45528</v>
      </c>
      <c r="D600" s="6">
        <f t="shared" si="38"/>
        <v>7</v>
      </c>
      <c r="E600" t="s">
        <v>1904</v>
      </c>
      <c r="F600" t="s">
        <v>62</v>
      </c>
      <c r="G600" s="5" t="s">
        <v>90</v>
      </c>
      <c r="H600" t="s">
        <v>38</v>
      </c>
      <c r="I600" t="s">
        <v>99</v>
      </c>
      <c r="J600" t="s">
        <v>100</v>
      </c>
      <c r="K600" t="s">
        <v>74</v>
      </c>
      <c r="L600" t="s">
        <v>80</v>
      </c>
      <c r="M600" t="s">
        <v>1905</v>
      </c>
      <c r="N600" t="s">
        <v>44</v>
      </c>
      <c r="O600">
        <v>3</v>
      </c>
      <c r="P600">
        <v>1490.69</v>
      </c>
      <c r="Q600" s="6">
        <v>0.25</v>
      </c>
      <c r="R600" s="8">
        <f t="shared" si="36"/>
        <v>0.25</v>
      </c>
      <c r="S600">
        <v>3354.05</v>
      </c>
      <c r="T600">
        <v>2672.67</v>
      </c>
      <c r="U600">
        <v>681.38</v>
      </c>
      <c r="V600" t="s">
        <v>32</v>
      </c>
      <c r="W600" t="s">
        <v>33</v>
      </c>
      <c r="X600" t="str">
        <f t="shared" si="39"/>
        <v/>
      </c>
      <c r="Y600" t="str">
        <f t="shared" si="37"/>
        <v>Exclude</v>
      </c>
    </row>
    <row r="601" spans="1:25">
      <c r="A601" t="s">
        <v>1906</v>
      </c>
      <c r="B601" s="3">
        <v>45523</v>
      </c>
      <c r="C601" s="3">
        <v>45525</v>
      </c>
      <c r="D601" s="6">
        <f t="shared" si="38"/>
        <v>2</v>
      </c>
      <c r="E601" t="s">
        <v>1907</v>
      </c>
      <c r="F601" t="s">
        <v>53</v>
      </c>
      <c r="G601" s="5" t="s">
        <v>24</v>
      </c>
      <c r="H601" t="s">
        <v>25</v>
      </c>
      <c r="I601" t="s">
        <v>122</v>
      </c>
      <c r="J601" t="s">
        <v>123</v>
      </c>
      <c r="K601" t="s">
        <v>74</v>
      </c>
      <c r="L601" t="s">
        <v>171</v>
      </c>
      <c r="M601" t="s">
        <v>1908</v>
      </c>
      <c r="N601" t="s">
        <v>50</v>
      </c>
      <c r="O601">
        <v>3</v>
      </c>
      <c r="P601">
        <v>1103.54</v>
      </c>
      <c r="Q601" s="6">
        <v>0.25</v>
      </c>
      <c r="R601" s="8">
        <f t="shared" si="36"/>
        <v>0.25</v>
      </c>
      <c r="S601">
        <v>2482.9699999999998</v>
      </c>
      <c r="T601">
        <v>1621.72</v>
      </c>
      <c r="U601">
        <v>861.25</v>
      </c>
      <c r="V601" t="s">
        <v>32</v>
      </c>
      <c r="W601" t="s">
        <v>33</v>
      </c>
      <c r="X601" t="str">
        <f t="shared" si="39"/>
        <v/>
      </c>
      <c r="Y601" t="str">
        <f t="shared" si="37"/>
        <v>Exclude</v>
      </c>
    </row>
    <row r="602" spans="1:25">
      <c r="A602" t="s">
        <v>1909</v>
      </c>
      <c r="B602" s="3">
        <v>45721</v>
      </c>
      <c r="C602" s="3">
        <v>45994</v>
      </c>
      <c r="D602" s="6">
        <f t="shared" si="38"/>
        <v>273</v>
      </c>
      <c r="E602" t="s">
        <v>1910</v>
      </c>
      <c r="F602" t="s">
        <v>62</v>
      </c>
      <c r="G602" s="5" t="s">
        <v>90</v>
      </c>
      <c r="H602" t="s">
        <v>63</v>
      </c>
      <c r="I602" t="s">
        <v>72</v>
      </c>
      <c r="J602" t="s">
        <v>73</v>
      </c>
      <c r="K602" t="s">
        <v>28</v>
      </c>
      <c r="L602" t="s">
        <v>124</v>
      </c>
      <c r="M602" t="s">
        <v>1911</v>
      </c>
      <c r="N602" t="s">
        <v>44</v>
      </c>
      <c r="O602">
        <v>3</v>
      </c>
      <c r="P602">
        <v>3682.75</v>
      </c>
      <c r="Q602" s="6">
        <v>0</v>
      </c>
      <c r="R602" s="8">
        <f t="shared" si="36"/>
        <v>0</v>
      </c>
      <c r="S602">
        <v>11048.25</v>
      </c>
      <c r="T602">
        <v>9062.7199999999993</v>
      </c>
      <c r="U602">
        <v>1985.53</v>
      </c>
      <c r="V602" t="s">
        <v>32</v>
      </c>
      <c r="W602" t="s">
        <v>33</v>
      </c>
      <c r="X602" t="str">
        <f t="shared" si="39"/>
        <v/>
      </c>
      <c r="Y602" t="str">
        <f t="shared" si="37"/>
        <v>Exclude</v>
      </c>
    </row>
    <row r="603" spans="1:25">
      <c r="A603" t="s">
        <v>1912</v>
      </c>
      <c r="B603" s="3">
        <v>45317</v>
      </c>
      <c r="C603" s="3">
        <v>45322</v>
      </c>
      <c r="D603" s="6">
        <f t="shared" si="38"/>
        <v>5</v>
      </c>
      <c r="E603" t="s">
        <v>1913</v>
      </c>
      <c r="F603" t="s">
        <v>62</v>
      </c>
      <c r="G603" s="5" t="s">
        <v>95</v>
      </c>
      <c r="H603" t="s">
        <v>38</v>
      </c>
      <c r="I603" t="s">
        <v>99</v>
      </c>
      <c r="J603" t="s">
        <v>100</v>
      </c>
      <c r="K603" t="s">
        <v>28</v>
      </c>
      <c r="L603" t="s">
        <v>29</v>
      </c>
      <c r="M603" t="s">
        <v>1914</v>
      </c>
      <c r="N603" t="s">
        <v>31</v>
      </c>
      <c r="O603">
        <v>5</v>
      </c>
      <c r="P603">
        <v>1615.03</v>
      </c>
      <c r="Q603" s="6">
        <v>0.2</v>
      </c>
      <c r="R603" s="8">
        <f t="shared" si="36"/>
        <v>0.2</v>
      </c>
      <c r="S603">
        <v>6460.12</v>
      </c>
      <c r="T603">
        <v>3604.03</v>
      </c>
      <c r="U603">
        <v>2856.09</v>
      </c>
      <c r="V603" t="s">
        <v>32</v>
      </c>
      <c r="W603" t="s">
        <v>33</v>
      </c>
      <c r="X603" t="str">
        <f t="shared" si="39"/>
        <v/>
      </c>
      <c r="Y603" t="str">
        <f t="shared" si="37"/>
        <v>Exclude</v>
      </c>
    </row>
    <row r="604" spans="1:25">
      <c r="A604" t="s">
        <v>1915</v>
      </c>
      <c r="B604" s="3">
        <v>45588</v>
      </c>
      <c r="C604" s="3">
        <v>45595</v>
      </c>
      <c r="D604" s="6">
        <f t="shared" si="38"/>
        <v>7</v>
      </c>
      <c r="E604" t="s">
        <v>1916</v>
      </c>
      <c r="F604" t="s">
        <v>128</v>
      </c>
      <c r="G604" s="5" t="s">
        <v>24</v>
      </c>
      <c r="H604" t="s">
        <v>38</v>
      </c>
      <c r="I604" t="s">
        <v>229</v>
      </c>
      <c r="J604" t="s">
        <v>230</v>
      </c>
      <c r="K604" t="s">
        <v>74</v>
      </c>
      <c r="L604" t="s">
        <v>80</v>
      </c>
      <c r="M604" t="s">
        <v>1917</v>
      </c>
      <c r="N604" t="s">
        <v>31</v>
      </c>
      <c r="O604">
        <v>9</v>
      </c>
      <c r="P604">
        <v>3423.82</v>
      </c>
      <c r="Q604" s="6">
        <v>0.15</v>
      </c>
      <c r="R604" s="8">
        <f t="shared" si="36"/>
        <v>0.15</v>
      </c>
      <c r="S604">
        <v>26192.22</v>
      </c>
      <c r="T604">
        <v>20795.55</v>
      </c>
      <c r="U604">
        <v>5396.67</v>
      </c>
      <c r="V604" t="s">
        <v>32</v>
      </c>
      <c r="W604" t="s">
        <v>33</v>
      </c>
      <c r="X604" t="str">
        <f t="shared" si="39"/>
        <v/>
      </c>
      <c r="Y604" t="str">
        <f t="shared" si="37"/>
        <v>Exclude</v>
      </c>
    </row>
    <row r="605" spans="1:25">
      <c r="A605" t="s">
        <v>1918</v>
      </c>
      <c r="B605" s="3">
        <v>45717</v>
      </c>
      <c r="C605" s="3">
        <v>45668</v>
      </c>
      <c r="D605" s="6">
        <f t="shared" si="38"/>
        <v>-49</v>
      </c>
      <c r="E605" t="s">
        <v>335</v>
      </c>
      <c r="F605" t="s">
        <v>71</v>
      </c>
      <c r="G605" s="5" t="s">
        <v>90</v>
      </c>
      <c r="H605" t="s">
        <v>38</v>
      </c>
      <c r="I605" t="s">
        <v>145</v>
      </c>
      <c r="J605" t="s">
        <v>146</v>
      </c>
      <c r="K605" t="s">
        <v>74</v>
      </c>
      <c r="L605" t="s">
        <v>75</v>
      </c>
      <c r="M605" t="s">
        <v>1919</v>
      </c>
      <c r="N605" t="s">
        <v>50</v>
      </c>
      <c r="O605">
        <v>8</v>
      </c>
      <c r="P605">
        <v>2574.29</v>
      </c>
      <c r="Q605" s="6">
        <v>0.05</v>
      </c>
      <c r="R605" s="8">
        <f t="shared" si="36"/>
        <v>0.05</v>
      </c>
      <c r="S605">
        <v>19564.599999999999</v>
      </c>
      <c r="T605">
        <v>11154.59</v>
      </c>
      <c r="U605">
        <v>8410.01</v>
      </c>
      <c r="V605" t="s">
        <v>111</v>
      </c>
      <c r="W605" t="s">
        <v>68</v>
      </c>
      <c r="X605" t="str">
        <f t="shared" si="39"/>
        <v>INVALID: Ship date before order date; EXCLUDE: Cancelled order</v>
      </c>
      <c r="Y605" t="str">
        <f t="shared" si="37"/>
        <v>Exclude</v>
      </c>
    </row>
    <row r="606" spans="1:25">
      <c r="A606" t="s">
        <v>1920</v>
      </c>
      <c r="B606" s="3">
        <v>45693</v>
      </c>
      <c r="C606" s="3">
        <v>45810</v>
      </c>
      <c r="D606" s="6">
        <f t="shared" si="38"/>
        <v>117</v>
      </c>
      <c r="E606" t="s">
        <v>1921</v>
      </c>
      <c r="F606" t="s">
        <v>62</v>
      </c>
      <c r="G606" s="5" t="s">
        <v>24</v>
      </c>
      <c r="H606" t="s">
        <v>63</v>
      </c>
      <c r="I606" t="s">
        <v>72</v>
      </c>
      <c r="J606" t="s">
        <v>73</v>
      </c>
      <c r="K606" t="s">
        <v>28</v>
      </c>
      <c r="L606" t="s">
        <v>153</v>
      </c>
      <c r="M606" t="s">
        <v>1922</v>
      </c>
      <c r="N606" t="s">
        <v>44</v>
      </c>
      <c r="O606">
        <v>3</v>
      </c>
      <c r="P606">
        <v>1076.3</v>
      </c>
      <c r="Q606" s="6">
        <v>0</v>
      </c>
      <c r="R606" s="8">
        <f t="shared" si="36"/>
        <v>0</v>
      </c>
      <c r="S606">
        <v>3228.9</v>
      </c>
      <c r="T606">
        <v>1853.23</v>
      </c>
      <c r="U606">
        <v>1375.67</v>
      </c>
      <c r="V606" t="s">
        <v>32</v>
      </c>
      <c r="W606" t="s">
        <v>33</v>
      </c>
      <c r="X606" t="str">
        <f t="shared" si="39"/>
        <v/>
      </c>
      <c r="Y606" t="str">
        <f t="shared" si="37"/>
        <v>Exclude</v>
      </c>
    </row>
    <row r="607" spans="1:25">
      <c r="A607" t="s">
        <v>1923</v>
      </c>
      <c r="B607" s="3">
        <v>45847</v>
      </c>
      <c r="C607" s="3">
        <v>45851</v>
      </c>
      <c r="D607" s="6">
        <f t="shared" si="38"/>
        <v>4</v>
      </c>
      <c r="E607" t="s">
        <v>1924</v>
      </c>
      <c r="F607" t="s">
        <v>265</v>
      </c>
      <c r="G607" s="5" t="s">
        <v>90</v>
      </c>
      <c r="H607" t="s">
        <v>63</v>
      </c>
      <c r="I607" t="s">
        <v>190</v>
      </c>
      <c r="J607" t="s">
        <v>191</v>
      </c>
      <c r="K607" t="s">
        <v>41</v>
      </c>
      <c r="L607" t="s">
        <v>57</v>
      </c>
      <c r="M607" t="s">
        <v>1925</v>
      </c>
      <c r="N607" t="s">
        <v>31</v>
      </c>
      <c r="O607">
        <v>5</v>
      </c>
      <c r="P607">
        <v>1680.01</v>
      </c>
      <c r="Q607" s="6" t="s">
        <v>771</v>
      </c>
      <c r="R607" s="8" t="str">
        <f t="shared" si="36"/>
        <v>85%</v>
      </c>
      <c r="S607">
        <v>7560.04</v>
      </c>
      <c r="T607">
        <v>6448.05</v>
      </c>
      <c r="U607">
        <v>1111.99</v>
      </c>
      <c r="V607" t="s">
        <v>32</v>
      </c>
      <c r="W607" t="s">
        <v>68</v>
      </c>
      <c r="X607" t="str">
        <f t="shared" si="39"/>
        <v>INVALID: Discount above range; EXCLUDE: Cancelled order</v>
      </c>
      <c r="Y607" t="str">
        <f t="shared" si="37"/>
        <v>Exclude</v>
      </c>
    </row>
    <row r="608" spans="1:25">
      <c r="A608" t="s">
        <v>1926</v>
      </c>
      <c r="B608" s="3">
        <v>45710</v>
      </c>
      <c r="C608" s="3">
        <v>45716</v>
      </c>
      <c r="D608" s="6">
        <f t="shared" si="38"/>
        <v>6</v>
      </c>
      <c r="E608" t="s">
        <v>1927</v>
      </c>
      <c r="F608" t="s">
        <v>118</v>
      </c>
      <c r="G608" s="5" t="s">
        <v>95</v>
      </c>
      <c r="H608" t="s">
        <v>63</v>
      </c>
      <c r="I608" t="s">
        <v>72</v>
      </c>
      <c r="J608" t="s">
        <v>73</v>
      </c>
      <c r="K608" t="s">
        <v>74</v>
      </c>
      <c r="L608" t="s">
        <v>80</v>
      </c>
      <c r="M608" t="s">
        <v>1928</v>
      </c>
      <c r="N608" t="s">
        <v>44</v>
      </c>
      <c r="O608">
        <v>3</v>
      </c>
      <c r="P608">
        <v>3890.81</v>
      </c>
      <c r="Q608" s="6">
        <v>0.25</v>
      </c>
      <c r="R608" s="8">
        <f t="shared" si="36"/>
        <v>0.25</v>
      </c>
      <c r="S608">
        <v>8754.32</v>
      </c>
      <c r="T608">
        <v>6238.9</v>
      </c>
      <c r="U608">
        <v>2515.42</v>
      </c>
      <c r="V608" t="s">
        <v>32</v>
      </c>
      <c r="W608" t="s">
        <v>33</v>
      </c>
      <c r="X608" t="str">
        <f t="shared" si="39"/>
        <v/>
      </c>
      <c r="Y608" t="str">
        <f t="shared" si="37"/>
        <v>Exclude</v>
      </c>
    </row>
    <row r="609" spans="1:25">
      <c r="A609" t="s">
        <v>1929</v>
      </c>
      <c r="B609" s="3">
        <v>45704</v>
      </c>
      <c r="C609" s="3">
        <v>45710</v>
      </c>
      <c r="D609" s="6">
        <f t="shared" si="38"/>
        <v>6</v>
      </c>
      <c r="E609" t="s">
        <v>1930</v>
      </c>
      <c r="F609" t="s">
        <v>132</v>
      </c>
      <c r="G609" s="5" t="s">
        <v>95</v>
      </c>
      <c r="H609" t="s">
        <v>38</v>
      </c>
      <c r="I609" t="s">
        <v>145</v>
      </c>
      <c r="J609" t="s">
        <v>146</v>
      </c>
      <c r="K609" t="s">
        <v>28</v>
      </c>
      <c r="L609" t="s">
        <v>124</v>
      </c>
      <c r="M609" t="s">
        <v>1931</v>
      </c>
      <c r="N609" t="s">
        <v>44</v>
      </c>
      <c r="O609">
        <v>5</v>
      </c>
      <c r="P609">
        <v>954.67</v>
      </c>
      <c r="Q609" s="6">
        <v>0.15</v>
      </c>
      <c r="R609" s="8">
        <f t="shared" si="36"/>
        <v>0.15</v>
      </c>
      <c r="S609">
        <v>4057.35</v>
      </c>
      <c r="T609">
        <v>2862.03</v>
      </c>
      <c r="U609">
        <v>1195.32</v>
      </c>
      <c r="V609" t="s">
        <v>32</v>
      </c>
      <c r="W609" t="s">
        <v>33</v>
      </c>
      <c r="X609" t="str">
        <f t="shared" si="39"/>
        <v/>
      </c>
      <c r="Y609" t="str">
        <f t="shared" si="37"/>
        <v>Exclude</v>
      </c>
    </row>
    <row r="610" spans="1:25">
      <c r="A610" t="s">
        <v>1932</v>
      </c>
      <c r="B610" s="3">
        <v>45464</v>
      </c>
      <c r="C610" s="3">
        <v>45466</v>
      </c>
      <c r="D610" s="6">
        <f t="shared" si="38"/>
        <v>2</v>
      </c>
      <c r="E610" t="s">
        <v>1708</v>
      </c>
      <c r="F610" t="s">
        <v>23</v>
      </c>
      <c r="G610" s="5" t="s">
        <v>95</v>
      </c>
      <c r="H610" t="s">
        <v>63</v>
      </c>
      <c r="I610" t="s">
        <v>190</v>
      </c>
      <c r="J610" t="s">
        <v>191</v>
      </c>
      <c r="K610" t="s">
        <v>41</v>
      </c>
      <c r="L610" t="s">
        <v>57</v>
      </c>
      <c r="M610" t="s">
        <v>1933</v>
      </c>
      <c r="N610" t="s">
        <v>31</v>
      </c>
      <c r="O610">
        <v>9</v>
      </c>
      <c r="P610">
        <v>2153.75</v>
      </c>
      <c r="Q610" s="6">
        <v>0</v>
      </c>
      <c r="R610" s="8">
        <f t="shared" si="36"/>
        <v>0</v>
      </c>
      <c r="S610">
        <v>19383.75</v>
      </c>
      <c r="T610">
        <v>11667.43</v>
      </c>
      <c r="U610">
        <v>7716.32</v>
      </c>
      <c r="V610" t="s">
        <v>32</v>
      </c>
      <c r="W610" t="s">
        <v>33</v>
      </c>
      <c r="X610" t="str">
        <f t="shared" si="39"/>
        <v/>
      </c>
      <c r="Y610" t="str">
        <f t="shared" si="37"/>
        <v>Exclude</v>
      </c>
    </row>
    <row r="611" spans="1:25">
      <c r="A611" t="s">
        <v>1934</v>
      </c>
      <c r="B611" s="3">
        <v>45665</v>
      </c>
      <c r="C611" s="3">
        <v>45669</v>
      </c>
      <c r="D611" s="6">
        <f t="shared" si="38"/>
        <v>4</v>
      </c>
      <c r="E611" t="s">
        <v>1935</v>
      </c>
      <c r="F611" t="s">
        <v>132</v>
      </c>
      <c r="G611" s="5" t="s">
        <v>95</v>
      </c>
      <c r="H611" t="s">
        <v>54</v>
      </c>
      <c r="I611" t="s">
        <v>175</v>
      </c>
      <c r="J611" t="s">
        <v>176</v>
      </c>
      <c r="K611" t="s">
        <v>41</v>
      </c>
      <c r="L611" t="s">
        <v>66</v>
      </c>
      <c r="M611" t="s">
        <v>1936</v>
      </c>
      <c r="N611" t="s">
        <v>59</v>
      </c>
      <c r="O611">
        <v>7</v>
      </c>
      <c r="P611">
        <v>4337.4799999999996</v>
      </c>
      <c r="Q611" s="6">
        <v>0</v>
      </c>
      <c r="R611" s="8">
        <f t="shared" si="36"/>
        <v>0</v>
      </c>
      <c r="S611">
        <v>30362.36</v>
      </c>
      <c r="T611">
        <v>25065.4</v>
      </c>
      <c r="U611">
        <v>5296.96</v>
      </c>
      <c r="V611" t="s">
        <v>32</v>
      </c>
      <c r="W611" t="s">
        <v>33</v>
      </c>
      <c r="X611" t="str">
        <f t="shared" si="39"/>
        <v/>
      </c>
      <c r="Y611" t="str">
        <f t="shared" si="37"/>
        <v>Exclude</v>
      </c>
    </row>
    <row r="612" spans="1:25">
      <c r="A612" t="s">
        <v>1937</v>
      </c>
      <c r="B612" s="3">
        <v>45432</v>
      </c>
      <c r="C612" s="3">
        <v>45432</v>
      </c>
      <c r="D612" s="6">
        <f t="shared" si="38"/>
        <v>0</v>
      </c>
      <c r="E612" t="s">
        <v>1377</v>
      </c>
      <c r="F612" t="s">
        <v>23</v>
      </c>
      <c r="G612" s="5" t="s">
        <v>95</v>
      </c>
      <c r="H612" t="s">
        <v>63</v>
      </c>
      <c r="I612" t="s">
        <v>72</v>
      </c>
      <c r="J612" t="s">
        <v>73</v>
      </c>
      <c r="K612" t="s">
        <v>41</v>
      </c>
      <c r="L612" t="s">
        <v>66</v>
      </c>
      <c r="M612" t="s">
        <v>1938</v>
      </c>
      <c r="N612" t="s">
        <v>59</v>
      </c>
      <c r="O612">
        <v>1</v>
      </c>
      <c r="P612">
        <v>3032.95</v>
      </c>
      <c r="Q612" s="6">
        <v>0.1</v>
      </c>
      <c r="R612" s="8">
        <f t="shared" si="36"/>
        <v>0.1</v>
      </c>
      <c r="S612">
        <v>2729.65</v>
      </c>
      <c r="T612">
        <v>1715.36</v>
      </c>
      <c r="U612">
        <v>1014.29</v>
      </c>
      <c r="V612" t="s">
        <v>32</v>
      </c>
      <c r="W612" t="s">
        <v>33</v>
      </c>
      <c r="X612" t="str">
        <f t="shared" si="39"/>
        <v/>
      </c>
      <c r="Y612" t="str">
        <f t="shared" si="37"/>
        <v>Exclude</v>
      </c>
    </row>
    <row r="613" spans="1:25">
      <c r="A613" t="s">
        <v>1939</v>
      </c>
      <c r="B613" s="3">
        <v>45846</v>
      </c>
      <c r="C613" s="3">
        <v>45853</v>
      </c>
      <c r="D613" s="6">
        <f t="shared" si="38"/>
        <v>7</v>
      </c>
      <c r="E613" t="s">
        <v>1940</v>
      </c>
      <c r="F613" t="s">
        <v>62</v>
      </c>
      <c r="G613" s="5" t="s">
        <v>37</v>
      </c>
      <c r="H613" t="s">
        <v>25</v>
      </c>
      <c r="I613" t="s">
        <v>26</v>
      </c>
      <c r="J613" t="s">
        <v>27</v>
      </c>
      <c r="K613" t="s">
        <v>28</v>
      </c>
      <c r="L613" t="s">
        <v>153</v>
      </c>
      <c r="M613" t="s">
        <v>1941</v>
      </c>
      <c r="N613" t="s">
        <v>44</v>
      </c>
      <c r="O613">
        <v>8</v>
      </c>
      <c r="P613">
        <v>655.28</v>
      </c>
      <c r="Q613" s="6">
        <v>0.1</v>
      </c>
      <c r="R613" s="8">
        <f t="shared" si="36"/>
        <v>0.1</v>
      </c>
      <c r="S613">
        <v>4718.0200000000004</v>
      </c>
      <c r="T613">
        <v>3908.23</v>
      </c>
      <c r="U613">
        <v>809.79</v>
      </c>
      <c r="V613" t="s">
        <v>32</v>
      </c>
      <c r="W613" t="s">
        <v>33</v>
      </c>
      <c r="X613" t="str">
        <f t="shared" si="39"/>
        <v/>
      </c>
      <c r="Y613" t="str">
        <f t="shared" si="37"/>
        <v>Exclude</v>
      </c>
    </row>
    <row r="614" spans="1:25">
      <c r="A614" t="s">
        <v>1942</v>
      </c>
      <c r="B614" s="3">
        <v>45753</v>
      </c>
      <c r="C614" s="3">
        <v>45760</v>
      </c>
      <c r="D614" s="6">
        <f t="shared" si="38"/>
        <v>7</v>
      </c>
      <c r="E614" t="s">
        <v>1943</v>
      </c>
      <c r="F614" t="s">
        <v>89</v>
      </c>
      <c r="G614" s="5" t="s">
        <v>24</v>
      </c>
      <c r="H614" t="s">
        <v>2806</v>
      </c>
      <c r="I614" t="s">
        <v>39</v>
      </c>
      <c r="J614" t="s">
        <v>40</v>
      </c>
      <c r="K614" t="s">
        <v>74</v>
      </c>
      <c r="L614" t="s">
        <v>171</v>
      </c>
      <c r="M614" t="s">
        <v>1944</v>
      </c>
      <c r="N614" t="s">
        <v>59</v>
      </c>
      <c r="O614">
        <v>1</v>
      </c>
      <c r="P614">
        <v>3844.01</v>
      </c>
      <c r="Q614" s="6">
        <v>0</v>
      </c>
      <c r="R614" s="8">
        <f t="shared" si="36"/>
        <v>0</v>
      </c>
      <c r="S614">
        <v>3844.01</v>
      </c>
      <c r="T614">
        <v>2195.79</v>
      </c>
      <c r="U614">
        <v>1648.22</v>
      </c>
      <c r="V614" t="s">
        <v>32</v>
      </c>
      <c r="W614" t="s">
        <v>33</v>
      </c>
      <c r="X614" t="str">
        <f t="shared" si="39"/>
        <v/>
      </c>
      <c r="Y614" t="str">
        <f t="shared" si="37"/>
        <v>Exclude</v>
      </c>
    </row>
    <row r="615" spans="1:25">
      <c r="A615" t="s">
        <v>1945</v>
      </c>
      <c r="B615" s="3">
        <v>45570</v>
      </c>
      <c r="C615" s="3">
        <v>45575</v>
      </c>
      <c r="D615" s="6">
        <f t="shared" si="38"/>
        <v>5</v>
      </c>
      <c r="E615" t="s">
        <v>1946</v>
      </c>
      <c r="F615" t="s">
        <v>162</v>
      </c>
      <c r="G615" s="5" t="s">
        <v>95</v>
      </c>
      <c r="H615" t="s">
        <v>63</v>
      </c>
      <c r="I615" t="s">
        <v>180</v>
      </c>
      <c r="J615" t="s">
        <v>181</v>
      </c>
      <c r="K615" t="s">
        <v>74</v>
      </c>
      <c r="L615" t="s">
        <v>275</v>
      </c>
      <c r="M615" t="s">
        <v>1947</v>
      </c>
      <c r="N615" t="s">
        <v>44</v>
      </c>
      <c r="O615">
        <v>9</v>
      </c>
      <c r="P615">
        <v>3361.3</v>
      </c>
      <c r="Q615" s="6">
        <v>0.25</v>
      </c>
      <c r="R615" s="8">
        <f t="shared" si="36"/>
        <v>0.25</v>
      </c>
      <c r="S615">
        <v>22688.78</v>
      </c>
      <c r="T615">
        <v>14672.41</v>
      </c>
      <c r="U615">
        <v>8016.37</v>
      </c>
      <c r="V615" t="s">
        <v>32</v>
      </c>
      <c r="W615" t="s">
        <v>33</v>
      </c>
      <c r="X615" t="str">
        <f t="shared" si="39"/>
        <v/>
      </c>
      <c r="Y615" t="str">
        <f t="shared" si="37"/>
        <v>Exclude</v>
      </c>
    </row>
    <row r="616" spans="1:25">
      <c r="A616" t="s">
        <v>1948</v>
      </c>
      <c r="B616" s="3">
        <v>45333</v>
      </c>
      <c r="C616" s="3">
        <v>45341</v>
      </c>
      <c r="D616" s="6">
        <f t="shared" si="38"/>
        <v>8</v>
      </c>
      <c r="E616" t="s">
        <v>1949</v>
      </c>
      <c r="F616" t="s">
        <v>62</v>
      </c>
      <c r="G616" s="5" t="s">
        <v>95</v>
      </c>
      <c r="H616" t="s">
        <v>54</v>
      </c>
      <c r="I616" t="s">
        <v>55</v>
      </c>
      <c r="J616" t="s">
        <v>56</v>
      </c>
      <c r="K616" t="s">
        <v>41</v>
      </c>
      <c r="L616" t="s">
        <v>66</v>
      </c>
      <c r="M616" t="s">
        <v>1950</v>
      </c>
      <c r="N616" t="s">
        <v>59</v>
      </c>
      <c r="O616">
        <v>8</v>
      </c>
      <c r="P616">
        <v>3398.32</v>
      </c>
      <c r="Q616" s="6">
        <v>0.25</v>
      </c>
      <c r="R616" s="8">
        <f t="shared" si="36"/>
        <v>0.25</v>
      </c>
      <c r="S616">
        <v>20389.919999999998</v>
      </c>
      <c r="T616">
        <v>16661.080000000002</v>
      </c>
      <c r="U616">
        <v>3728.84</v>
      </c>
      <c r="V616" t="s">
        <v>102</v>
      </c>
      <c r="W616" t="s">
        <v>68</v>
      </c>
      <c r="X616" t="str">
        <f t="shared" si="39"/>
        <v>EXCLUDE: Cancelled order; REFUND: Summarize separately</v>
      </c>
      <c r="Y616" t="str">
        <f t="shared" si="37"/>
        <v>Exclude</v>
      </c>
    </row>
    <row r="617" spans="1:25">
      <c r="A617" t="s">
        <v>1951</v>
      </c>
      <c r="B617" s="3">
        <v>45569</v>
      </c>
      <c r="C617" s="3">
        <v>45483</v>
      </c>
      <c r="D617" s="6">
        <f t="shared" si="38"/>
        <v>-86</v>
      </c>
      <c r="E617" t="s">
        <v>1952</v>
      </c>
      <c r="F617" t="s">
        <v>118</v>
      </c>
      <c r="G617" s="5" t="s">
        <v>90</v>
      </c>
      <c r="H617" t="s">
        <v>54</v>
      </c>
      <c r="I617" t="s">
        <v>185</v>
      </c>
      <c r="J617" t="s">
        <v>186</v>
      </c>
      <c r="K617" t="s">
        <v>28</v>
      </c>
      <c r="L617" t="s">
        <v>48</v>
      </c>
      <c r="M617" t="s">
        <v>1953</v>
      </c>
      <c r="N617" t="s">
        <v>31</v>
      </c>
      <c r="O617">
        <v>2</v>
      </c>
      <c r="P617">
        <v>3144.38</v>
      </c>
      <c r="Q617" s="6">
        <v>0.1</v>
      </c>
      <c r="R617" s="8">
        <f t="shared" si="36"/>
        <v>0.1</v>
      </c>
      <c r="S617">
        <v>5904.57</v>
      </c>
      <c r="T617">
        <v>4337.79</v>
      </c>
      <c r="U617">
        <v>1322.09</v>
      </c>
      <c r="V617" t="s">
        <v>32</v>
      </c>
      <c r="W617" t="s">
        <v>33</v>
      </c>
      <c r="X617" t="str">
        <f t="shared" si="39"/>
        <v>INVALID: Ship date before order date</v>
      </c>
      <c r="Y617" t="str">
        <f t="shared" si="37"/>
        <v>Exclude</v>
      </c>
    </row>
    <row r="618" spans="1:25">
      <c r="A618" t="s">
        <v>1954</v>
      </c>
      <c r="B618" s="3">
        <v>45520</v>
      </c>
      <c r="C618" s="3">
        <v>45523</v>
      </c>
      <c r="D618" s="6">
        <f t="shared" si="38"/>
        <v>3</v>
      </c>
      <c r="E618" t="s">
        <v>1955</v>
      </c>
      <c r="F618" t="s">
        <v>265</v>
      </c>
      <c r="G618" s="5" t="s">
        <v>24</v>
      </c>
      <c r="H618" t="s">
        <v>54</v>
      </c>
      <c r="I618" t="s">
        <v>55</v>
      </c>
      <c r="J618" t="s">
        <v>56</v>
      </c>
      <c r="K618" t="s">
        <v>28</v>
      </c>
      <c r="L618" t="s">
        <v>29</v>
      </c>
      <c r="M618" t="s">
        <v>1956</v>
      </c>
      <c r="N618" t="s">
        <v>59</v>
      </c>
      <c r="O618">
        <v>6</v>
      </c>
      <c r="P618">
        <v>3925.55</v>
      </c>
      <c r="Q618" s="6">
        <v>0.2</v>
      </c>
      <c r="R618" s="8">
        <f t="shared" si="36"/>
        <v>0.2</v>
      </c>
      <c r="S618">
        <v>18842.64</v>
      </c>
      <c r="T618">
        <v>11840.58</v>
      </c>
      <c r="U618">
        <v>7002.06</v>
      </c>
      <c r="V618" t="s">
        <v>32</v>
      </c>
      <c r="W618" t="s">
        <v>33</v>
      </c>
      <c r="X618" t="str">
        <f t="shared" si="39"/>
        <v/>
      </c>
      <c r="Y618" t="str">
        <f t="shared" si="37"/>
        <v>Exclude</v>
      </c>
    </row>
    <row r="619" spans="1:25">
      <c r="A619" t="s">
        <v>1957</v>
      </c>
      <c r="B619" s="3">
        <v>45564</v>
      </c>
      <c r="C619" s="3">
        <v>45565</v>
      </c>
      <c r="D619" s="6">
        <f t="shared" si="38"/>
        <v>1</v>
      </c>
      <c r="E619" t="s">
        <v>1958</v>
      </c>
      <c r="F619" t="s">
        <v>36</v>
      </c>
      <c r="G619" s="5" t="s">
        <v>95</v>
      </c>
      <c r="H619" t="s">
        <v>54</v>
      </c>
      <c r="I619" t="s">
        <v>55</v>
      </c>
      <c r="J619" t="s">
        <v>56</v>
      </c>
      <c r="K619" t="s">
        <v>74</v>
      </c>
      <c r="L619" t="s">
        <v>171</v>
      </c>
      <c r="M619" t="s">
        <v>1959</v>
      </c>
      <c r="N619" t="s">
        <v>59</v>
      </c>
      <c r="O619">
        <v>9</v>
      </c>
      <c r="P619">
        <v>2741.91</v>
      </c>
      <c r="Q619" s="6">
        <v>0</v>
      </c>
      <c r="R619" s="8">
        <f t="shared" si="36"/>
        <v>0</v>
      </c>
      <c r="S619">
        <v>24677.19</v>
      </c>
      <c r="T619">
        <v>20350.849999999999</v>
      </c>
      <c r="U619">
        <v>4326.34</v>
      </c>
      <c r="V619" t="s">
        <v>32</v>
      </c>
      <c r="W619" t="s">
        <v>33</v>
      </c>
      <c r="X619" t="str">
        <f t="shared" si="39"/>
        <v/>
      </c>
      <c r="Y619" t="str">
        <f t="shared" si="37"/>
        <v>Exclude</v>
      </c>
    </row>
    <row r="620" spans="1:25">
      <c r="A620" t="s">
        <v>1960</v>
      </c>
      <c r="B620" s="3">
        <v>45496</v>
      </c>
      <c r="C620" s="3">
        <v>45503</v>
      </c>
      <c r="D620" s="6">
        <f t="shared" si="38"/>
        <v>7</v>
      </c>
      <c r="E620" t="s">
        <v>1961</v>
      </c>
      <c r="F620" t="s">
        <v>265</v>
      </c>
      <c r="G620" s="5" t="s">
        <v>90</v>
      </c>
      <c r="H620" t="s">
        <v>25</v>
      </c>
      <c r="I620" t="s">
        <v>26</v>
      </c>
      <c r="J620" t="s">
        <v>27</v>
      </c>
      <c r="K620" t="s">
        <v>41</v>
      </c>
      <c r="L620" t="s">
        <v>42</v>
      </c>
      <c r="M620" t="s">
        <v>1962</v>
      </c>
      <c r="N620" t="s">
        <v>44</v>
      </c>
      <c r="O620">
        <v>9</v>
      </c>
      <c r="P620">
        <v>1870.11</v>
      </c>
      <c r="Q620" s="6">
        <v>0.25</v>
      </c>
      <c r="R620" s="8">
        <f t="shared" si="36"/>
        <v>0.25</v>
      </c>
      <c r="S620">
        <v>12623.24</v>
      </c>
      <c r="T620">
        <v>10540.8</v>
      </c>
      <c r="U620">
        <v>2082.44</v>
      </c>
      <c r="V620" t="s">
        <v>155</v>
      </c>
      <c r="W620" t="s">
        <v>68</v>
      </c>
      <c r="X620" t="str">
        <f t="shared" si="39"/>
        <v>EXCLUDE: Cancelled order; EXCLUDE: Failed payment</v>
      </c>
      <c r="Y620" t="str">
        <f t="shared" si="37"/>
        <v>Exclude</v>
      </c>
    </row>
    <row r="621" spans="1:25">
      <c r="A621" t="s">
        <v>1963</v>
      </c>
      <c r="B621" s="3">
        <v>45618</v>
      </c>
      <c r="C621" s="3">
        <v>45623</v>
      </c>
      <c r="D621" s="6">
        <f t="shared" si="38"/>
        <v>5</v>
      </c>
      <c r="E621" t="s">
        <v>1964</v>
      </c>
      <c r="F621" t="s">
        <v>114</v>
      </c>
      <c r="G621" s="5" t="s">
        <v>90</v>
      </c>
      <c r="H621" t="s">
        <v>54</v>
      </c>
      <c r="I621" t="s">
        <v>248</v>
      </c>
      <c r="J621" t="s">
        <v>249</v>
      </c>
      <c r="K621" t="s">
        <v>28</v>
      </c>
      <c r="L621" t="s">
        <v>153</v>
      </c>
      <c r="M621" t="s">
        <v>1965</v>
      </c>
      <c r="N621" t="s">
        <v>50</v>
      </c>
      <c r="O621">
        <v>1</v>
      </c>
      <c r="P621">
        <v>4251.26</v>
      </c>
      <c r="Q621" s="6">
        <v>0.2</v>
      </c>
      <c r="R621" s="8">
        <f t="shared" si="36"/>
        <v>0.2</v>
      </c>
      <c r="S621">
        <v>3401.01</v>
      </c>
      <c r="T621">
        <v>2917.54</v>
      </c>
      <c r="U621">
        <v>483.47</v>
      </c>
      <c r="V621" t="s">
        <v>102</v>
      </c>
      <c r="W621" t="s">
        <v>103</v>
      </c>
      <c r="X621" t="str">
        <f t="shared" si="39"/>
        <v>REFUND: Summarize separately</v>
      </c>
      <c r="Y621" t="str">
        <f t="shared" si="37"/>
        <v>Exclude</v>
      </c>
    </row>
    <row r="622" spans="1:25">
      <c r="A622" t="s">
        <v>1966</v>
      </c>
      <c r="B622" s="3">
        <v>45522</v>
      </c>
      <c r="C622" s="3">
        <v>45525</v>
      </c>
      <c r="D622" s="6">
        <f t="shared" si="38"/>
        <v>3</v>
      </c>
      <c r="E622" t="s">
        <v>1967</v>
      </c>
      <c r="F622" t="s">
        <v>71</v>
      </c>
      <c r="G622" s="5" t="s">
        <v>24</v>
      </c>
      <c r="H622" t="s">
        <v>25</v>
      </c>
      <c r="I622" t="s">
        <v>136</v>
      </c>
      <c r="J622" t="s">
        <v>137</v>
      </c>
      <c r="K622" t="s">
        <v>74</v>
      </c>
      <c r="L622" t="s">
        <v>275</v>
      </c>
      <c r="M622" t="s">
        <v>1968</v>
      </c>
      <c r="N622" t="s">
        <v>59</v>
      </c>
      <c r="O622">
        <v>9</v>
      </c>
      <c r="P622">
        <v>734.34</v>
      </c>
      <c r="Q622" s="6">
        <v>0</v>
      </c>
      <c r="R622" s="8">
        <f t="shared" si="36"/>
        <v>0</v>
      </c>
      <c r="S622">
        <v>6609.06</v>
      </c>
      <c r="T622">
        <v>4946.78</v>
      </c>
      <c r="U622">
        <v>1662.28</v>
      </c>
      <c r="V622" t="s">
        <v>32</v>
      </c>
      <c r="W622" t="s">
        <v>33</v>
      </c>
      <c r="X622" t="str">
        <f t="shared" si="39"/>
        <v/>
      </c>
      <c r="Y622" t="str">
        <f t="shared" si="37"/>
        <v>Exclude</v>
      </c>
    </row>
    <row r="623" spans="1:25">
      <c r="A623" t="s">
        <v>1969</v>
      </c>
      <c r="B623" s="3">
        <v>45624</v>
      </c>
      <c r="C623" s="3">
        <v>45632</v>
      </c>
      <c r="D623" s="6">
        <f t="shared" si="38"/>
        <v>8</v>
      </c>
      <c r="E623" t="s">
        <v>1970</v>
      </c>
      <c r="F623" t="s">
        <v>89</v>
      </c>
      <c r="G623" s="5" t="s">
        <v>24</v>
      </c>
      <c r="H623" t="s">
        <v>63</v>
      </c>
      <c r="I623" t="s">
        <v>64</v>
      </c>
      <c r="J623" t="s">
        <v>65</v>
      </c>
      <c r="K623" t="s">
        <v>41</v>
      </c>
      <c r="L623" t="s">
        <v>66</v>
      </c>
      <c r="M623" t="s">
        <v>1971</v>
      </c>
      <c r="N623" t="s">
        <v>44</v>
      </c>
      <c r="O623">
        <v>5</v>
      </c>
      <c r="P623">
        <v>1092.8399999999999</v>
      </c>
      <c r="Q623" s="6">
        <v>0</v>
      </c>
      <c r="R623" s="8">
        <f t="shared" si="36"/>
        <v>0</v>
      </c>
      <c r="S623">
        <v>5464.2</v>
      </c>
      <c r="T623">
        <v>3318.09</v>
      </c>
      <c r="U623">
        <v>2146.11</v>
      </c>
      <c r="V623" t="s">
        <v>32</v>
      </c>
      <c r="W623" t="s">
        <v>33</v>
      </c>
      <c r="X623" t="str">
        <f t="shared" si="39"/>
        <v/>
      </c>
      <c r="Y623" t="str">
        <f t="shared" si="37"/>
        <v>Exclude</v>
      </c>
    </row>
    <row r="624" spans="1:25">
      <c r="A624" t="s">
        <v>1972</v>
      </c>
      <c r="B624" s="3">
        <v>45686</v>
      </c>
      <c r="C624" s="3">
        <v>45810</v>
      </c>
      <c r="D624" s="6">
        <f t="shared" si="38"/>
        <v>124</v>
      </c>
      <c r="E624" t="s">
        <v>1973</v>
      </c>
      <c r="F624" t="s">
        <v>71</v>
      </c>
      <c r="G624" s="5" t="s">
        <v>24</v>
      </c>
      <c r="H624" t="s">
        <v>38</v>
      </c>
      <c r="I624" t="s">
        <v>145</v>
      </c>
      <c r="J624" t="s">
        <v>146</v>
      </c>
      <c r="K624" t="s">
        <v>28</v>
      </c>
      <c r="L624" t="s">
        <v>124</v>
      </c>
      <c r="M624" t="s">
        <v>1974</v>
      </c>
      <c r="N624" t="s">
        <v>59</v>
      </c>
      <c r="O624">
        <v>4</v>
      </c>
      <c r="P624">
        <v>2759.01</v>
      </c>
      <c r="Q624" s="6">
        <v>0.05</v>
      </c>
      <c r="R624" s="8">
        <f t="shared" si="36"/>
        <v>0.05</v>
      </c>
      <c r="S624">
        <v>10484.24</v>
      </c>
      <c r="T624">
        <v>6680.15</v>
      </c>
      <c r="U624">
        <v>3804.09</v>
      </c>
      <c r="V624" t="s">
        <v>32</v>
      </c>
      <c r="W624" t="s">
        <v>33</v>
      </c>
      <c r="X624" t="str">
        <f t="shared" si="39"/>
        <v/>
      </c>
      <c r="Y624" t="str">
        <f t="shared" si="37"/>
        <v>Exclude</v>
      </c>
    </row>
    <row r="625" spans="1:25">
      <c r="A625" t="s">
        <v>1975</v>
      </c>
      <c r="B625" s="3">
        <v>45512</v>
      </c>
      <c r="C625" s="3">
        <v>45518</v>
      </c>
      <c r="D625" s="6">
        <f t="shared" si="38"/>
        <v>6</v>
      </c>
      <c r="E625" t="s">
        <v>1976</v>
      </c>
      <c r="F625" t="s">
        <v>71</v>
      </c>
      <c r="G625" s="5" t="s">
        <v>95</v>
      </c>
      <c r="H625" t="s">
        <v>25</v>
      </c>
      <c r="I625" t="s">
        <v>122</v>
      </c>
      <c r="J625" t="s">
        <v>123</v>
      </c>
      <c r="K625" t="s">
        <v>28</v>
      </c>
      <c r="L625" t="s">
        <v>124</v>
      </c>
      <c r="M625" t="s">
        <v>1977</v>
      </c>
      <c r="N625" t="s">
        <v>31</v>
      </c>
      <c r="O625">
        <v>8</v>
      </c>
      <c r="P625">
        <v>1359.19</v>
      </c>
      <c r="Q625" s="6">
        <v>0.05</v>
      </c>
      <c r="R625" s="8">
        <f t="shared" si="36"/>
        <v>0.05</v>
      </c>
      <c r="S625">
        <v>10329.84</v>
      </c>
      <c r="T625">
        <v>7512.22</v>
      </c>
      <c r="U625">
        <v>2817.62</v>
      </c>
      <c r="V625" t="s">
        <v>32</v>
      </c>
      <c r="W625" t="s">
        <v>33</v>
      </c>
      <c r="X625" t="str">
        <f t="shared" si="39"/>
        <v/>
      </c>
      <c r="Y625" t="str">
        <f t="shared" si="37"/>
        <v>Exclude</v>
      </c>
    </row>
    <row r="626" spans="1:25">
      <c r="A626" t="s">
        <v>1978</v>
      </c>
      <c r="B626" s="3">
        <v>45321</v>
      </c>
      <c r="C626" s="3">
        <v>45293</v>
      </c>
      <c r="D626" s="6">
        <f t="shared" si="38"/>
        <v>-28</v>
      </c>
      <c r="E626" t="s">
        <v>1979</v>
      </c>
      <c r="F626" t="s">
        <v>79</v>
      </c>
      <c r="G626" s="5" t="s">
        <v>95</v>
      </c>
      <c r="H626" t="s">
        <v>38</v>
      </c>
      <c r="I626" t="s">
        <v>166</v>
      </c>
      <c r="J626" t="s">
        <v>167</v>
      </c>
      <c r="K626" t="s">
        <v>41</v>
      </c>
      <c r="L626" t="s">
        <v>66</v>
      </c>
      <c r="M626" t="s">
        <v>1980</v>
      </c>
      <c r="N626" t="s">
        <v>50</v>
      </c>
      <c r="O626">
        <v>2</v>
      </c>
      <c r="P626">
        <v>4451.03</v>
      </c>
      <c r="Q626" s="6">
        <v>0.05</v>
      </c>
      <c r="R626" s="8">
        <f t="shared" si="36"/>
        <v>0.05</v>
      </c>
      <c r="S626">
        <v>8456.9599999999991</v>
      </c>
      <c r="T626">
        <v>5462.85</v>
      </c>
      <c r="U626">
        <v>2994.11</v>
      </c>
      <c r="V626" t="s">
        <v>32</v>
      </c>
      <c r="W626" t="s">
        <v>33</v>
      </c>
      <c r="X626" t="str">
        <f t="shared" si="39"/>
        <v>INVALID: Ship date before order date</v>
      </c>
      <c r="Y626" t="str">
        <f t="shared" si="37"/>
        <v>Exclude</v>
      </c>
    </row>
    <row r="627" spans="1:25">
      <c r="A627" t="s">
        <v>1981</v>
      </c>
      <c r="B627" s="3">
        <v>45641</v>
      </c>
      <c r="C627" s="3">
        <v>45647</v>
      </c>
      <c r="D627" s="6">
        <f t="shared" si="38"/>
        <v>6</v>
      </c>
      <c r="E627" t="s">
        <v>1982</v>
      </c>
      <c r="F627" t="s">
        <v>162</v>
      </c>
      <c r="G627" s="5" t="s">
        <v>90</v>
      </c>
      <c r="H627" t="s">
        <v>63</v>
      </c>
      <c r="I627" t="s">
        <v>26</v>
      </c>
      <c r="J627" t="s">
        <v>109</v>
      </c>
      <c r="K627" t="s">
        <v>41</v>
      </c>
      <c r="L627" t="s">
        <v>66</v>
      </c>
      <c r="M627" t="s">
        <v>1983</v>
      </c>
      <c r="N627" t="s">
        <v>44</v>
      </c>
      <c r="O627">
        <v>3</v>
      </c>
      <c r="P627">
        <v>527.66999999999996</v>
      </c>
      <c r="Q627" s="6">
        <v>0.2</v>
      </c>
      <c r="R627" s="8">
        <f t="shared" si="36"/>
        <v>0.2</v>
      </c>
      <c r="S627">
        <v>1266.4100000000001</v>
      </c>
      <c r="T627">
        <v>983.92</v>
      </c>
      <c r="U627">
        <v>282.49</v>
      </c>
      <c r="V627" t="s">
        <v>32</v>
      </c>
      <c r="W627" t="s">
        <v>33</v>
      </c>
      <c r="X627" t="str">
        <f t="shared" si="39"/>
        <v/>
      </c>
      <c r="Y627" t="str">
        <f t="shared" si="37"/>
        <v>Exclude</v>
      </c>
    </row>
    <row r="628" spans="1:25">
      <c r="A628" t="s">
        <v>1984</v>
      </c>
      <c r="B628" s="3">
        <v>45812</v>
      </c>
      <c r="C628" s="3">
        <v>45844</v>
      </c>
      <c r="D628" s="6">
        <f t="shared" si="38"/>
        <v>32</v>
      </c>
      <c r="E628" t="s">
        <v>1985</v>
      </c>
      <c r="F628" t="s">
        <v>132</v>
      </c>
      <c r="G628" s="5" t="s">
        <v>95</v>
      </c>
      <c r="H628" t="s">
        <v>38</v>
      </c>
      <c r="I628" t="s">
        <v>166</v>
      </c>
      <c r="J628" t="s">
        <v>167</v>
      </c>
      <c r="K628" t="s">
        <v>74</v>
      </c>
      <c r="L628" t="s">
        <v>275</v>
      </c>
      <c r="M628" t="s">
        <v>1986</v>
      </c>
      <c r="N628" t="s">
        <v>59</v>
      </c>
      <c r="O628">
        <v>8</v>
      </c>
      <c r="P628">
        <v>1434.13</v>
      </c>
      <c r="Q628" s="6">
        <v>0</v>
      </c>
      <c r="R628" s="8">
        <f t="shared" si="36"/>
        <v>0</v>
      </c>
      <c r="S628">
        <v>11473.04</v>
      </c>
      <c r="T628">
        <v>8931.33</v>
      </c>
      <c r="U628">
        <v>2541.71</v>
      </c>
      <c r="V628" t="s">
        <v>111</v>
      </c>
      <c r="W628" t="s">
        <v>103</v>
      </c>
      <c r="X628" t="str">
        <f t="shared" si="39"/>
        <v/>
      </c>
      <c r="Y628" t="str">
        <f t="shared" si="37"/>
        <v>Exclude</v>
      </c>
    </row>
    <row r="629" spans="1:25">
      <c r="A629" t="s">
        <v>1987</v>
      </c>
      <c r="B629" s="3">
        <v>45701</v>
      </c>
      <c r="C629" s="3">
        <v>45709</v>
      </c>
      <c r="D629" s="6">
        <f t="shared" si="38"/>
        <v>8</v>
      </c>
      <c r="E629" t="s">
        <v>1988</v>
      </c>
      <c r="F629" t="s">
        <v>23</v>
      </c>
      <c r="G629" s="5" t="s">
        <v>37</v>
      </c>
      <c r="H629" t="s">
        <v>54</v>
      </c>
      <c r="I629" t="s">
        <v>185</v>
      </c>
      <c r="J629" t="s">
        <v>186</v>
      </c>
      <c r="K629" t="s">
        <v>74</v>
      </c>
      <c r="L629" t="s">
        <v>171</v>
      </c>
      <c r="M629" t="s">
        <v>1989</v>
      </c>
      <c r="N629" t="s">
        <v>31</v>
      </c>
      <c r="O629">
        <v>2</v>
      </c>
      <c r="P629">
        <v>2360.02</v>
      </c>
      <c r="Q629" s="6">
        <v>0.15</v>
      </c>
      <c r="R629" s="8">
        <f t="shared" si="36"/>
        <v>0.15</v>
      </c>
      <c r="S629">
        <v>4012.03</v>
      </c>
      <c r="T629">
        <v>3142.92</v>
      </c>
      <c r="U629">
        <v>869.11</v>
      </c>
      <c r="V629" t="s">
        <v>111</v>
      </c>
      <c r="W629" t="s">
        <v>68</v>
      </c>
      <c r="X629" t="str">
        <f t="shared" si="39"/>
        <v>EXCLUDE: Cancelled order</v>
      </c>
      <c r="Y629" t="str">
        <f t="shared" si="37"/>
        <v>Exclude</v>
      </c>
    </row>
    <row r="630" spans="1:25">
      <c r="A630" t="s">
        <v>1990</v>
      </c>
      <c r="B630" s="3">
        <v>45935</v>
      </c>
      <c r="C630" s="3">
        <v>46001</v>
      </c>
      <c r="D630" s="6">
        <f t="shared" si="38"/>
        <v>66</v>
      </c>
      <c r="E630" t="s">
        <v>1991</v>
      </c>
      <c r="F630" t="s">
        <v>62</v>
      </c>
      <c r="G630" s="5" t="s">
        <v>95</v>
      </c>
      <c r="H630" t="s">
        <v>38</v>
      </c>
      <c r="I630" t="s">
        <v>229</v>
      </c>
      <c r="J630" t="s">
        <v>230</v>
      </c>
      <c r="K630" t="s">
        <v>74</v>
      </c>
      <c r="L630" t="s">
        <v>75</v>
      </c>
      <c r="M630" t="s">
        <v>1992</v>
      </c>
      <c r="N630" t="s">
        <v>44</v>
      </c>
      <c r="O630">
        <v>7</v>
      </c>
      <c r="P630">
        <v>806.67</v>
      </c>
      <c r="Q630" s="6">
        <v>0.05</v>
      </c>
      <c r="R630" s="8">
        <f t="shared" si="36"/>
        <v>0.05</v>
      </c>
      <c r="S630">
        <v>5364.36</v>
      </c>
      <c r="T630">
        <v>4391.29</v>
      </c>
      <c r="U630">
        <v>973.07</v>
      </c>
      <c r="V630" t="s">
        <v>32</v>
      </c>
      <c r="W630" t="s">
        <v>33</v>
      </c>
      <c r="X630" t="str">
        <f t="shared" si="39"/>
        <v/>
      </c>
      <c r="Y630" t="str">
        <f t="shared" si="37"/>
        <v>Exclude</v>
      </c>
    </row>
    <row r="631" spans="1:25">
      <c r="A631" t="s">
        <v>1993</v>
      </c>
      <c r="B631" s="3">
        <v>45939</v>
      </c>
      <c r="C631" s="3">
        <v>45914</v>
      </c>
      <c r="D631" s="6">
        <f t="shared" si="38"/>
        <v>-25</v>
      </c>
      <c r="E631" t="s">
        <v>1994</v>
      </c>
      <c r="F631" t="s">
        <v>53</v>
      </c>
      <c r="G631" s="5" t="s">
        <v>95</v>
      </c>
      <c r="H631" t="s">
        <v>63</v>
      </c>
      <c r="I631" t="s">
        <v>180</v>
      </c>
      <c r="J631" t="s">
        <v>181</v>
      </c>
      <c r="K631" t="s">
        <v>41</v>
      </c>
      <c r="L631" t="s">
        <v>42</v>
      </c>
      <c r="M631" t="s">
        <v>1995</v>
      </c>
      <c r="N631" t="s">
        <v>44</v>
      </c>
      <c r="O631">
        <v>3</v>
      </c>
      <c r="P631">
        <v>4198.46</v>
      </c>
      <c r="Q631" s="6">
        <v>0.15</v>
      </c>
      <c r="R631" s="8">
        <f t="shared" si="36"/>
        <v>0.15</v>
      </c>
      <c r="S631">
        <v>10706.07</v>
      </c>
      <c r="T631">
        <v>5927.1</v>
      </c>
      <c r="U631">
        <v>4778.97</v>
      </c>
      <c r="V631" t="s">
        <v>32</v>
      </c>
      <c r="W631" t="s">
        <v>33</v>
      </c>
      <c r="X631" t="str">
        <f t="shared" si="39"/>
        <v>INVALID: Ship date before order date</v>
      </c>
      <c r="Y631" t="str">
        <f t="shared" si="37"/>
        <v>Exclude</v>
      </c>
    </row>
    <row r="632" spans="1:25">
      <c r="A632" t="s">
        <v>1996</v>
      </c>
      <c r="B632" s="3">
        <v>45391</v>
      </c>
      <c r="C632" s="3">
        <v>45569</v>
      </c>
      <c r="D632" s="6">
        <f t="shared" si="38"/>
        <v>178</v>
      </c>
      <c r="E632" t="s">
        <v>1997</v>
      </c>
      <c r="F632" t="s">
        <v>114</v>
      </c>
      <c r="G632" s="5" t="s">
        <v>90</v>
      </c>
      <c r="H632" t="s">
        <v>38</v>
      </c>
      <c r="I632" t="s">
        <v>166</v>
      </c>
      <c r="J632" t="s">
        <v>167</v>
      </c>
      <c r="K632" t="s">
        <v>28</v>
      </c>
      <c r="L632" t="s">
        <v>29</v>
      </c>
      <c r="M632" t="s">
        <v>1998</v>
      </c>
      <c r="N632" t="s">
        <v>59</v>
      </c>
      <c r="O632">
        <v>4</v>
      </c>
      <c r="P632">
        <v>3047.05</v>
      </c>
      <c r="Q632" s="6">
        <v>0.1</v>
      </c>
      <c r="R632" s="8">
        <f t="shared" si="36"/>
        <v>0.1</v>
      </c>
      <c r="S632">
        <v>10969.38</v>
      </c>
      <c r="T632">
        <v>9254.4599999999991</v>
      </c>
      <c r="U632">
        <v>1714.92</v>
      </c>
      <c r="V632" t="s">
        <v>32</v>
      </c>
      <c r="W632" t="s">
        <v>33</v>
      </c>
      <c r="X632" t="str">
        <f t="shared" si="39"/>
        <v/>
      </c>
      <c r="Y632" t="str">
        <f t="shared" si="37"/>
        <v>Exclude</v>
      </c>
    </row>
    <row r="633" spans="1:25">
      <c r="A633" t="s">
        <v>1999</v>
      </c>
      <c r="B633" s="3">
        <v>45392</v>
      </c>
      <c r="C633" s="3">
        <v>45397</v>
      </c>
      <c r="D633" s="6">
        <f t="shared" si="38"/>
        <v>5</v>
      </c>
      <c r="E633" t="s">
        <v>2000</v>
      </c>
      <c r="F633" t="s">
        <v>128</v>
      </c>
      <c r="G633" s="5" t="s">
        <v>95</v>
      </c>
      <c r="H633" t="s">
        <v>63</v>
      </c>
      <c r="I633" t="s">
        <v>26</v>
      </c>
      <c r="J633" t="s">
        <v>109</v>
      </c>
      <c r="K633" t="s">
        <v>41</v>
      </c>
      <c r="L633" t="s">
        <v>66</v>
      </c>
      <c r="M633" t="s">
        <v>2001</v>
      </c>
      <c r="N633" t="s">
        <v>59</v>
      </c>
      <c r="O633">
        <v>8</v>
      </c>
      <c r="P633">
        <v>4362.4799999999996</v>
      </c>
      <c r="Q633" s="6">
        <v>0.1</v>
      </c>
      <c r="R633" s="8">
        <f t="shared" si="36"/>
        <v>0.1</v>
      </c>
      <c r="S633">
        <v>31409.86</v>
      </c>
      <c r="T633">
        <v>22523.54</v>
      </c>
      <c r="U633">
        <v>8886.32</v>
      </c>
      <c r="V633" t="s">
        <v>32</v>
      </c>
      <c r="W633" t="s">
        <v>33</v>
      </c>
      <c r="X633" t="str">
        <f t="shared" si="39"/>
        <v/>
      </c>
      <c r="Y633" t="str">
        <f t="shared" si="37"/>
        <v>Exclude</v>
      </c>
    </row>
    <row r="634" spans="1:25">
      <c r="A634" t="s">
        <v>2002</v>
      </c>
      <c r="B634" s="3">
        <v>45762</v>
      </c>
      <c r="C634" s="3">
        <v>45763</v>
      </c>
      <c r="D634" s="6">
        <f t="shared" si="38"/>
        <v>1</v>
      </c>
      <c r="E634" t="s">
        <v>2003</v>
      </c>
      <c r="F634" t="s">
        <v>132</v>
      </c>
      <c r="G634" s="5" t="s">
        <v>37</v>
      </c>
      <c r="H634" t="s">
        <v>54</v>
      </c>
      <c r="I634" t="s">
        <v>175</v>
      </c>
      <c r="J634" t="s">
        <v>176</v>
      </c>
      <c r="K634" t="s">
        <v>41</v>
      </c>
      <c r="L634" t="s">
        <v>57</v>
      </c>
      <c r="M634" t="s">
        <v>2004</v>
      </c>
      <c r="N634" t="s">
        <v>50</v>
      </c>
      <c r="O634">
        <v>5</v>
      </c>
      <c r="P634">
        <v>2850.53</v>
      </c>
      <c r="Q634" s="6">
        <v>0</v>
      </c>
      <c r="R634" s="8">
        <f t="shared" si="36"/>
        <v>0</v>
      </c>
      <c r="S634">
        <v>14252.65</v>
      </c>
      <c r="T634">
        <v>11558.31</v>
      </c>
      <c r="U634">
        <v>2694.34</v>
      </c>
      <c r="V634" t="s">
        <v>32</v>
      </c>
      <c r="W634" t="s">
        <v>33</v>
      </c>
      <c r="X634" t="str">
        <f t="shared" si="39"/>
        <v/>
      </c>
      <c r="Y634" t="str">
        <f t="shared" si="37"/>
        <v>Exclude</v>
      </c>
    </row>
    <row r="635" spans="1:25">
      <c r="A635" t="s">
        <v>2005</v>
      </c>
      <c r="B635" s="3">
        <v>45765</v>
      </c>
      <c r="C635" s="3">
        <v>45767</v>
      </c>
      <c r="D635" s="6">
        <f t="shared" si="38"/>
        <v>2</v>
      </c>
      <c r="E635" t="s">
        <v>2006</v>
      </c>
      <c r="F635" t="s">
        <v>128</v>
      </c>
      <c r="G635" s="5" t="s">
        <v>37</v>
      </c>
      <c r="H635" t="s">
        <v>54</v>
      </c>
      <c r="I635" t="s">
        <v>248</v>
      </c>
      <c r="J635" t="s">
        <v>249</v>
      </c>
      <c r="K635" t="s">
        <v>74</v>
      </c>
      <c r="L635" t="s">
        <v>75</v>
      </c>
      <c r="M635" t="s">
        <v>2007</v>
      </c>
      <c r="N635" t="s">
        <v>31</v>
      </c>
      <c r="O635">
        <v>1</v>
      </c>
      <c r="P635">
        <v>1626.08</v>
      </c>
      <c r="Q635" s="6">
        <v>0.15</v>
      </c>
      <c r="R635" s="8">
        <f t="shared" si="36"/>
        <v>0.15</v>
      </c>
      <c r="S635">
        <v>1382.17</v>
      </c>
      <c r="T635">
        <v>810.03</v>
      </c>
      <c r="U635">
        <v>572.14</v>
      </c>
      <c r="V635" t="s">
        <v>32</v>
      </c>
      <c r="W635" t="s">
        <v>33</v>
      </c>
      <c r="X635" t="str">
        <f t="shared" si="39"/>
        <v/>
      </c>
      <c r="Y635" t="str">
        <f t="shared" si="37"/>
        <v>Exclude</v>
      </c>
    </row>
    <row r="636" spans="1:25">
      <c r="A636" t="s">
        <v>2008</v>
      </c>
      <c r="B636" s="3">
        <v>45962</v>
      </c>
      <c r="C636" s="3">
        <v>45992</v>
      </c>
      <c r="D636" s="6">
        <f t="shared" si="38"/>
        <v>30</v>
      </c>
      <c r="E636" t="s">
        <v>2009</v>
      </c>
      <c r="F636" t="s">
        <v>89</v>
      </c>
      <c r="G636" s="5" t="s">
        <v>24</v>
      </c>
      <c r="H636" t="s">
        <v>54</v>
      </c>
      <c r="I636" t="s">
        <v>55</v>
      </c>
      <c r="J636" t="s">
        <v>56</v>
      </c>
      <c r="K636" t="s">
        <v>41</v>
      </c>
      <c r="L636" t="s">
        <v>66</v>
      </c>
      <c r="M636" t="s">
        <v>2010</v>
      </c>
      <c r="N636" t="s">
        <v>31</v>
      </c>
      <c r="O636">
        <v>4</v>
      </c>
      <c r="P636">
        <v>2427.15</v>
      </c>
      <c r="Q636" s="6">
        <v>0.05</v>
      </c>
      <c r="R636" s="8">
        <f t="shared" si="36"/>
        <v>0.05</v>
      </c>
      <c r="S636">
        <v>9223.17</v>
      </c>
      <c r="T636">
        <v>5103.7</v>
      </c>
      <c r="U636">
        <v>4119.47</v>
      </c>
      <c r="V636" t="s">
        <v>32</v>
      </c>
      <c r="W636" t="s">
        <v>33</v>
      </c>
      <c r="X636" t="str">
        <f t="shared" si="39"/>
        <v/>
      </c>
      <c r="Y636" t="str">
        <f t="shared" si="37"/>
        <v>Exclude</v>
      </c>
    </row>
    <row r="637" spans="1:25">
      <c r="A637" t="s">
        <v>2011</v>
      </c>
      <c r="B637" s="3">
        <v>45432</v>
      </c>
      <c r="C637" s="3">
        <v>45437</v>
      </c>
      <c r="D637" s="6">
        <f t="shared" si="38"/>
        <v>5</v>
      </c>
      <c r="E637" t="s">
        <v>2012</v>
      </c>
      <c r="F637" t="s">
        <v>36</v>
      </c>
      <c r="G637" s="5" t="s">
        <v>90</v>
      </c>
      <c r="H637" t="s">
        <v>54</v>
      </c>
      <c r="I637" t="s">
        <v>84</v>
      </c>
      <c r="J637" t="s">
        <v>85</v>
      </c>
      <c r="K637" t="s">
        <v>41</v>
      </c>
      <c r="L637" t="s">
        <v>66</v>
      </c>
      <c r="M637" t="s">
        <v>2013</v>
      </c>
      <c r="N637" t="s">
        <v>44</v>
      </c>
      <c r="O637">
        <v>7</v>
      </c>
      <c r="P637">
        <v>3122.85</v>
      </c>
      <c r="Q637" s="6">
        <v>0.25</v>
      </c>
      <c r="R637" s="8">
        <f t="shared" si="36"/>
        <v>0.25</v>
      </c>
      <c r="S637">
        <v>16394.96</v>
      </c>
      <c r="T637">
        <v>10404.17</v>
      </c>
      <c r="U637">
        <v>5990.79</v>
      </c>
      <c r="V637" t="s">
        <v>32</v>
      </c>
      <c r="W637" t="s">
        <v>33</v>
      </c>
      <c r="X637" t="str">
        <f t="shared" si="39"/>
        <v/>
      </c>
      <c r="Y637" t="str">
        <f t="shared" si="37"/>
        <v>Exclude</v>
      </c>
    </row>
    <row r="638" spans="1:25">
      <c r="A638" t="s">
        <v>2014</v>
      </c>
      <c r="B638" s="3">
        <v>45567</v>
      </c>
      <c r="C638" s="3">
        <v>45545</v>
      </c>
      <c r="D638" s="6">
        <f t="shared" si="38"/>
        <v>-22</v>
      </c>
      <c r="E638" t="s">
        <v>2015</v>
      </c>
      <c r="F638" t="s">
        <v>62</v>
      </c>
      <c r="G638" s="5" t="s">
        <v>24</v>
      </c>
      <c r="H638" t="s">
        <v>54</v>
      </c>
      <c r="I638" t="s">
        <v>248</v>
      </c>
      <c r="J638" t="s">
        <v>249</v>
      </c>
      <c r="K638" t="s">
        <v>28</v>
      </c>
      <c r="L638" t="s">
        <v>29</v>
      </c>
      <c r="M638" t="s">
        <v>2016</v>
      </c>
      <c r="N638" t="s">
        <v>59</v>
      </c>
      <c r="O638">
        <v>8</v>
      </c>
      <c r="P638">
        <v>1910.31</v>
      </c>
      <c r="Q638" s="6">
        <v>0.15</v>
      </c>
      <c r="R638" s="8">
        <f t="shared" si="36"/>
        <v>0.15</v>
      </c>
      <c r="S638">
        <v>12990.11</v>
      </c>
      <c r="T638">
        <v>10200.799999999999</v>
      </c>
      <c r="U638">
        <v>2789.31</v>
      </c>
      <c r="V638" t="s">
        <v>32</v>
      </c>
      <c r="W638" t="s">
        <v>33</v>
      </c>
      <c r="X638" t="str">
        <f t="shared" si="39"/>
        <v>INVALID: Ship date before order date</v>
      </c>
      <c r="Y638" t="str">
        <f t="shared" si="37"/>
        <v>Exclude</v>
      </c>
    </row>
    <row r="639" spans="1:25">
      <c r="A639" t="s">
        <v>2017</v>
      </c>
      <c r="B639" s="3">
        <v>45438</v>
      </c>
      <c r="C639" s="3">
        <v>45438</v>
      </c>
      <c r="D639" s="6">
        <f t="shared" si="38"/>
        <v>0</v>
      </c>
      <c r="E639" t="s">
        <v>2018</v>
      </c>
      <c r="F639" t="s">
        <v>118</v>
      </c>
      <c r="G639" s="5" t="s">
        <v>37</v>
      </c>
      <c r="H639" t="s">
        <v>63</v>
      </c>
      <c r="I639" t="s">
        <v>190</v>
      </c>
      <c r="J639" t="s">
        <v>191</v>
      </c>
      <c r="K639" t="s">
        <v>74</v>
      </c>
      <c r="L639" t="s">
        <v>80</v>
      </c>
      <c r="M639" t="s">
        <v>2019</v>
      </c>
      <c r="N639" t="s">
        <v>50</v>
      </c>
      <c r="O639">
        <v>2</v>
      </c>
      <c r="P639">
        <v>3192.47</v>
      </c>
      <c r="Q639" s="6">
        <v>0.2</v>
      </c>
      <c r="R639" s="8">
        <f t="shared" si="36"/>
        <v>0.2</v>
      </c>
      <c r="S639">
        <v>5107.95</v>
      </c>
      <c r="T639">
        <v>3133.08</v>
      </c>
      <c r="U639">
        <v>1974.87</v>
      </c>
      <c r="V639" t="s">
        <v>32</v>
      </c>
      <c r="W639" t="s">
        <v>33</v>
      </c>
      <c r="X639" t="str">
        <f t="shared" si="39"/>
        <v/>
      </c>
      <c r="Y639" t="str">
        <f t="shared" si="37"/>
        <v>Exclude</v>
      </c>
    </row>
    <row r="640" spans="1:25">
      <c r="A640" t="s">
        <v>2020</v>
      </c>
      <c r="B640" s="3">
        <v>45317</v>
      </c>
      <c r="C640" s="3">
        <v>45322</v>
      </c>
      <c r="D640" s="6">
        <f t="shared" si="38"/>
        <v>5</v>
      </c>
      <c r="E640" t="s">
        <v>2021</v>
      </c>
      <c r="F640" t="s">
        <v>23</v>
      </c>
      <c r="G640" s="5" t="s">
        <v>90</v>
      </c>
      <c r="H640" t="s">
        <v>54</v>
      </c>
      <c r="I640" t="s">
        <v>185</v>
      </c>
      <c r="J640" t="s">
        <v>186</v>
      </c>
      <c r="K640" t="s">
        <v>28</v>
      </c>
      <c r="L640" t="s">
        <v>124</v>
      </c>
      <c r="M640" t="s">
        <v>2022</v>
      </c>
      <c r="N640" t="s">
        <v>31</v>
      </c>
      <c r="O640">
        <v>3</v>
      </c>
      <c r="P640">
        <v>3224.32</v>
      </c>
      <c r="Q640" s="6">
        <v>0.2</v>
      </c>
      <c r="R640" s="8">
        <f t="shared" si="36"/>
        <v>0.2</v>
      </c>
      <c r="S640">
        <v>7738.37</v>
      </c>
      <c r="T640">
        <v>4626.8500000000004</v>
      </c>
      <c r="U640">
        <v>3111.52</v>
      </c>
      <c r="V640" t="s">
        <v>155</v>
      </c>
      <c r="W640" t="s">
        <v>103</v>
      </c>
      <c r="X640" t="str">
        <f t="shared" si="39"/>
        <v>EXCLUDE: Failed payment</v>
      </c>
      <c r="Y640" t="str">
        <f t="shared" si="37"/>
        <v>Exclude</v>
      </c>
    </row>
    <row r="641" spans="1:25">
      <c r="A641" t="s">
        <v>2023</v>
      </c>
      <c r="B641" s="3">
        <v>45653</v>
      </c>
      <c r="C641" s="3">
        <v>45657</v>
      </c>
      <c r="D641" s="6">
        <f t="shared" si="38"/>
        <v>4</v>
      </c>
      <c r="E641" t="s">
        <v>2024</v>
      </c>
      <c r="F641" t="s">
        <v>47</v>
      </c>
      <c r="G641" s="5" t="s">
        <v>37</v>
      </c>
      <c r="H641" t="s">
        <v>38</v>
      </c>
      <c r="I641" t="s">
        <v>39</v>
      </c>
      <c r="J641" t="s">
        <v>40</v>
      </c>
      <c r="K641" t="s">
        <v>41</v>
      </c>
      <c r="L641" t="s">
        <v>66</v>
      </c>
      <c r="M641" t="s">
        <v>2025</v>
      </c>
      <c r="N641" t="s">
        <v>31</v>
      </c>
      <c r="O641">
        <v>1</v>
      </c>
      <c r="P641">
        <v>1594.7</v>
      </c>
      <c r="Q641" s="6">
        <v>0.05</v>
      </c>
      <c r="R641" s="8">
        <f t="shared" si="36"/>
        <v>0.05</v>
      </c>
      <c r="S641">
        <v>1514.96</v>
      </c>
      <c r="T641">
        <v>1046.17</v>
      </c>
      <c r="U641">
        <v>468.79</v>
      </c>
      <c r="V641" t="s">
        <v>32</v>
      </c>
      <c r="W641" t="s">
        <v>33</v>
      </c>
      <c r="X641" t="str">
        <f t="shared" si="39"/>
        <v/>
      </c>
      <c r="Y641" t="str">
        <f t="shared" si="37"/>
        <v>Exclude</v>
      </c>
    </row>
    <row r="642" spans="1:25">
      <c r="A642" t="s">
        <v>2026</v>
      </c>
      <c r="B642" s="3">
        <v>45671</v>
      </c>
      <c r="C642" s="3">
        <v>45674</v>
      </c>
      <c r="D642" s="6">
        <f t="shared" si="38"/>
        <v>3</v>
      </c>
      <c r="E642" t="s">
        <v>2027</v>
      </c>
      <c r="F642" t="s">
        <v>71</v>
      </c>
      <c r="G642" s="5" t="s">
        <v>24</v>
      </c>
      <c r="H642" t="s">
        <v>63</v>
      </c>
      <c r="I642" t="s">
        <v>190</v>
      </c>
      <c r="J642" t="s">
        <v>191</v>
      </c>
      <c r="K642" t="s">
        <v>28</v>
      </c>
      <c r="L642" t="s">
        <v>124</v>
      </c>
      <c r="M642" t="s">
        <v>2028</v>
      </c>
      <c r="N642" t="s">
        <v>50</v>
      </c>
      <c r="O642">
        <v>1</v>
      </c>
      <c r="P642">
        <v>1584.12</v>
      </c>
      <c r="Q642" s="6">
        <v>0.2</v>
      </c>
      <c r="R642" s="8">
        <f t="shared" ref="R642:R705" si="40">IF(ISBLANK(Q642),IF(AND(ISNUMBER(O642),O642&gt;0,ISNUMBER(P642),ISNUMBER(S642),ISNUMBER(T642),ISNUMBER(U642)),0,""),Q642)</f>
        <v>0.2</v>
      </c>
      <c r="S642">
        <v>1267.3</v>
      </c>
      <c r="T642">
        <v>923.53</v>
      </c>
      <c r="U642">
        <v>343.77</v>
      </c>
      <c r="V642" t="s">
        <v>32</v>
      </c>
      <c r="W642" t="s">
        <v>33</v>
      </c>
      <c r="X642" t="str">
        <f t="shared" si="39"/>
        <v/>
      </c>
      <c r="Y642" t="str">
        <f t="shared" ref="Y642:Y705" si="41">IF(AND(U642="Completed",T642="Paid",ISERROR(SEARCH("INVALID",W642))),"Include","Exclude")</f>
        <v>Exclude</v>
      </c>
    </row>
    <row r="643" spans="1:25">
      <c r="A643" t="s">
        <v>2029</v>
      </c>
      <c r="B643" s="3">
        <v>45756</v>
      </c>
      <c r="C643" s="3">
        <v>45761</v>
      </c>
      <c r="D643" s="6">
        <f t="shared" ref="D643:D706" si="42">IF(OR(B643="",C643=""),"",C643-B643)</f>
        <v>5</v>
      </c>
      <c r="E643" t="s">
        <v>2030</v>
      </c>
      <c r="F643" t="s">
        <v>23</v>
      </c>
      <c r="G643" s="5" t="s">
        <v>24</v>
      </c>
      <c r="H643" t="s">
        <v>25</v>
      </c>
      <c r="I643" t="s">
        <v>351</v>
      </c>
      <c r="J643" t="s">
        <v>352</v>
      </c>
      <c r="K643" t="s">
        <v>41</v>
      </c>
      <c r="L643" t="s">
        <v>57</v>
      </c>
      <c r="M643" t="s">
        <v>2031</v>
      </c>
      <c r="N643" t="s">
        <v>44</v>
      </c>
      <c r="O643">
        <v>2</v>
      </c>
      <c r="P643">
        <v>3202.87</v>
      </c>
      <c r="Q643" s="6">
        <v>0</v>
      </c>
      <c r="R643" s="8">
        <f t="shared" si="40"/>
        <v>0</v>
      </c>
      <c r="S643">
        <v>6405.74</v>
      </c>
      <c r="T643">
        <v>3561.87</v>
      </c>
      <c r="U643">
        <v>2843.87</v>
      </c>
      <c r="V643" t="s">
        <v>32</v>
      </c>
      <c r="W643" t="s">
        <v>33</v>
      </c>
      <c r="X643" t="str">
        <f t="shared" ref="X643:X706" si="43">_xlfn.TEXTJOIN("; ",TRUE,IF(R643&lt;0,"INVALID: Negative discount",""),IF(R643&gt;50%,"INVALID: Discount above range",""),IF(D643&lt;0,"INVALID: Ship date before order date",""),IF(W643="Cancelled","EXCLUDE: Cancelled order",""),IF(V643="Failed","EXCLUDE: Failed payment",""),IF(V643="Refunded","REFUND: Summarize separately",""))</f>
        <v/>
      </c>
      <c r="Y643" t="str">
        <f t="shared" si="41"/>
        <v>Exclude</v>
      </c>
    </row>
    <row r="644" spans="1:25">
      <c r="A644" t="s">
        <v>2032</v>
      </c>
      <c r="B644" s="3">
        <v>45533</v>
      </c>
      <c r="C644" s="3">
        <v>45535</v>
      </c>
      <c r="D644" s="6">
        <f t="shared" si="42"/>
        <v>2</v>
      </c>
      <c r="E644" t="s">
        <v>2033</v>
      </c>
      <c r="F644" t="s">
        <v>47</v>
      </c>
      <c r="G644" s="5" t="s">
        <v>95</v>
      </c>
      <c r="H644" t="s">
        <v>38</v>
      </c>
      <c r="I644" t="s">
        <v>166</v>
      </c>
      <c r="J644" t="s">
        <v>167</v>
      </c>
      <c r="K644" t="s">
        <v>28</v>
      </c>
      <c r="L644" t="s">
        <v>2034</v>
      </c>
      <c r="M644" t="s">
        <v>2035</v>
      </c>
      <c r="N644" t="s">
        <v>31</v>
      </c>
      <c r="O644">
        <v>9</v>
      </c>
      <c r="P644">
        <v>1275.21</v>
      </c>
      <c r="Q644" s="6">
        <v>0.25</v>
      </c>
      <c r="R644" s="8">
        <f t="shared" si="40"/>
        <v>0.25</v>
      </c>
      <c r="S644">
        <v>8607.67</v>
      </c>
      <c r="T644">
        <v>5337.64</v>
      </c>
      <c r="U644">
        <v>3270.03</v>
      </c>
      <c r="V644" t="s">
        <v>155</v>
      </c>
      <c r="W644" t="s">
        <v>103</v>
      </c>
      <c r="X644" t="str">
        <f t="shared" si="43"/>
        <v>EXCLUDE: Failed payment</v>
      </c>
      <c r="Y644" t="str">
        <f t="shared" si="41"/>
        <v>Exclude</v>
      </c>
    </row>
    <row r="645" spans="1:25">
      <c r="A645" t="s">
        <v>2036</v>
      </c>
      <c r="B645" s="3">
        <v>45327</v>
      </c>
      <c r="C645" s="3">
        <v>45335</v>
      </c>
      <c r="D645" s="6">
        <f t="shared" si="42"/>
        <v>8</v>
      </c>
      <c r="E645" t="s">
        <v>724</v>
      </c>
      <c r="F645" t="s">
        <v>128</v>
      </c>
      <c r="G645" s="5" t="s">
        <v>95</v>
      </c>
      <c r="H645" t="s">
        <v>25</v>
      </c>
      <c r="I645" t="s">
        <v>136</v>
      </c>
      <c r="J645" t="s">
        <v>137</v>
      </c>
      <c r="K645" t="s">
        <v>28</v>
      </c>
      <c r="L645" t="s">
        <v>91</v>
      </c>
      <c r="M645" t="s">
        <v>2037</v>
      </c>
      <c r="N645" t="s">
        <v>59</v>
      </c>
      <c r="O645">
        <v>8</v>
      </c>
      <c r="P645">
        <v>3871.18</v>
      </c>
      <c r="Q645" s="6">
        <v>0.15</v>
      </c>
      <c r="R645" s="8">
        <f t="shared" si="40"/>
        <v>0.15</v>
      </c>
      <c r="S645">
        <v>26324.02</v>
      </c>
      <c r="T645">
        <v>16277.96</v>
      </c>
      <c r="U645">
        <v>10046.06</v>
      </c>
      <c r="V645" t="s">
        <v>155</v>
      </c>
      <c r="W645" t="s">
        <v>103</v>
      </c>
      <c r="X645" t="str">
        <f t="shared" si="43"/>
        <v>EXCLUDE: Failed payment</v>
      </c>
      <c r="Y645" t="str">
        <f t="shared" si="41"/>
        <v>Exclude</v>
      </c>
    </row>
    <row r="646" spans="1:25">
      <c r="A646" t="s">
        <v>2038</v>
      </c>
      <c r="B646" s="3">
        <v>45757</v>
      </c>
      <c r="C646" s="3">
        <v>45764</v>
      </c>
      <c r="D646" s="6">
        <f t="shared" si="42"/>
        <v>7</v>
      </c>
      <c r="E646" t="s">
        <v>2039</v>
      </c>
      <c r="F646" t="s">
        <v>71</v>
      </c>
      <c r="G646" s="5" t="s">
        <v>24</v>
      </c>
      <c r="H646" t="s">
        <v>38</v>
      </c>
      <c r="I646" t="s">
        <v>99</v>
      </c>
      <c r="J646" t="s">
        <v>100</v>
      </c>
      <c r="K646" t="s">
        <v>41</v>
      </c>
      <c r="L646" t="s">
        <v>66</v>
      </c>
      <c r="M646" t="s">
        <v>2040</v>
      </c>
      <c r="N646" t="s">
        <v>59</v>
      </c>
      <c r="O646">
        <v>4</v>
      </c>
      <c r="P646">
        <v>3750.02</v>
      </c>
      <c r="Q646" s="6">
        <v>0.05</v>
      </c>
      <c r="R646" s="8">
        <f t="shared" si="40"/>
        <v>0.05</v>
      </c>
      <c r="S646">
        <v>14250.08</v>
      </c>
      <c r="T646">
        <v>10914.92</v>
      </c>
      <c r="U646">
        <v>3335.16</v>
      </c>
      <c r="V646" t="s">
        <v>32</v>
      </c>
      <c r="W646" t="s">
        <v>33</v>
      </c>
      <c r="X646" t="str">
        <f t="shared" si="43"/>
        <v/>
      </c>
      <c r="Y646" t="str">
        <f t="shared" si="41"/>
        <v>Exclude</v>
      </c>
    </row>
    <row r="647" spans="1:25">
      <c r="A647" t="s">
        <v>2041</v>
      </c>
      <c r="B647" s="3">
        <v>45295</v>
      </c>
      <c r="C647" s="3">
        <v>45300</v>
      </c>
      <c r="D647" s="6">
        <f t="shared" si="42"/>
        <v>5</v>
      </c>
      <c r="E647" t="s">
        <v>2042</v>
      </c>
      <c r="F647" t="s">
        <v>265</v>
      </c>
      <c r="G647" s="5" t="s">
        <v>24</v>
      </c>
      <c r="H647" t="s">
        <v>38</v>
      </c>
      <c r="I647" t="s">
        <v>145</v>
      </c>
      <c r="J647" t="s">
        <v>146</v>
      </c>
      <c r="K647" t="s">
        <v>41</v>
      </c>
      <c r="L647" t="s">
        <v>66</v>
      </c>
      <c r="M647" t="s">
        <v>2043</v>
      </c>
      <c r="N647" t="s">
        <v>31</v>
      </c>
      <c r="O647">
        <v>6</v>
      </c>
      <c r="P647">
        <v>2423.61</v>
      </c>
      <c r="Q647" s="6">
        <v>0.1</v>
      </c>
      <c r="R647" s="8">
        <f t="shared" si="40"/>
        <v>0.1</v>
      </c>
      <c r="S647">
        <v>13087.49</v>
      </c>
      <c r="T647">
        <v>7608.89</v>
      </c>
      <c r="U647">
        <v>5133.22</v>
      </c>
      <c r="V647" t="s">
        <v>32</v>
      </c>
      <c r="W647" t="s">
        <v>33</v>
      </c>
      <c r="X647" t="str">
        <f t="shared" si="43"/>
        <v/>
      </c>
      <c r="Y647" t="str">
        <f t="shared" si="41"/>
        <v>Exclude</v>
      </c>
    </row>
    <row r="648" spans="1:25">
      <c r="A648" t="s">
        <v>2044</v>
      </c>
      <c r="B648" s="3">
        <v>45553</v>
      </c>
      <c r="C648" s="3">
        <v>45559</v>
      </c>
      <c r="D648" s="6">
        <f t="shared" si="42"/>
        <v>6</v>
      </c>
      <c r="E648" t="s">
        <v>2045</v>
      </c>
      <c r="F648" t="s">
        <v>71</v>
      </c>
      <c r="G648" s="5" t="s">
        <v>37</v>
      </c>
      <c r="H648" t="s">
        <v>38</v>
      </c>
      <c r="I648" t="s">
        <v>229</v>
      </c>
      <c r="J648" t="s">
        <v>230</v>
      </c>
      <c r="K648" t="s">
        <v>74</v>
      </c>
      <c r="L648" t="s">
        <v>275</v>
      </c>
      <c r="M648" t="s">
        <v>2046</v>
      </c>
      <c r="N648" t="s">
        <v>50</v>
      </c>
      <c r="O648">
        <v>3</v>
      </c>
      <c r="P648">
        <v>729.14</v>
      </c>
      <c r="Q648" s="6">
        <v>0.25</v>
      </c>
      <c r="R648" s="8">
        <f t="shared" si="40"/>
        <v>0.25</v>
      </c>
      <c r="S648">
        <v>1640.57</v>
      </c>
      <c r="T648">
        <v>1136.98</v>
      </c>
      <c r="U648">
        <v>503.59</v>
      </c>
      <c r="V648" t="s">
        <v>32</v>
      </c>
      <c r="W648" t="s">
        <v>33</v>
      </c>
      <c r="X648" t="str">
        <f t="shared" si="43"/>
        <v/>
      </c>
      <c r="Y648" t="str">
        <f t="shared" si="41"/>
        <v>Exclude</v>
      </c>
    </row>
    <row r="649" spans="1:25">
      <c r="A649" t="s">
        <v>2047</v>
      </c>
      <c r="B649" s="3">
        <v>45658</v>
      </c>
      <c r="C649" s="3">
        <v>45666</v>
      </c>
      <c r="D649" s="6">
        <f t="shared" si="42"/>
        <v>8</v>
      </c>
      <c r="E649" t="s">
        <v>2048</v>
      </c>
      <c r="F649" t="s">
        <v>141</v>
      </c>
      <c r="G649" s="5" t="s">
        <v>37</v>
      </c>
      <c r="H649" t="s">
        <v>25</v>
      </c>
      <c r="I649" t="s">
        <v>122</v>
      </c>
      <c r="J649" t="s">
        <v>123</v>
      </c>
      <c r="K649" t="s">
        <v>28</v>
      </c>
      <c r="L649" t="s">
        <v>48</v>
      </c>
      <c r="M649" t="s">
        <v>2049</v>
      </c>
      <c r="N649" t="s">
        <v>50</v>
      </c>
      <c r="O649">
        <v>8</v>
      </c>
      <c r="P649">
        <v>2123.81</v>
      </c>
      <c r="Q649" s="6">
        <v>0.15</v>
      </c>
      <c r="R649" s="8">
        <f t="shared" si="40"/>
        <v>0.15</v>
      </c>
      <c r="S649">
        <v>14441.91</v>
      </c>
      <c r="T649">
        <v>10872.89</v>
      </c>
      <c r="U649">
        <v>3569.02</v>
      </c>
      <c r="V649" t="s">
        <v>32</v>
      </c>
      <c r="W649" t="s">
        <v>33</v>
      </c>
      <c r="X649" t="str">
        <f t="shared" si="43"/>
        <v/>
      </c>
      <c r="Y649" t="str">
        <f t="shared" si="41"/>
        <v>Exclude</v>
      </c>
    </row>
    <row r="650" spans="1:25">
      <c r="A650" t="s">
        <v>2050</v>
      </c>
      <c r="B650" s="3">
        <v>45403</v>
      </c>
      <c r="C650" s="3">
        <v>45406</v>
      </c>
      <c r="D650" s="6">
        <f t="shared" si="42"/>
        <v>3</v>
      </c>
      <c r="E650" t="s">
        <v>2051</v>
      </c>
      <c r="F650" t="s">
        <v>79</v>
      </c>
      <c r="G650" s="5" t="s">
        <v>37</v>
      </c>
      <c r="H650" t="s">
        <v>54</v>
      </c>
      <c r="I650" t="s">
        <v>84</v>
      </c>
      <c r="J650" t="s">
        <v>85</v>
      </c>
      <c r="K650" t="s">
        <v>28</v>
      </c>
      <c r="L650" t="s">
        <v>48</v>
      </c>
      <c r="M650" t="s">
        <v>2052</v>
      </c>
      <c r="N650" t="s">
        <v>44</v>
      </c>
      <c r="O650">
        <v>9</v>
      </c>
      <c r="P650">
        <v>703.59</v>
      </c>
      <c r="Q650" s="6">
        <v>0.2</v>
      </c>
      <c r="R650" s="8">
        <f t="shared" si="40"/>
        <v>0.2</v>
      </c>
      <c r="S650">
        <v>5065.8500000000004</v>
      </c>
      <c r="T650">
        <v>3517.23</v>
      </c>
      <c r="U650">
        <v>1548.62</v>
      </c>
      <c r="V650" t="s">
        <v>155</v>
      </c>
      <c r="W650" t="s">
        <v>103</v>
      </c>
      <c r="X650" t="str">
        <f t="shared" si="43"/>
        <v>EXCLUDE: Failed payment</v>
      </c>
      <c r="Y650" t="str">
        <f t="shared" si="41"/>
        <v>Exclude</v>
      </c>
    </row>
    <row r="651" spans="1:25">
      <c r="A651" t="s">
        <v>2053</v>
      </c>
      <c r="B651" s="3">
        <v>45880</v>
      </c>
      <c r="C651" s="3">
        <v>45888</v>
      </c>
      <c r="D651" s="6">
        <f t="shared" si="42"/>
        <v>8</v>
      </c>
      <c r="E651" t="s">
        <v>2054</v>
      </c>
      <c r="F651" t="s">
        <v>265</v>
      </c>
      <c r="G651" s="5" t="s">
        <v>37</v>
      </c>
      <c r="H651" t="s">
        <v>54</v>
      </c>
      <c r="I651" t="s">
        <v>185</v>
      </c>
      <c r="J651" t="s">
        <v>186</v>
      </c>
      <c r="K651" t="s">
        <v>74</v>
      </c>
      <c r="L651" t="s">
        <v>75</v>
      </c>
      <c r="M651" t="s">
        <v>2055</v>
      </c>
      <c r="N651" t="s">
        <v>59</v>
      </c>
      <c r="O651">
        <v>4</v>
      </c>
      <c r="P651">
        <v>2258.96</v>
      </c>
      <c r="Q651" s="6">
        <v>0.25</v>
      </c>
      <c r="R651" s="8">
        <f t="shared" si="40"/>
        <v>0.25</v>
      </c>
      <c r="S651">
        <v>6776.88</v>
      </c>
      <c r="T651">
        <v>3836.24</v>
      </c>
      <c r="U651">
        <v>2940.64</v>
      </c>
      <c r="V651" t="s">
        <v>32</v>
      </c>
      <c r="W651" t="s">
        <v>33</v>
      </c>
      <c r="X651" t="str">
        <f t="shared" si="43"/>
        <v/>
      </c>
      <c r="Y651" t="str">
        <f t="shared" si="41"/>
        <v>Exclude</v>
      </c>
    </row>
    <row r="652" spans="1:25">
      <c r="A652" t="s">
        <v>2056</v>
      </c>
      <c r="B652" s="3">
        <v>45395</v>
      </c>
      <c r="C652" s="3">
        <v>45403</v>
      </c>
      <c r="D652" s="6">
        <f t="shared" si="42"/>
        <v>8</v>
      </c>
      <c r="E652" t="s">
        <v>379</v>
      </c>
      <c r="F652" t="s">
        <v>128</v>
      </c>
      <c r="G652" s="5" t="s">
        <v>95</v>
      </c>
      <c r="H652" t="s">
        <v>38</v>
      </c>
      <c r="I652" t="s">
        <v>145</v>
      </c>
      <c r="J652" t="s">
        <v>146</v>
      </c>
      <c r="K652" t="s">
        <v>74</v>
      </c>
      <c r="L652" t="s">
        <v>75</v>
      </c>
      <c r="M652" t="s">
        <v>2057</v>
      </c>
      <c r="N652" t="s">
        <v>44</v>
      </c>
      <c r="O652">
        <v>7</v>
      </c>
      <c r="P652">
        <v>2648.76</v>
      </c>
      <c r="Q652" s="6">
        <v>0.15</v>
      </c>
      <c r="R652" s="8">
        <f t="shared" si="40"/>
        <v>0.15</v>
      </c>
      <c r="S652">
        <v>15760.12</v>
      </c>
      <c r="T652">
        <v>9931.5300000000007</v>
      </c>
      <c r="U652">
        <v>5828.59</v>
      </c>
      <c r="V652" t="s">
        <v>155</v>
      </c>
      <c r="W652" t="s">
        <v>103</v>
      </c>
      <c r="X652" t="str">
        <f t="shared" si="43"/>
        <v>EXCLUDE: Failed payment</v>
      </c>
      <c r="Y652" t="str">
        <f t="shared" si="41"/>
        <v>Exclude</v>
      </c>
    </row>
    <row r="653" spans="1:25">
      <c r="A653" t="s">
        <v>2058</v>
      </c>
      <c r="B653" s="3">
        <v>45875</v>
      </c>
      <c r="C653" s="3">
        <v>45878</v>
      </c>
      <c r="D653" s="6">
        <f t="shared" si="42"/>
        <v>3</v>
      </c>
      <c r="E653" t="s">
        <v>2059</v>
      </c>
      <c r="F653" t="s">
        <v>36</v>
      </c>
      <c r="G653" s="5" t="s">
        <v>37</v>
      </c>
      <c r="H653" t="s">
        <v>54</v>
      </c>
      <c r="I653" t="s">
        <v>84</v>
      </c>
      <c r="J653" t="s">
        <v>85</v>
      </c>
      <c r="K653" t="s">
        <v>28</v>
      </c>
      <c r="L653" t="s">
        <v>29</v>
      </c>
      <c r="M653" t="s">
        <v>2060</v>
      </c>
      <c r="N653" t="s">
        <v>31</v>
      </c>
      <c r="O653">
        <v>3</v>
      </c>
      <c r="P653">
        <v>598.54999999999995</v>
      </c>
      <c r="Q653" s="6">
        <v>0</v>
      </c>
      <c r="R653" s="8">
        <f t="shared" si="40"/>
        <v>0</v>
      </c>
      <c r="S653">
        <v>1795.65</v>
      </c>
      <c r="T653">
        <v>996.72</v>
      </c>
      <c r="U653">
        <v>798.93</v>
      </c>
      <c r="V653" t="s">
        <v>32</v>
      </c>
      <c r="W653" t="s">
        <v>33</v>
      </c>
      <c r="X653" t="str">
        <f t="shared" si="43"/>
        <v/>
      </c>
      <c r="Y653" t="str">
        <f t="shared" si="41"/>
        <v>Exclude</v>
      </c>
    </row>
    <row r="654" spans="1:25">
      <c r="A654" t="s">
        <v>2061</v>
      </c>
      <c r="B654" s="3">
        <v>45733</v>
      </c>
      <c r="C654" s="3">
        <v>45737</v>
      </c>
      <c r="D654" s="6">
        <f t="shared" si="42"/>
        <v>4</v>
      </c>
      <c r="E654" t="s">
        <v>1702</v>
      </c>
      <c r="F654" t="s">
        <v>132</v>
      </c>
      <c r="G654" s="5" t="s">
        <v>24</v>
      </c>
      <c r="H654" t="s">
        <v>25</v>
      </c>
      <c r="I654" t="s">
        <v>136</v>
      </c>
      <c r="J654" t="s">
        <v>137</v>
      </c>
      <c r="K654" t="s">
        <v>28</v>
      </c>
      <c r="L654" t="s">
        <v>153</v>
      </c>
      <c r="M654" t="s">
        <v>2062</v>
      </c>
      <c r="N654" t="s">
        <v>59</v>
      </c>
      <c r="O654">
        <v>5</v>
      </c>
      <c r="P654">
        <v>4320.59</v>
      </c>
      <c r="Q654" s="6">
        <v>0.15</v>
      </c>
      <c r="R654" s="8">
        <f t="shared" si="40"/>
        <v>0.15</v>
      </c>
      <c r="S654">
        <v>18362.509999999998</v>
      </c>
      <c r="T654">
        <v>11133.97</v>
      </c>
      <c r="U654">
        <v>7228.54</v>
      </c>
      <c r="V654" t="s">
        <v>32</v>
      </c>
      <c r="W654" t="s">
        <v>33</v>
      </c>
      <c r="X654" t="str">
        <f t="shared" si="43"/>
        <v/>
      </c>
      <c r="Y654" t="str">
        <f t="shared" si="41"/>
        <v>Exclude</v>
      </c>
    </row>
    <row r="655" spans="1:25">
      <c r="A655" t="s">
        <v>2063</v>
      </c>
      <c r="B655" s="3">
        <v>45751</v>
      </c>
      <c r="C655" s="3">
        <v>45842</v>
      </c>
      <c r="D655" s="6">
        <f t="shared" si="42"/>
        <v>91</v>
      </c>
      <c r="E655" t="s">
        <v>2064</v>
      </c>
      <c r="F655" t="s">
        <v>114</v>
      </c>
      <c r="G655" s="5" t="s">
        <v>37</v>
      </c>
      <c r="H655" t="s">
        <v>54</v>
      </c>
      <c r="I655" t="s">
        <v>248</v>
      </c>
      <c r="J655" t="s">
        <v>249</v>
      </c>
      <c r="K655" t="s">
        <v>74</v>
      </c>
      <c r="L655" t="s">
        <v>80</v>
      </c>
      <c r="M655" t="s">
        <v>2065</v>
      </c>
      <c r="N655" t="s">
        <v>31</v>
      </c>
      <c r="O655">
        <v>7</v>
      </c>
      <c r="P655">
        <v>4457.93</v>
      </c>
      <c r="Q655" s="6">
        <v>0.15</v>
      </c>
      <c r="R655" s="8">
        <f t="shared" si="40"/>
        <v>0.15</v>
      </c>
      <c r="S655">
        <v>26524.68</v>
      </c>
      <c r="T655">
        <v>20574.3</v>
      </c>
      <c r="U655">
        <v>5950.38</v>
      </c>
      <c r="V655" t="s">
        <v>32</v>
      </c>
      <c r="W655" t="s">
        <v>33</v>
      </c>
      <c r="X655" t="str">
        <f t="shared" si="43"/>
        <v/>
      </c>
      <c r="Y655" t="str">
        <f t="shared" si="41"/>
        <v>Exclude</v>
      </c>
    </row>
    <row r="656" spans="1:25">
      <c r="A656" t="s">
        <v>2066</v>
      </c>
      <c r="B656" s="3">
        <v>46001</v>
      </c>
      <c r="C656" s="3">
        <v>45946</v>
      </c>
      <c r="D656" s="6">
        <f t="shared" si="42"/>
        <v>-55</v>
      </c>
      <c r="E656" t="s">
        <v>933</v>
      </c>
      <c r="F656" t="s">
        <v>162</v>
      </c>
      <c r="G656" s="5" t="s">
        <v>90</v>
      </c>
      <c r="H656" t="s">
        <v>38</v>
      </c>
      <c r="I656" t="s">
        <v>145</v>
      </c>
      <c r="J656" t="s">
        <v>146</v>
      </c>
      <c r="K656" t="s">
        <v>74</v>
      </c>
      <c r="L656" t="s">
        <v>275</v>
      </c>
      <c r="M656" t="s">
        <v>2067</v>
      </c>
      <c r="N656" t="s">
        <v>44</v>
      </c>
      <c r="O656">
        <v>1</v>
      </c>
      <c r="P656">
        <v>2570.06</v>
      </c>
      <c r="Q656" s="6">
        <v>0.2</v>
      </c>
      <c r="R656" s="8">
        <f t="shared" si="40"/>
        <v>0.2</v>
      </c>
      <c r="S656">
        <v>2056.0500000000002</v>
      </c>
      <c r="T656">
        <v>1662.39</v>
      </c>
      <c r="U656">
        <v>393.66</v>
      </c>
      <c r="V656" t="s">
        <v>32</v>
      </c>
      <c r="W656" t="s">
        <v>33</v>
      </c>
      <c r="X656" t="str">
        <f t="shared" si="43"/>
        <v>INVALID: Ship date before order date</v>
      </c>
      <c r="Y656" t="str">
        <f t="shared" si="41"/>
        <v>Exclude</v>
      </c>
    </row>
    <row r="657" spans="1:25">
      <c r="A657" t="s">
        <v>2068</v>
      </c>
      <c r="B657" s="3">
        <v>45895</v>
      </c>
      <c r="C657" s="3">
        <v>45895</v>
      </c>
      <c r="D657" s="6">
        <f t="shared" si="42"/>
        <v>0</v>
      </c>
      <c r="E657" t="s">
        <v>2069</v>
      </c>
      <c r="F657" t="s">
        <v>79</v>
      </c>
      <c r="G657" s="5" t="s">
        <v>95</v>
      </c>
      <c r="H657" t="s">
        <v>38</v>
      </c>
      <c r="I657" t="s">
        <v>99</v>
      </c>
      <c r="J657" t="s">
        <v>100</v>
      </c>
      <c r="K657" t="s">
        <v>41</v>
      </c>
      <c r="L657" t="s">
        <v>57</v>
      </c>
      <c r="M657" t="s">
        <v>2070</v>
      </c>
      <c r="N657" t="s">
        <v>59</v>
      </c>
      <c r="O657">
        <v>4</v>
      </c>
      <c r="P657">
        <v>2151.8200000000002</v>
      </c>
      <c r="Q657" s="6">
        <v>0</v>
      </c>
      <c r="R657" s="8">
        <f t="shared" si="40"/>
        <v>0</v>
      </c>
      <c r="S657">
        <v>8607.2800000000007</v>
      </c>
      <c r="T657">
        <v>5124.01</v>
      </c>
      <c r="U657">
        <v>3483.27</v>
      </c>
      <c r="V657" t="s">
        <v>32</v>
      </c>
      <c r="W657" t="s">
        <v>33</v>
      </c>
      <c r="X657" t="str">
        <f t="shared" si="43"/>
        <v/>
      </c>
      <c r="Y657" t="str">
        <f t="shared" si="41"/>
        <v>Exclude</v>
      </c>
    </row>
    <row r="658" spans="1:25">
      <c r="A658" t="s">
        <v>2071</v>
      </c>
      <c r="B658" s="3">
        <v>45419</v>
      </c>
      <c r="C658" s="3">
        <v>45426</v>
      </c>
      <c r="D658" s="6">
        <f t="shared" si="42"/>
        <v>7</v>
      </c>
      <c r="E658" t="s">
        <v>2072</v>
      </c>
      <c r="F658" t="s">
        <v>79</v>
      </c>
      <c r="G658" s="5" t="s">
        <v>37</v>
      </c>
      <c r="H658" t="s">
        <v>25</v>
      </c>
      <c r="I658" t="s">
        <v>237</v>
      </c>
      <c r="J658" t="s">
        <v>238</v>
      </c>
      <c r="K658" t="s">
        <v>74</v>
      </c>
      <c r="L658" t="s">
        <v>275</v>
      </c>
      <c r="M658" t="s">
        <v>2073</v>
      </c>
      <c r="N658" t="s">
        <v>44</v>
      </c>
      <c r="O658">
        <v>4</v>
      </c>
      <c r="P658">
        <v>2751.1</v>
      </c>
      <c r="Q658" s="6">
        <v>-0.05</v>
      </c>
      <c r="R658" s="8">
        <f t="shared" si="40"/>
        <v>-0.05</v>
      </c>
      <c r="S658">
        <v>9903.9599999999991</v>
      </c>
      <c r="T658">
        <v>7696.28</v>
      </c>
      <c r="U658">
        <v>2207.6799999999998</v>
      </c>
      <c r="V658" t="s">
        <v>32</v>
      </c>
      <c r="W658" t="s">
        <v>33</v>
      </c>
      <c r="X658" t="str">
        <f t="shared" si="43"/>
        <v>INVALID: Negative discount</v>
      </c>
      <c r="Y658" t="str">
        <f t="shared" si="41"/>
        <v>Exclude</v>
      </c>
    </row>
    <row r="659" spans="1:25">
      <c r="A659" t="s">
        <v>2074</v>
      </c>
      <c r="B659" s="3">
        <v>45846</v>
      </c>
      <c r="C659" s="3">
        <v>45938</v>
      </c>
      <c r="D659" s="6">
        <f t="shared" si="42"/>
        <v>92</v>
      </c>
      <c r="E659" t="s">
        <v>2075</v>
      </c>
      <c r="F659" t="s">
        <v>89</v>
      </c>
      <c r="G659" s="5" t="s">
        <v>95</v>
      </c>
      <c r="H659" t="s">
        <v>38</v>
      </c>
      <c r="I659" t="s">
        <v>145</v>
      </c>
      <c r="J659" t="s">
        <v>146</v>
      </c>
      <c r="K659" t="s">
        <v>28</v>
      </c>
      <c r="L659" t="s">
        <v>124</v>
      </c>
      <c r="M659" t="s">
        <v>2076</v>
      </c>
      <c r="N659" t="s">
        <v>31</v>
      </c>
      <c r="O659">
        <v>1</v>
      </c>
      <c r="P659">
        <v>2541.25</v>
      </c>
      <c r="Q659" s="6">
        <v>0.2</v>
      </c>
      <c r="R659" s="8">
        <f t="shared" si="40"/>
        <v>0.2</v>
      </c>
      <c r="S659">
        <v>2033</v>
      </c>
      <c r="T659">
        <v>1291.4100000000001</v>
      </c>
      <c r="U659">
        <v>741.59</v>
      </c>
      <c r="V659" t="s">
        <v>32</v>
      </c>
      <c r="W659" t="s">
        <v>33</v>
      </c>
      <c r="X659" t="str">
        <f t="shared" si="43"/>
        <v/>
      </c>
      <c r="Y659" t="str">
        <f t="shared" si="41"/>
        <v>Exclude</v>
      </c>
    </row>
    <row r="660" spans="1:25">
      <c r="A660" t="s">
        <v>2077</v>
      </c>
      <c r="B660" s="3">
        <v>45817</v>
      </c>
      <c r="C660" s="3">
        <v>45997</v>
      </c>
      <c r="D660" s="6">
        <f t="shared" si="42"/>
        <v>180</v>
      </c>
      <c r="E660" t="s">
        <v>2078</v>
      </c>
      <c r="F660" t="s">
        <v>132</v>
      </c>
      <c r="G660" s="5" t="s">
        <v>24</v>
      </c>
      <c r="H660" t="s">
        <v>2806</v>
      </c>
      <c r="I660" t="s">
        <v>145</v>
      </c>
      <c r="J660" t="s">
        <v>146</v>
      </c>
      <c r="K660" t="s">
        <v>28</v>
      </c>
      <c r="L660" t="s">
        <v>48</v>
      </c>
      <c r="M660" t="s">
        <v>2079</v>
      </c>
      <c r="N660" t="s">
        <v>50</v>
      </c>
      <c r="O660">
        <v>7</v>
      </c>
      <c r="P660">
        <v>2852.42</v>
      </c>
      <c r="Q660" s="6">
        <v>0</v>
      </c>
      <c r="R660" s="8">
        <f t="shared" si="40"/>
        <v>0</v>
      </c>
      <c r="S660">
        <v>19966.939999999999</v>
      </c>
      <c r="T660">
        <v>12690.83</v>
      </c>
      <c r="U660">
        <v>7276.11</v>
      </c>
      <c r="V660" t="s">
        <v>102</v>
      </c>
      <c r="W660" t="s">
        <v>68</v>
      </c>
      <c r="X660" t="str">
        <f t="shared" si="43"/>
        <v>EXCLUDE: Cancelled order; REFUND: Summarize separately</v>
      </c>
      <c r="Y660" t="str">
        <f t="shared" si="41"/>
        <v>Exclude</v>
      </c>
    </row>
    <row r="661" spans="1:25">
      <c r="A661" t="s">
        <v>2080</v>
      </c>
      <c r="B661" s="3">
        <v>45678</v>
      </c>
      <c r="C661" s="3">
        <v>45679</v>
      </c>
      <c r="D661" s="6">
        <f t="shared" si="42"/>
        <v>1</v>
      </c>
      <c r="E661" t="s">
        <v>2081</v>
      </c>
      <c r="F661" t="s">
        <v>162</v>
      </c>
      <c r="G661" s="5" t="s">
        <v>90</v>
      </c>
      <c r="H661" t="s">
        <v>54</v>
      </c>
      <c r="I661" t="s">
        <v>175</v>
      </c>
      <c r="J661" t="s">
        <v>176</v>
      </c>
      <c r="K661" t="s">
        <v>74</v>
      </c>
      <c r="L661" t="s">
        <v>171</v>
      </c>
      <c r="M661" t="s">
        <v>2082</v>
      </c>
      <c r="N661" t="s">
        <v>31</v>
      </c>
      <c r="O661">
        <v>2</v>
      </c>
      <c r="P661">
        <v>444.31</v>
      </c>
      <c r="Q661" s="6">
        <v>0.2</v>
      </c>
      <c r="R661" s="8">
        <f t="shared" si="40"/>
        <v>0.2</v>
      </c>
      <c r="S661">
        <v>710.9</v>
      </c>
      <c r="T661">
        <v>513.88</v>
      </c>
      <c r="U661">
        <v>197.02</v>
      </c>
      <c r="V661" t="s">
        <v>102</v>
      </c>
      <c r="W661" t="s">
        <v>68</v>
      </c>
      <c r="X661" t="str">
        <f t="shared" si="43"/>
        <v>EXCLUDE: Cancelled order; REFUND: Summarize separately</v>
      </c>
      <c r="Y661" t="str">
        <f t="shared" si="41"/>
        <v>Exclude</v>
      </c>
    </row>
    <row r="662" spans="1:25">
      <c r="A662" t="s">
        <v>2083</v>
      </c>
      <c r="B662" s="3">
        <v>45853</v>
      </c>
      <c r="C662" s="3">
        <v>45853</v>
      </c>
      <c r="D662" s="6">
        <f t="shared" si="42"/>
        <v>0</v>
      </c>
      <c r="E662" t="s">
        <v>2084</v>
      </c>
      <c r="F662" t="s">
        <v>53</v>
      </c>
      <c r="G662" s="5" t="s">
        <v>37</v>
      </c>
      <c r="H662" t="s">
        <v>38</v>
      </c>
      <c r="I662" t="s">
        <v>229</v>
      </c>
      <c r="J662" t="s">
        <v>230</v>
      </c>
      <c r="K662" t="s">
        <v>74</v>
      </c>
      <c r="L662" t="s">
        <v>171</v>
      </c>
      <c r="M662" t="s">
        <v>2085</v>
      </c>
      <c r="N662" t="s">
        <v>44</v>
      </c>
      <c r="O662">
        <v>4</v>
      </c>
      <c r="P662">
        <v>4442.91</v>
      </c>
      <c r="Q662" s="6">
        <v>0.1</v>
      </c>
      <c r="R662" s="8">
        <f t="shared" si="40"/>
        <v>0.1</v>
      </c>
      <c r="S662">
        <v>15994.48</v>
      </c>
      <c r="T662">
        <v>9224.2800000000007</v>
      </c>
      <c r="U662">
        <v>6770.2</v>
      </c>
      <c r="V662" t="s">
        <v>32</v>
      </c>
      <c r="W662" t="s">
        <v>33</v>
      </c>
      <c r="X662" t="str">
        <f t="shared" si="43"/>
        <v/>
      </c>
      <c r="Y662" t="str">
        <f t="shared" si="41"/>
        <v>Exclude</v>
      </c>
    </row>
    <row r="663" spans="1:25">
      <c r="A663" t="s">
        <v>2086</v>
      </c>
      <c r="B663" s="3">
        <v>45429</v>
      </c>
      <c r="C663" s="3">
        <v>45434</v>
      </c>
      <c r="D663" s="6">
        <f t="shared" si="42"/>
        <v>5</v>
      </c>
      <c r="E663" t="s">
        <v>2087</v>
      </c>
      <c r="F663" t="s">
        <v>132</v>
      </c>
      <c r="G663" s="5" t="s">
        <v>24</v>
      </c>
      <c r="H663" t="s">
        <v>54</v>
      </c>
      <c r="I663" t="s">
        <v>84</v>
      </c>
      <c r="J663" t="s">
        <v>85</v>
      </c>
      <c r="K663" t="s">
        <v>74</v>
      </c>
      <c r="L663" t="s">
        <v>275</v>
      </c>
      <c r="M663" t="s">
        <v>2088</v>
      </c>
      <c r="N663" t="s">
        <v>31</v>
      </c>
      <c r="O663">
        <v>7</v>
      </c>
      <c r="P663">
        <v>232.5</v>
      </c>
      <c r="Q663" s="6">
        <v>0</v>
      </c>
      <c r="R663" s="8">
        <f t="shared" si="40"/>
        <v>0</v>
      </c>
      <c r="S663">
        <v>1627.5</v>
      </c>
      <c r="T663">
        <v>939.9</v>
      </c>
      <c r="U663">
        <v>687.6</v>
      </c>
      <c r="V663" t="s">
        <v>32</v>
      </c>
      <c r="W663" t="s">
        <v>33</v>
      </c>
      <c r="X663" t="str">
        <f t="shared" si="43"/>
        <v/>
      </c>
      <c r="Y663" t="str">
        <f t="shared" si="41"/>
        <v>Exclude</v>
      </c>
    </row>
    <row r="664" spans="1:25">
      <c r="A664" t="s">
        <v>2089</v>
      </c>
      <c r="B664" s="3">
        <v>45305</v>
      </c>
      <c r="C664" s="3">
        <v>45309</v>
      </c>
      <c r="D664" s="6">
        <f t="shared" si="42"/>
        <v>4</v>
      </c>
      <c r="E664" t="s">
        <v>2090</v>
      </c>
      <c r="F664" t="s">
        <v>36</v>
      </c>
      <c r="G664" s="5" t="s">
        <v>95</v>
      </c>
      <c r="H664" t="s">
        <v>63</v>
      </c>
      <c r="I664" t="s">
        <v>26</v>
      </c>
      <c r="J664" t="s">
        <v>109</v>
      </c>
      <c r="K664" t="s">
        <v>74</v>
      </c>
      <c r="L664" t="s">
        <v>275</v>
      </c>
      <c r="M664" t="s">
        <v>2091</v>
      </c>
      <c r="N664" t="s">
        <v>44</v>
      </c>
      <c r="O664">
        <v>6</v>
      </c>
      <c r="P664">
        <v>1784.8</v>
      </c>
      <c r="Q664" s="6">
        <v>0.1</v>
      </c>
      <c r="R664" s="8">
        <f t="shared" si="40"/>
        <v>0.1</v>
      </c>
      <c r="S664">
        <v>9637.92</v>
      </c>
      <c r="T664">
        <v>7329.29</v>
      </c>
      <c r="U664">
        <v>2308.63</v>
      </c>
      <c r="V664" t="s">
        <v>32</v>
      </c>
      <c r="W664" t="s">
        <v>33</v>
      </c>
      <c r="X664" t="str">
        <f t="shared" si="43"/>
        <v/>
      </c>
      <c r="Y664" t="str">
        <f t="shared" si="41"/>
        <v>Exclude</v>
      </c>
    </row>
    <row r="665" spans="1:25">
      <c r="A665" t="s">
        <v>2092</v>
      </c>
      <c r="B665" s="3">
        <v>45327</v>
      </c>
      <c r="C665" s="3">
        <v>45509</v>
      </c>
      <c r="D665" s="6">
        <f t="shared" si="42"/>
        <v>182</v>
      </c>
      <c r="E665" t="s">
        <v>2093</v>
      </c>
      <c r="F665" t="s">
        <v>118</v>
      </c>
      <c r="G665" s="5" t="s">
        <v>95</v>
      </c>
      <c r="H665" t="s">
        <v>38</v>
      </c>
      <c r="I665" t="s">
        <v>229</v>
      </c>
      <c r="J665" t="s">
        <v>230</v>
      </c>
      <c r="K665" t="s">
        <v>74</v>
      </c>
      <c r="L665" t="s">
        <v>80</v>
      </c>
      <c r="M665" t="s">
        <v>2094</v>
      </c>
      <c r="N665" t="s">
        <v>31</v>
      </c>
      <c r="O665">
        <v>2</v>
      </c>
      <c r="P665">
        <v>3185.01</v>
      </c>
      <c r="Q665" s="6">
        <v>-0.24</v>
      </c>
      <c r="R665" s="8">
        <f t="shared" si="40"/>
        <v>-0.24</v>
      </c>
      <c r="S665">
        <v>4777.5200000000004</v>
      </c>
      <c r="T665">
        <v>3152.98</v>
      </c>
      <c r="U665">
        <v>1624.54</v>
      </c>
      <c r="V665" t="s">
        <v>32</v>
      </c>
      <c r="W665" t="s">
        <v>33</v>
      </c>
      <c r="X665" t="str">
        <f t="shared" si="43"/>
        <v>INVALID: Negative discount</v>
      </c>
      <c r="Y665" t="str">
        <f t="shared" si="41"/>
        <v>Exclude</v>
      </c>
    </row>
    <row r="666" spans="1:25">
      <c r="A666" t="s">
        <v>2095</v>
      </c>
      <c r="B666" s="3">
        <v>45633</v>
      </c>
      <c r="C666" s="3">
        <v>45577</v>
      </c>
      <c r="D666" s="6">
        <f t="shared" si="42"/>
        <v>-56</v>
      </c>
      <c r="E666" t="s">
        <v>2096</v>
      </c>
      <c r="F666" t="s">
        <v>36</v>
      </c>
      <c r="G666" s="5" t="s">
        <v>95</v>
      </c>
      <c r="H666" t="s">
        <v>54</v>
      </c>
      <c r="I666" t="s">
        <v>55</v>
      </c>
      <c r="J666" t="s">
        <v>56</v>
      </c>
      <c r="K666" t="s">
        <v>74</v>
      </c>
      <c r="L666" t="s">
        <v>75</v>
      </c>
      <c r="M666" t="s">
        <v>2097</v>
      </c>
      <c r="N666" t="s">
        <v>59</v>
      </c>
      <c r="O666">
        <v>1</v>
      </c>
      <c r="P666">
        <v>1908.83</v>
      </c>
      <c r="Q666" s="6">
        <v>0.2</v>
      </c>
      <c r="R666" s="8">
        <f t="shared" si="40"/>
        <v>0.2</v>
      </c>
      <c r="S666">
        <v>1527.06</v>
      </c>
      <c r="T666">
        <v>1055.8900000000001</v>
      </c>
      <c r="U666">
        <v>471.17</v>
      </c>
      <c r="V666" t="s">
        <v>32</v>
      </c>
      <c r="W666" t="s">
        <v>33</v>
      </c>
      <c r="X666" t="str">
        <f t="shared" si="43"/>
        <v>INVALID: Ship date before order date</v>
      </c>
      <c r="Y666" t="str">
        <f t="shared" si="41"/>
        <v>Exclude</v>
      </c>
    </row>
    <row r="667" spans="1:25">
      <c r="A667" t="s">
        <v>2098</v>
      </c>
      <c r="B667" s="3">
        <v>45670</v>
      </c>
      <c r="C667" s="3">
        <v>45670</v>
      </c>
      <c r="D667" s="6">
        <f t="shared" si="42"/>
        <v>0</v>
      </c>
      <c r="E667" t="s">
        <v>2099</v>
      </c>
      <c r="F667" t="s">
        <v>118</v>
      </c>
      <c r="G667" s="5" t="s">
        <v>95</v>
      </c>
      <c r="H667" t="s">
        <v>63</v>
      </c>
      <c r="I667" t="s">
        <v>180</v>
      </c>
      <c r="J667" t="s">
        <v>181</v>
      </c>
      <c r="K667" t="s">
        <v>28</v>
      </c>
      <c r="L667" t="s">
        <v>48</v>
      </c>
      <c r="M667" t="s">
        <v>2100</v>
      </c>
      <c r="N667" t="s">
        <v>59</v>
      </c>
      <c r="O667">
        <v>3</v>
      </c>
      <c r="P667">
        <v>2110.52</v>
      </c>
      <c r="Q667" s="6">
        <v>0.1</v>
      </c>
      <c r="R667" s="8">
        <f t="shared" si="40"/>
        <v>0.1</v>
      </c>
      <c r="S667">
        <v>5698.4</v>
      </c>
      <c r="T667">
        <v>3640.89</v>
      </c>
      <c r="U667">
        <v>2057.5100000000002</v>
      </c>
      <c r="V667" t="s">
        <v>155</v>
      </c>
      <c r="W667" t="s">
        <v>68</v>
      </c>
      <c r="X667" t="str">
        <f t="shared" si="43"/>
        <v>EXCLUDE: Cancelled order; EXCLUDE: Failed payment</v>
      </c>
      <c r="Y667" t="str">
        <f t="shared" si="41"/>
        <v>Exclude</v>
      </c>
    </row>
    <row r="668" spans="1:25">
      <c r="A668" t="s">
        <v>2101</v>
      </c>
      <c r="B668" s="3">
        <v>45464</v>
      </c>
      <c r="C668" s="3">
        <v>45469</v>
      </c>
      <c r="D668" s="6">
        <f t="shared" si="42"/>
        <v>5</v>
      </c>
      <c r="E668" t="s">
        <v>2102</v>
      </c>
      <c r="F668" t="s">
        <v>141</v>
      </c>
      <c r="G668" s="5" t="s">
        <v>37</v>
      </c>
      <c r="H668" t="s">
        <v>25</v>
      </c>
      <c r="I668" t="s">
        <v>122</v>
      </c>
      <c r="J668" t="s">
        <v>123</v>
      </c>
      <c r="K668" t="s">
        <v>74</v>
      </c>
      <c r="L668" t="s">
        <v>80</v>
      </c>
      <c r="M668" t="s">
        <v>2103</v>
      </c>
      <c r="N668" t="s">
        <v>44</v>
      </c>
      <c r="O668">
        <v>1</v>
      </c>
      <c r="P668">
        <v>279.83</v>
      </c>
      <c r="Q668" s="6">
        <v>0.05</v>
      </c>
      <c r="R668" s="8">
        <f t="shared" si="40"/>
        <v>0.05</v>
      </c>
      <c r="S668">
        <v>265.83999999999997</v>
      </c>
      <c r="T668">
        <v>223.49</v>
      </c>
      <c r="U668">
        <v>42.35</v>
      </c>
      <c r="V668" t="s">
        <v>32</v>
      </c>
      <c r="W668" t="s">
        <v>33</v>
      </c>
      <c r="X668" t="str">
        <f t="shared" si="43"/>
        <v/>
      </c>
      <c r="Y668" t="str">
        <f t="shared" si="41"/>
        <v>Exclude</v>
      </c>
    </row>
    <row r="669" spans="1:25">
      <c r="A669" t="s">
        <v>2104</v>
      </c>
      <c r="B669" s="3">
        <v>45797</v>
      </c>
      <c r="C669" s="3">
        <v>45804</v>
      </c>
      <c r="D669" s="6">
        <f t="shared" si="42"/>
        <v>7</v>
      </c>
      <c r="E669" t="s">
        <v>2105</v>
      </c>
      <c r="F669" t="s">
        <v>162</v>
      </c>
      <c r="G669" s="5" t="s">
        <v>37</v>
      </c>
      <c r="H669" t="s">
        <v>38</v>
      </c>
      <c r="I669" t="s">
        <v>145</v>
      </c>
      <c r="J669" t="s">
        <v>146</v>
      </c>
      <c r="K669" t="s">
        <v>74</v>
      </c>
      <c r="L669" t="s">
        <v>275</v>
      </c>
      <c r="M669" t="s">
        <v>2106</v>
      </c>
      <c r="N669" t="s">
        <v>59</v>
      </c>
      <c r="O669">
        <v>1</v>
      </c>
      <c r="P669">
        <v>3959.14</v>
      </c>
      <c r="Q669" s="6">
        <v>0</v>
      </c>
      <c r="R669" s="8">
        <f t="shared" si="40"/>
        <v>0</v>
      </c>
      <c r="S669">
        <v>3959.14</v>
      </c>
      <c r="T669">
        <v>3239.53</v>
      </c>
      <c r="U669">
        <v>719.61</v>
      </c>
      <c r="V669" t="s">
        <v>111</v>
      </c>
      <c r="W669" t="s">
        <v>103</v>
      </c>
      <c r="X669" t="str">
        <f t="shared" si="43"/>
        <v/>
      </c>
      <c r="Y669" t="str">
        <f t="shared" si="41"/>
        <v>Exclude</v>
      </c>
    </row>
    <row r="670" spans="1:25">
      <c r="A670" t="s">
        <v>2107</v>
      </c>
      <c r="B670" s="3">
        <v>45617</v>
      </c>
      <c r="C670" s="3">
        <v>45619</v>
      </c>
      <c r="D670" s="6">
        <f t="shared" si="42"/>
        <v>2</v>
      </c>
      <c r="E670" t="s">
        <v>2108</v>
      </c>
      <c r="F670" t="s">
        <v>36</v>
      </c>
      <c r="G670" s="5" t="s">
        <v>90</v>
      </c>
      <c r="H670" t="s">
        <v>63</v>
      </c>
      <c r="I670" t="s">
        <v>180</v>
      </c>
      <c r="J670" t="s">
        <v>181</v>
      </c>
      <c r="K670" t="s">
        <v>28</v>
      </c>
      <c r="L670" t="s">
        <v>29</v>
      </c>
      <c r="M670" t="s">
        <v>2109</v>
      </c>
      <c r="N670" t="s">
        <v>31</v>
      </c>
      <c r="O670">
        <v>5</v>
      </c>
      <c r="P670">
        <v>600.46</v>
      </c>
      <c r="Q670" s="6">
        <v>0.2</v>
      </c>
      <c r="R670" s="8">
        <f t="shared" si="40"/>
        <v>0.2</v>
      </c>
      <c r="S670">
        <v>2401.84</v>
      </c>
      <c r="T670">
        <v>1873.11</v>
      </c>
      <c r="U670">
        <v>528.73</v>
      </c>
      <c r="V670" t="s">
        <v>32</v>
      </c>
      <c r="W670" t="s">
        <v>33</v>
      </c>
      <c r="X670" t="str">
        <f t="shared" si="43"/>
        <v/>
      </c>
      <c r="Y670" t="str">
        <f t="shared" si="41"/>
        <v>Exclude</v>
      </c>
    </row>
    <row r="671" spans="1:25">
      <c r="A671" t="s">
        <v>2110</v>
      </c>
      <c r="B671" s="3">
        <v>45375</v>
      </c>
      <c r="C671" s="3">
        <v>45295</v>
      </c>
      <c r="D671" s="6">
        <f t="shared" si="42"/>
        <v>-80</v>
      </c>
      <c r="E671" t="s">
        <v>2111</v>
      </c>
      <c r="F671" t="s">
        <v>62</v>
      </c>
      <c r="G671" s="5" t="s">
        <v>95</v>
      </c>
      <c r="H671" t="s">
        <v>63</v>
      </c>
      <c r="I671" t="s">
        <v>64</v>
      </c>
      <c r="J671" t="s">
        <v>65</v>
      </c>
      <c r="K671" t="s">
        <v>41</v>
      </c>
      <c r="L671" t="s">
        <v>42</v>
      </c>
      <c r="M671" t="s">
        <v>2112</v>
      </c>
      <c r="N671" t="s">
        <v>31</v>
      </c>
      <c r="O671">
        <v>4</v>
      </c>
      <c r="P671">
        <v>1700.72</v>
      </c>
      <c r="Q671" s="6">
        <v>0.25</v>
      </c>
      <c r="R671" s="8">
        <f t="shared" si="40"/>
        <v>0.25</v>
      </c>
      <c r="S671">
        <v>5102.16</v>
      </c>
      <c r="T671">
        <v>3226.45</v>
      </c>
      <c r="U671">
        <v>1875.71</v>
      </c>
      <c r="V671" t="s">
        <v>32</v>
      </c>
      <c r="W671" t="s">
        <v>33</v>
      </c>
      <c r="X671" t="str">
        <f t="shared" si="43"/>
        <v>INVALID: Ship date before order date</v>
      </c>
      <c r="Y671" t="str">
        <f t="shared" si="41"/>
        <v>Exclude</v>
      </c>
    </row>
    <row r="672" spans="1:25">
      <c r="A672" t="s">
        <v>2113</v>
      </c>
      <c r="B672" s="3">
        <v>45690</v>
      </c>
      <c r="C672" s="3">
        <v>45810</v>
      </c>
      <c r="D672" s="6">
        <f t="shared" si="42"/>
        <v>120</v>
      </c>
      <c r="E672" t="s">
        <v>1612</v>
      </c>
      <c r="F672" t="s">
        <v>132</v>
      </c>
      <c r="G672" s="5" t="s">
        <v>90</v>
      </c>
      <c r="H672" t="s">
        <v>25</v>
      </c>
      <c r="I672" t="s">
        <v>136</v>
      </c>
      <c r="J672" t="s">
        <v>137</v>
      </c>
      <c r="K672" t="s">
        <v>41</v>
      </c>
      <c r="L672" t="s">
        <v>42</v>
      </c>
      <c r="M672" t="s">
        <v>2114</v>
      </c>
      <c r="N672" t="s">
        <v>59</v>
      </c>
      <c r="O672">
        <v>8</v>
      </c>
      <c r="P672">
        <v>857.86</v>
      </c>
      <c r="Q672" s="6">
        <v>0.1</v>
      </c>
      <c r="R672" s="8">
        <f t="shared" si="40"/>
        <v>0.1</v>
      </c>
      <c r="S672">
        <v>6176.59</v>
      </c>
      <c r="T672">
        <v>3560.96</v>
      </c>
      <c r="U672">
        <v>2615.63</v>
      </c>
      <c r="V672" t="s">
        <v>32</v>
      </c>
      <c r="W672" t="s">
        <v>33</v>
      </c>
      <c r="X672" t="str">
        <f t="shared" si="43"/>
        <v/>
      </c>
      <c r="Y672" t="str">
        <f t="shared" si="41"/>
        <v>Exclude</v>
      </c>
    </row>
    <row r="673" spans="1:25">
      <c r="A673" t="s">
        <v>2115</v>
      </c>
      <c r="B673" s="3">
        <v>45373</v>
      </c>
      <c r="C673" s="3">
        <v>45378</v>
      </c>
      <c r="D673" s="6">
        <f t="shared" si="42"/>
        <v>5</v>
      </c>
      <c r="E673" t="s">
        <v>2116</v>
      </c>
      <c r="F673" t="s">
        <v>89</v>
      </c>
      <c r="G673" s="5" t="s">
        <v>95</v>
      </c>
      <c r="H673" t="s">
        <v>63</v>
      </c>
      <c r="I673" t="s">
        <v>190</v>
      </c>
      <c r="J673" t="s">
        <v>191</v>
      </c>
      <c r="K673" t="s">
        <v>74</v>
      </c>
      <c r="L673" t="s">
        <v>2117</v>
      </c>
      <c r="M673" t="s">
        <v>2118</v>
      </c>
      <c r="N673" t="s">
        <v>31</v>
      </c>
      <c r="O673">
        <v>9</v>
      </c>
      <c r="P673">
        <v>3649.51</v>
      </c>
      <c r="Q673" s="6">
        <v>0.05</v>
      </c>
      <c r="R673" s="8">
        <f t="shared" si="40"/>
        <v>0.05</v>
      </c>
      <c r="S673">
        <v>31203.31</v>
      </c>
      <c r="T673">
        <v>17738.13</v>
      </c>
      <c r="U673">
        <v>13465.18</v>
      </c>
      <c r="V673" t="s">
        <v>32</v>
      </c>
      <c r="W673" t="s">
        <v>33</v>
      </c>
      <c r="X673" t="str">
        <f t="shared" si="43"/>
        <v/>
      </c>
      <c r="Y673" t="str">
        <f t="shared" si="41"/>
        <v>Exclude</v>
      </c>
    </row>
    <row r="674" spans="1:25">
      <c r="A674" t="s">
        <v>2119</v>
      </c>
      <c r="B674" s="3">
        <v>45539</v>
      </c>
      <c r="C674" s="3">
        <v>45421</v>
      </c>
      <c r="D674" s="6">
        <f t="shared" si="42"/>
        <v>-118</v>
      </c>
      <c r="E674" t="s">
        <v>2120</v>
      </c>
      <c r="F674" t="s">
        <v>89</v>
      </c>
      <c r="G674" s="5" t="s">
        <v>90</v>
      </c>
      <c r="H674" t="s">
        <v>63</v>
      </c>
      <c r="I674" t="s">
        <v>72</v>
      </c>
      <c r="J674" t="s">
        <v>73</v>
      </c>
      <c r="K674" t="s">
        <v>41</v>
      </c>
      <c r="L674" t="s">
        <v>66</v>
      </c>
      <c r="M674" t="s">
        <v>2121</v>
      </c>
      <c r="N674" t="s">
        <v>59</v>
      </c>
      <c r="O674">
        <v>5</v>
      </c>
      <c r="P674">
        <v>2528.5300000000002</v>
      </c>
      <c r="Q674" s="6">
        <v>0.05</v>
      </c>
      <c r="R674" s="8">
        <f t="shared" si="40"/>
        <v>0.05</v>
      </c>
      <c r="S674">
        <v>12010.52</v>
      </c>
      <c r="T674">
        <v>7864.61</v>
      </c>
      <c r="U674">
        <v>4145.91</v>
      </c>
      <c r="V674" t="s">
        <v>32</v>
      </c>
      <c r="W674" t="s">
        <v>103</v>
      </c>
      <c r="X674" t="str">
        <f t="shared" si="43"/>
        <v>INVALID: Ship date before order date</v>
      </c>
      <c r="Y674" t="str">
        <f t="shared" si="41"/>
        <v>Exclude</v>
      </c>
    </row>
    <row r="675" spans="1:25">
      <c r="A675" t="s">
        <v>2122</v>
      </c>
      <c r="B675" s="3">
        <v>45701</v>
      </c>
      <c r="C675" s="3">
        <v>45704</v>
      </c>
      <c r="D675" s="6">
        <f t="shared" si="42"/>
        <v>3</v>
      </c>
      <c r="E675" t="s">
        <v>2123</v>
      </c>
      <c r="F675" t="s">
        <v>53</v>
      </c>
      <c r="G675" s="5" t="s">
        <v>37</v>
      </c>
      <c r="H675" t="s">
        <v>63</v>
      </c>
      <c r="I675" t="s">
        <v>26</v>
      </c>
      <c r="J675" t="s">
        <v>109</v>
      </c>
      <c r="K675" t="s">
        <v>41</v>
      </c>
      <c r="L675" t="s">
        <v>158</v>
      </c>
      <c r="M675" t="s">
        <v>2124</v>
      </c>
      <c r="N675" t="s">
        <v>31</v>
      </c>
      <c r="O675">
        <v>4</v>
      </c>
      <c r="P675">
        <v>4072.9</v>
      </c>
      <c r="Q675" s="6">
        <v>0.15</v>
      </c>
      <c r="R675" s="8">
        <f t="shared" si="40"/>
        <v>0.15</v>
      </c>
      <c r="S675">
        <v>13847.86</v>
      </c>
      <c r="T675">
        <v>8471.7800000000007</v>
      </c>
      <c r="U675">
        <v>5376.08</v>
      </c>
      <c r="V675" t="s">
        <v>32</v>
      </c>
      <c r="W675" t="s">
        <v>33</v>
      </c>
      <c r="X675" t="str">
        <f t="shared" si="43"/>
        <v/>
      </c>
      <c r="Y675" t="str">
        <f t="shared" si="41"/>
        <v>Exclude</v>
      </c>
    </row>
    <row r="676" spans="1:25">
      <c r="A676" t="s">
        <v>2125</v>
      </c>
      <c r="B676" s="3">
        <v>45430</v>
      </c>
      <c r="C676" s="3">
        <v>45433</v>
      </c>
      <c r="D676" s="6">
        <f t="shared" si="42"/>
        <v>3</v>
      </c>
      <c r="E676" t="s">
        <v>2126</v>
      </c>
      <c r="F676" t="s">
        <v>71</v>
      </c>
      <c r="G676" s="5" t="s">
        <v>90</v>
      </c>
      <c r="H676" t="s">
        <v>38</v>
      </c>
      <c r="I676" t="s">
        <v>229</v>
      </c>
      <c r="J676" t="s">
        <v>230</v>
      </c>
      <c r="K676" t="s">
        <v>74</v>
      </c>
      <c r="L676" t="s">
        <v>75</v>
      </c>
      <c r="M676" t="s">
        <v>2127</v>
      </c>
      <c r="N676" t="s">
        <v>31</v>
      </c>
      <c r="O676">
        <v>1</v>
      </c>
      <c r="P676">
        <v>1033.71</v>
      </c>
      <c r="Q676" s="6">
        <v>0</v>
      </c>
      <c r="R676" s="8">
        <f t="shared" si="40"/>
        <v>0</v>
      </c>
      <c r="S676">
        <v>1033.71</v>
      </c>
      <c r="T676">
        <v>630.82000000000005</v>
      </c>
      <c r="U676">
        <v>402.89</v>
      </c>
      <c r="V676" t="s">
        <v>111</v>
      </c>
      <c r="W676" t="s">
        <v>103</v>
      </c>
      <c r="X676" t="str">
        <f t="shared" si="43"/>
        <v/>
      </c>
      <c r="Y676" t="str">
        <f t="shared" si="41"/>
        <v>Exclude</v>
      </c>
    </row>
    <row r="677" spans="1:25">
      <c r="A677" t="s">
        <v>2128</v>
      </c>
      <c r="B677" s="3">
        <v>45815</v>
      </c>
      <c r="C677" s="3">
        <v>45936</v>
      </c>
      <c r="D677" s="6">
        <f t="shared" si="42"/>
        <v>121</v>
      </c>
      <c r="E677" t="s">
        <v>2027</v>
      </c>
      <c r="F677" t="s">
        <v>128</v>
      </c>
      <c r="G677" s="5" t="s">
        <v>24</v>
      </c>
      <c r="H677" t="s">
        <v>25</v>
      </c>
      <c r="I677" t="s">
        <v>26</v>
      </c>
      <c r="J677" t="s">
        <v>27</v>
      </c>
      <c r="K677" t="s">
        <v>41</v>
      </c>
      <c r="L677" t="s">
        <v>57</v>
      </c>
      <c r="M677" t="s">
        <v>2129</v>
      </c>
      <c r="N677" t="s">
        <v>44</v>
      </c>
      <c r="O677">
        <v>3</v>
      </c>
      <c r="P677">
        <v>963.26</v>
      </c>
      <c r="Q677" s="6">
        <v>0</v>
      </c>
      <c r="R677" s="8">
        <f t="shared" si="40"/>
        <v>0</v>
      </c>
      <c r="S677">
        <v>2889.78</v>
      </c>
      <c r="T677">
        <v>1811.23</v>
      </c>
      <c r="U677">
        <v>1078.55</v>
      </c>
      <c r="V677" t="s">
        <v>32</v>
      </c>
      <c r="W677" t="s">
        <v>33</v>
      </c>
      <c r="X677" t="str">
        <f t="shared" si="43"/>
        <v/>
      </c>
      <c r="Y677" t="str">
        <f t="shared" si="41"/>
        <v>Exclude</v>
      </c>
    </row>
    <row r="678" spans="1:25">
      <c r="A678" t="s">
        <v>2130</v>
      </c>
      <c r="B678" s="3">
        <v>45970</v>
      </c>
      <c r="C678" s="3">
        <v>45918</v>
      </c>
      <c r="D678" s="6">
        <f t="shared" si="42"/>
        <v>-52</v>
      </c>
      <c r="E678" t="s">
        <v>2131</v>
      </c>
      <c r="F678" t="s">
        <v>118</v>
      </c>
      <c r="G678" s="5" t="s">
        <v>37</v>
      </c>
      <c r="H678" t="s">
        <v>25</v>
      </c>
      <c r="I678" t="s">
        <v>351</v>
      </c>
      <c r="J678" t="s">
        <v>352</v>
      </c>
      <c r="K678" t="s">
        <v>74</v>
      </c>
      <c r="L678" t="s">
        <v>171</v>
      </c>
      <c r="M678" t="s">
        <v>2132</v>
      </c>
      <c r="N678" t="s">
        <v>44</v>
      </c>
      <c r="O678">
        <v>7</v>
      </c>
      <c r="P678">
        <v>3411.21</v>
      </c>
      <c r="Q678" s="6">
        <v>0.15</v>
      </c>
      <c r="R678" s="8">
        <f t="shared" si="40"/>
        <v>0.15</v>
      </c>
      <c r="S678">
        <v>20296.7</v>
      </c>
      <c r="T678">
        <v>14920.87</v>
      </c>
      <c r="U678">
        <v>5375.83</v>
      </c>
      <c r="V678" t="s">
        <v>32</v>
      </c>
      <c r="W678" t="s">
        <v>33</v>
      </c>
      <c r="X678" t="str">
        <f t="shared" si="43"/>
        <v>INVALID: Ship date before order date</v>
      </c>
      <c r="Y678" t="str">
        <f t="shared" si="41"/>
        <v>Exclude</v>
      </c>
    </row>
    <row r="679" spans="1:25">
      <c r="A679" t="s">
        <v>2133</v>
      </c>
      <c r="B679" s="3">
        <v>45465</v>
      </c>
      <c r="C679" s="3">
        <v>45470</v>
      </c>
      <c r="D679" s="6">
        <f t="shared" si="42"/>
        <v>5</v>
      </c>
      <c r="E679" t="s">
        <v>22</v>
      </c>
      <c r="F679" t="s">
        <v>47</v>
      </c>
      <c r="G679" s="5" t="s">
        <v>95</v>
      </c>
      <c r="H679" t="s">
        <v>54</v>
      </c>
      <c r="I679" t="s">
        <v>175</v>
      </c>
      <c r="J679" t="s">
        <v>176</v>
      </c>
      <c r="K679" t="s">
        <v>41</v>
      </c>
      <c r="L679" t="s">
        <v>66</v>
      </c>
      <c r="M679" t="s">
        <v>2134</v>
      </c>
      <c r="N679" t="s">
        <v>44</v>
      </c>
      <c r="O679">
        <v>7</v>
      </c>
      <c r="P679">
        <v>2623.48</v>
      </c>
      <c r="Q679" s="6">
        <v>0</v>
      </c>
      <c r="R679" s="8">
        <f t="shared" si="40"/>
        <v>0</v>
      </c>
      <c r="S679">
        <v>18364.36</v>
      </c>
      <c r="T679">
        <v>15445.81</v>
      </c>
      <c r="U679">
        <v>2918.55</v>
      </c>
      <c r="V679" t="s">
        <v>32</v>
      </c>
      <c r="W679" t="s">
        <v>33</v>
      </c>
      <c r="X679" t="str">
        <f t="shared" si="43"/>
        <v/>
      </c>
      <c r="Y679" t="str">
        <f t="shared" si="41"/>
        <v>Exclude</v>
      </c>
    </row>
    <row r="680" spans="1:25">
      <c r="A680" t="s">
        <v>2135</v>
      </c>
      <c r="B680" s="3">
        <v>45620</v>
      </c>
      <c r="C680" s="3">
        <v>45303</v>
      </c>
      <c r="D680" s="6">
        <f t="shared" si="42"/>
        <v>-317</v>
      </c>
      <c r="E680" t="s">
        <v>2136</v>
      </c>
      <c r="F680" t="s">
        <v>265</v>
      </c>
      <c r="G680" s="5" t="s">
        <v>90</v>
      </c>
      <c r="H680" t="s">
        <v>54</v>
      </c>
      <c r="I680" t="s">
        <v>175</v>
      </c>
      <c r="J680" t="s">
        <v>176</v>
      </c>
      <c r="K680" t="s">
        <v>41</v>
      </c>
      <c r="L680" t="s">
        <v>42</v>
      </c>
      <c r="M680" t="s">
        <v>2137</v>
      </c>
      <c r="N680" t="s">
        <v>31</v>
      </c>
      <c r="O680">
        <v>9</v>
      </c>
      <c r="P680">
        <v>2763.61</v>
      </c>
      <c r="Q680" s="6">
        <v>0.15</v>
      </c>
      <c r="R680" s="8">
        <f t="shared" si="40"/>
        <v>0.15</v>
      </c>
      <c r="S680">
        <v>21141.62</v>
      </c>
      <c r="T680">
        <v>11676.33</v>
      </c>
      <c r="U680">
        <v>9465.2900000000009</v>
      </c>
      <c r="V680" t="s">
        <v>32</v>
      </c>
      <c r="W680" t="s">
        <v>33</v>
      </c>
      <c r="X680" t="str">
        <f t="shared" si="43"/>
        <v>INVALID: Ship date before order date</v>
      </c>
      <c r="Y680" t="str">
        <f t="shared" si="41"/>
        <v>Exclude</v>
      </c>
    </row>
    <row r="681" spans="1:25">
      <c r="A681" t="s">
        <v>2138</v>
      </c>
      <c r="B681" s="3">
        <v>45885</v>
      </c>
      <c r="C681" s="3">
        <v>45892</v>
      </c>
      <c r="D681" s="6">
        <f t="shared" si="42"/>
        <v>7</v>
      </c>
      <c r="E681" t="s">
        <v>2139</v>
      </c>
      <c r="F681" t="s">
        <v>141</v>
      </c>
      <c r="G681" s="5" t="s">
        <v>90</v>
      </c>
      <c r="H681" t="s">
        <v>25</v>
      </c>
      <c r="I681" t="s">
        <v>122</v>
      </c>
      <c r="J681" t="s">
        <v>123</v>
      </c>
      <c r="K681" t="s">
        <v>74</v>
      </c>
      <c r="L681" t="s">
        <v>80</v>
      </c>
      <c r="M681" t="s">
        <v>2140</v>
      </c>
      <c r="N681" t="s">
        <v>44</v>
      </c>
      <c r="O681">
        <v>4</v>
      </c>
      <c r="P681">
        <v>1410.57</v>
      </c>
      <c r="Q681" s="6" t="s">
        <v>464</v>
      </c>
      <c r="R681" s="8" t="str">
        <f t="shared" si="40"/>
        <v>70%</v>
      </c>
      <c r="S681">
        <v>5360.17</v>
      </c>
      <c r="T681">
        <v>3881.51</v>
      </c>
      <c r="U681">
        <v>1478.66</v>
      </c>
      <c r="V681" t="s">
        <v>102</v>
      </c>
      <c r="W681" t="s">
        <v>68</v>
      </c>
      <c r="X681" t="str">
        <f t="shared" si="43"/>
        <v>INVALID: Discount above range; EXCLUDE: Cancelled order; REFUND: Summarize separately</v>
      </c>
      <c r="Y681" t="str">
        <f t="shared" si="41"/>
        <v>Exclude</v>
      </c>
    </row>
    <row r="682" spans="1:25">
      <c r="A682" t="s">
        <v>2141</v>
      </c>
      <c r="B682" s="3">
        <v>45441</v>
      </c>
      <c r="C682" s="3">
        <v>45418</v>
      </c>
      <c r="D682" s="6">
        <f t="shared" si="42"/>
        <v>-23</v>
      </c>
      <c r="E682" t="s">
        <v>2142</v>
      </c>
      <c r="F682" t="s">
        <v>265</v>
      </c>
      <c r="G682" s="5" t="s">
        <v>90</v>
      </c>
      <c r="H682" t="s">
        <v>54</v>
      </c>
      <c r="I682" t="s">
        <v>248</v>
      </c>
      <c r="J682" t="s">
        <v>249</v>
      </c>
      <c r="K682" t="s">
        <v>74</v>
      </c>
      <c r="L682" t="s">
        <v>75</v>
      </c>
      <c r="M682" t="s">
        <v>2143</v>
      </c>
      <c r="N682" t="s">
        <v>50</v>
      </c>
      <c r="O682">
        <v>4</v>
      </c>
      <c r="P682">
        <v>3700.24</v>
      </c>
      <c r="Q682" s="6">
        <v>0</v>
      </c>
      <c r="R682" s="8">
        <f t="shared" si="40"/>
        <v>0</v>
      </c>
      <c r="S682">
        <v>14800.96</v>
      </c>
      <c r="T682">
        <v>12048.39</v>
      </c>
      <c r="U682">
        <v>2752.57</v>
      </c>
      <c r="V682" t="s">
        <v>32</v>
      </c>
      <c r="W682" t="s">
        <v>33</v>
      </c>
      <c r="X682" t="str">
        <f t="shared" si="43"/>
        <v>INVALID: Ship date before order date</v>
      </c>
      <c r="Y682" t="str">
        <f t="shared" si="41"/>
        <v>Exclude</v>
      </c>
    </row>
    <row r="683" spans="1:25">
      <c r="A683" t="s">
        <v>2144</v>
      </c>
      <c r="B683" s="3">
        <v>45389</v>
      </c>
      <c r="C683" s="3">
        <v>45572</v>
      </c>
      <c r="D683" s="6">
        <f t="shared" si="42"/>
        <v>183</v>
      </c>
      <c r="E683" t="s">
        <v>2145</v>
      </c>
      <c r="F683" t="s">
        <v>71</v>
      </c>
      <c r="G683" s="5" t="s">
        <v>90</v>
      </c>
      <c r="H683" t="s">
        <v>25</v>
      </c>
      <c r="I683" t="s">
        <v>351</v>
      </c>
      <c r="J683" t="s">
        <v>352</v>
      </c>
      <c r="K683" t="s">
        <v>41</v>
      </c>
      <c r="L683" t="s">
        <v>42</v>
      </c>
      <c r="M683" t="s">
        <v>2146</v>
      </c>
      <c r="N683" t="s">
        <v>31</v>
      </c>
      <c r="O683">
        <v>5</v>
      </c>
      <c r="P683">
        <v>1200.27</v>
      </c>
      <c r="Q683" s="6">
        <v>0</v>
      </c>
      <c r="R683" s="8">
        <f t="shared" si="40"/>
        <v>0</v>
      </c>
      <c r="S683">
        <v>6001.35</v>
      </c>
      <c r="T683">
        <v>4182.99</v>
      </c>
      <c r="U683">
        <v>1818.36</v>
      </c>
      <c r="V683" t="s">
        <v>32</v>
      </c>
      <c r="W683" t="s">
        <v>68</v>
      </c>
      <c r="X683" t="str">
        <f t="shared" si="43"/>
        <v>EXCLUDE: Cancelled order</v>
      </c>
      <c r="Y683" t="str">
        <f t="shared" si="41"/>
        <v>Exclude</v>
      </c>
    </row>
    <row r="684" spans="1:25">
      <c r="A684" t="s">
        <v>2147</v>
      </c>
      <c r="B684" s="3">
        <v>45693</v>
      </c>
      <c r="C684" s="3">
        <v>45693</v>
      </c>
      <c r="D684" s="6">
        <f t="shared" si="42"/>
        <v>0</v>
      </c>
      <c r="E684" t="s">
        <v>2148</v>
      </c>
      <c r="F684" t="s">
        <v>62</v>
      </c>
      <c r="G684" s="5" t="s">
        <v>90</v>
      </c>
      <c r="H684" t="s">
        <v>25</v>
      </c>
      <c r="I684" t="s">
        <v>237</v>
      </c>
      <c r="J684" t="s">
        <v>238</v>
      </c>
      <c r="K684" t="s">
        <v>28</v>
      </c>
      <c r="L684" t="s">
        <v>124</v>
      </c>
      <c r="M684" t="s">
        <v>2149</v>
      </c>
      <c r="N684" t="s">
        <v>44</v>
      </c>
      <c r="O684">
        <v>3</v>
      </c>
      <c r="P684">
        <v>2590.7800000000002</v>
      </c>
      <c r="Q684" s="6">
        <v>0</v>
      </c>
      <c r="R684" s="8">
        <f t="shared" si="40"/>
        <v>0</v>
      </c>
      <c r="S684">
        <v>7383.72</v>
      </c>
      <c r="T684">
        <v>4113.66</v>
      </c>
      <c r="U684">
        <v>3270.06</v>
      </c>
      <c r="V684" t="s">
        <v>32</v>
      </c>
      <c r="W684" t="s">
        <v>33</v>
      </c>
      <c r="X684" t="str">
        <f t="shared" si="43"/>
        <v/>
      </c>
      <c r="Y684" t="str">
        <f t="shared" si="41"/>
        <v>Exclude</v>
      </c>
    </row>
    <row r="685" spans="1:25">
      <c r="A685" t="s">
        <v>2150</v>
      </c>
      <c r="B685" s="3">
        <v>45858</v>
      </c>
      <c r="C685" s="3">
        <v>45862</v>
      </c>
      <c r="D685" s="6">
        <f t="shared" si="42"/>
        <v>4</v>
      </c>
      <c r="E685" t="s">
        <v>2151</v>
      </c>
      <c r="F685" t="s">
        <v>53</v>
      </c>
      <c r="G685" s="5" t="s">
        <v>37</v>
      </c>
      <c r="H685" t="s">
        <v>54</v>
      </c>
      <c r="I685" t="s">
        <v>55</v>
      </c>
      <c r="J685" t="s">
        <v>56</v>
      </c>
      <c r="K685" t="s">
        <v>41</v>
      </c>
      <c r="L685" t="s">
        <v>57</v>
      </c>
      <c r="M685" t="s">
        <v>2152</v>
      </c>
      <c r="N685" t="s">
        <v>31</v>
      </c>
      <c r="O685">
        <v>6</v>
      </c>
      <c r="P685">
        <v>1646.45</v>
      </c>
      <c r="Q685" s="6">
        <v>0.2</v>
      </c>
      <c r="R685" s="8">
        <f t="shared" si="40"/>
        <v>0.2</v>
      </c>
      <c r="S685">
        <v>7902.96</v>
      </c>
      <c r="T685">
        <v>5512.03</v>
      </c>
      <c r="U685">
        <v>2390.9299999999998</v>
      </c>
      <c r="V685" t="s">
        <v>102</v>
      </c>
      <c r="W685" t="s">
        <v>68</v>
      </c>
      <c r="X685" t="str">
        <f t="shared" si="43"/>
        <v>EXCLUDE: Cancelled order; REFUND: Summarize separately</v>
      </c>
      <c r="Y685" t="str">
        <f t="shared" si="41"/>
        <v>Exclude</v>
      </c>
    </row>
    <row r="686" spans="1:25">
      <c r="A686" t="s">
        <v>2153</v>
      </c>
      <c r="B686" s="3">
        <v>45859</v>
      </c>
      <c r="C686" s="3">
        <v>45859</v>
      </c>
      <c r="D686" s="6">
        <f t="shared" si="42"/>
        <v>0</v>
      </c>
      <c r="E686" t="s">
        <v>2154</v>
      </c>
      <c r="F686" t="s">
        <v>47</v>
      </c>
      <c r="G686" s="5" t="s">
        <v>95</v>
      </c>
      <c r="H686" t="s">
        <v>54</v>
      </c>
      <c r="I686" t="s">
        <v>248</v>
      </c>
      <c r="J686" t="s">
        <v>249</v>
      </c>
      <c r="K686" t="s">
        <v>41</v>
      </c>
      <c r="L686" t="s">
        <v>158</v>
      </c>
      <c r="M686" t="s">
        <v>2155</v>
      </c>
      <c r="N686" t="s">
        <v>50</v>
      </c>
      <c r="O686">
        <v>7</v>
      </c>
      <c r="P686">
        <v>4396.6499999999996</v>
      </c>
      <c r="Q686" s="6">
        <v>0.2</v>
      </c>
      <c r="R686" s="8">
        <f t="shared" si="40"/>
        <v>0.2</v>
      </c>
      <c r="S686">
        <v>24621.24</v>
      </c>
      <c r="T686">
        <v>17155.48</v>
      </c>
      <c r="U686">
        <v>7465.76</v>
      </c>
      <c r="V686" t="s">
        <v>102</v>
      </c>
      <c r="W686" t="s">
        <v>68</v>
      </c>
      <c r="X686" t="str">
        <f t="shared" si="43"/>
        <v>EXCLUDE: Cancelled order; REFUND: Summarize separately</v>
      </c>
      <c r="Y686" t="str">
        <f t="shared" si="41"/>
        <v>Exclude</v>
      </c>
    </row>
    <row r="687" spans="1:25">
      <c r="A687" t="s">
        <v>2156</v>
      </c>
      <c r="B687" s="3">
        <v>45931</v>
      </c>
      <c r="C687" s="3">
        <v>45726</v>
      </c>
      <c r="D687" s="6">
        <f t="shared" si="42"/>
        <v>-205</v>
      </c>
      <c r="E687" t="s">
        <v>1820</v>
      </c>
      <c r="F687" t="s">
        <v>79</v>
      </c>
      <c r="G687" s="5" t="s">
        <v>90</v>
      </c>
      <c r="H687" t="s">
        <v>63</v>
      </c>
      <c r="I687" t="s">
        <v>190</v>
      </c>
      <c r="J687" t="s">
        <v>191</v>
      </c>
      <c r="K687" t="s">
        <v>28</v>
      </c>
      <c r="L687" t="s">
        <v>48</v>
      </c>
      <c r="M687" t="s">
        <v>2157</v>
      </c>
      <c r="N687" t="s">
        <v>59</v>
      </c>
      <c r="O687">
        <v>9</v>
      </c>
      <c r="P687">
        <v>818.15</v>
      </c>
      <c r="Q687" s="6">
        <v>0.55000000000000004</v>
      </c>
      <c r="R687" s="8">
        <f t="shared" si="40"/>
        <v>0.55000000000000004</v>
      </c>
      <c r="S687">
        <v>6627.01</v>
      </c>
      <c r="T687">
        <v>5606.79</v>
      </c>
      <c r="U687">
        <v>1020.22</v>
      </c>
      <c r="V687" t="s">
        <v>155</v>
      </c>
      <c r="W687" t="s">
        <v>68</v>
      </c>
      <c r="X687" t="str">
        <f t="shared" si="43"/>
        <v>INVALID: Discount above range; INVALID: Ship date before order date; EXCLUDE: Cancelled order; EXCLUDE: Failed payment</v>
      </c>
      <c r="Y687" t="str">
        <f t="shared" si="41"/>
        <v>Exclude</v>
      </c>
    </row>
    <row r="688" spans="1:25">
      <c r="A688" t="s">
        <v>2158</v>
      </c>
      <c r="B688" s="3">
        <v>45376</v>
      </c>
      <c r="C688" s="3">
        <v>45326</v>
      </c>
      <c r="D688" s="6">
        <f t="shared" si="42"/>
        <v>-50</v>
      </c>
      <c r="E688" t="s">
        <v>2159</v>
      </c>
      <c r="F688" t="s">
        <v>132</v>
      </c>
      <c r="G688" s="5" t="s">
        <v>95</v>
      </c>
      <c r="H688" t="s">
        <v>54</v>
      </c>
      <c r="I688" t="s">
        <v>248</v>
      </c>
      <c r="J688" t="s">
        <v>249</v>
      </c>
      <c r="K688" t="s">
        <v>74</v>
      </c>
      <c r="L688" t="s">
        <v>80</v>
      </c>
      <c r="M688" t="s">
        <v>2160</v>
      </c>
      <c r="N688" t="s">
        <v>59</v>
      </c>
      <c r="O688">
        <v>2</v>
      </c>
      <c r="P688">
        <v>2349.13</v>
      </c>
      <c r="Q688" s="6">
        <v>0</v>
      </c>
      <c r="R688" s="8">
        <f t="shared" si="40"/>
        <v>0</v>
      </c>
      <c r="S688">
        <v>4698.26</v>
      </c>
      <c r="T688">
        <v>2654.92</v>
      </c>
      <c r="U688">
        <v>2043.34</v>
      </c>
      <c r="V688" t="s">
        <v>32</v>
      </c>
      <c r="W688" t="s">
        <v>33</v>
      </c>
      <c r="X688" t="str">
        <f t="shared" si="43"/>
        <v>INVALID: Ship date before order date</v>
      </c>
      <c r="Y688" t="str">
        <f t="shared" si="41"/>
        <v>Exclude</v>
      </c>
    </row>
    <row r="689" spans="1:25">
      <c r="A689" t="s">
        <v>2161</v>
      </c>
      <c r="B689" s="3">
        <v>45938</v>
      </c>
      <c r="C689" s="3">
        <v>45943</v>
      </c>
      <c r="D689" s="6">
        <f t="shared" si="42"/>
        <v>5</v>
      </c>
      <c r="E689" t="s">
        <v>2162</v>
      </c>
      <c r="F689" t="s">
        <v>36</v>
      </c>
      <c r="G689" s="5" t="s">
        <v>95</v>
      </c>
      <c r="H689" t="s">
        <v>25</v>
      </c>
      <c r="I689" t="s">
        <v>122</v>
      </c>
      <c r="J689" t="s">
        <v>123</v>
      </c>
      <c r="K689" t="s">
        <v>41</v>
      </c>
      <c r="L689" t="s">
        <v>42</v>
      </c>
      <c r="M689" t="s">
        <v>2163</v>
      </c>
      <c r="N689" t="s">
        <v>50</v>
      </c>
      <c r="O689">
        <v>4</v>
      </c>
      <c r="P689">
        <v>172.05</v>
      </c>
      <c r="Q689" s="6">
        <v>0</v>
      </c>
      <c r="R689" s="8">
        <f t="shared" si="40"/>
        <v>0</v>
      </c>
      <c r="S689">
        <v>688.2</v>
      </c>
      <c r="T689">
        <v>497.68</v>
      </c>
      <c r="U689">
        <v>190.52</v>
      </c>
      <c r="V689" t="s">
        <v>155</v>
      </c>
      <c r="W689" t="s">
        <v>68</v>
      </c>
      <c r="X689" t="str">
        <f t="shared" si="43"/>
        <v>EXCLUDE: Cancelled order; EXCLUDE: Failed payment</v>
      </c>
      <c r="Y689" t="str">
        <f t="shared" si="41"/>
        <v>Exclude</v>
      </c>
    </row>
    <row r="690" spans="1:25">
      <c r="A690" t="s">
        <v>2164</v>
      </c>
      <c r="B690" s="3">
        <v>45714</v>
      </c>
      <c r="C690" s="3">
        <v>45715</v>
      </c>
      <c r="D690" s="6">
        <f t="shared" si="42"/>
        <v>1</v>
      </c>
      <c r="E690" t="s">
        <v>2165</v>
      </c>
      <c r="F690" t="s">
        <v>79</v>
      </c>
      <c r="G690" s="5" t="s">
        <v>95</v>
      </c>
      <c r="H690" t="s">
        <v>25</v>
      </c>
      <c r="I690" t="s">
        <v>237</v>
      </c>
      <c r="J690" t="s">
        <v>238</v>
      </c>
      <c r="K690" t="s">
        <v>28</v>
      </c>
      <c r="L690" t="s">
        <v>48</v>
      </c>
      <c r="M690" t="s">
        <v>2166</v>
      </c>
      <c r="N690" t="s">
        <v>31</v>
      </c>
      <c r="O690">
        <v>6</v>
      </c>
      <c r="P690">
        <v>3037.66</v>
      </c>
      <c r="Q690" s="6">
        <v>0.15</v>
      </c>
      <c r="R690" s="8">
        <f t="shared" si="40"/>
        <v>0.15</v>
      </c>
      <c r="S690">
        <v>15492.07</v>
      </c>
      <c r="T690">
        <v>12581.23</v>
      </c>
      <c r="U690">
        <v>2910.84</v>
      </c>
      <c r="V690" t="s">
        <v>32</v>
      </c>
      <c r="W690" t="s">
        <v>33</v>
      </c>
      <c r="X690" t="str">
        <f t="shared" si="43"/>
        <v/>
      </c>
      <c r="Y690" t="str">
        <f t="shared" si="41"/>
        <v>Exclude</v>
      </c>
    </row>
    <row r="691" spans="1:25">
      <c r="A691" t="s">
        <v>2167</v>
      </c>
      <c r="B691" s="3">
        <v>45570</v>
      </c>
      <c r="C691" s="3">
        <v>45453</v>
      </c>
      <c r="D691" s="6">
        <f t="shared" si="42"/>
        <v>-117</v>
      </c>
      <c r="E691" t="s">
        <v>2168</v>
      </c>
      <c r="F691" t="s">
        <v>141</v>
      </c>
      <c r="G691" s="5" t="s">
        <v>37</v>
      </c>
      <c r="H691" t="s">
        <v>25</v>
      </c>
      <c r="I691" t="s">
        <v>122</v>
      </c>
      <c r="J691" t="s">
        <v>123</v>
      </c>
      <c r="K691" t="s">
        <v>41</v>
      </c>
      <c r="L691" t="s">
        <v>42</v>
      </c>
      <c r="M691" t="s">
        <v>2169</v>
      </c>
      <c r="N691" t="s">
        <v>59</v>
      </c>
      <c r="O691">
        <v>9</v>
      </c>
      <c r="P691">
        <v>489.58</v>
      </c>
      <c r="Q691" s="6">
        <v>0.15</v>
      </c>
      <c r="R691" s="8">
        <f t="shared" si="40"/>
        <v>0.15</v>
      </c>
      <c r="S691">
        <v>3745.29</v>
      </c>
      <c r="T691">
        <v>2302.65</v>
      </c>
      <c r="U691">
        <v>1442.64</v>
      </c>
      <c r="V691" t="s">
        <v>155</v>
      </c>
      <c r="W691" t="s">
        <v>68</v>
      </c>
      <c r="X691" t="str">
        <f t="shared" si="43"/>
        <v>INVALID: Ship date before order date; EXCLUDE: Cancelled order; EXCLUDE: Failed payment</v>
      </c>
      <c r="Y691" t="str">
        <f t="shared" si="41"/>
        <v>Exclude</v>
      </c>
    </row>
    <row r="692" spans="1:25">
      <c r="A692" t="s">
        <v>2170</v>
      </c>
      <c r="B692" s="3">
        <v>45605</v>
      </c>
      <c r="C692" s="3">
        <v>45550</v>
      </c>
      <c r="D692" s="6">
        <f t="shared" si="42"/>
        <v>-55</v>
      </c>
      <c r="E692" t="s">
        <v>2171</v>
      </c>
      <c r="F692" t="s">
        <v>132</v>
      </c>
      <c r="G692" s="5" t="s">
        <v>90</v>
      </c>
      <c r="H692" t="s">
        <v>54</v>
      </c>
      <c r="I692" t="s">
        <v>248</v>
      </c>
      <c r="J692" t="s">
        <v>249</v>
      </c>
      <c r="K692" t="s">
        <v>28</v>
      </c>
      <c r="L692" t="s">
        <v>48</v>
      </c>
      <c r="M692" t="s">
        <v>2172</v>
      </c>
      <c r="N692" t="s">
        <v>59</v>
      </c>
      <c r="O692">
        <v>4</v>
      </c>
      <c r="P692">
        <v>865.63</v>
      </c>
      <c r="Q692" s="6">
        <v>0</v>
      </c>
      <c r="R692" s="8">
        <f t="shared" si="40"/>
        <v>0</v>
      </c>
      <c r="S692">
        <v>3462.52</v>
      </c>
      <c r="T692">
        <v>2797.29</v>
      </c>
      <c r="U692">
        <v>665.23</v>
      </c>
      <c r="V692" t="s">
        <v>155</v>
      </c>
      <c r="W692" t="s">
        <v>103</v>
      </c>
      <c r="X692" t="str">
        <f t="shared" si="43"/>
        <v>INVALID: Ship date before order date; EXCLUDE: Failed payment</v>
      </c>
      <c r="Y692" t="str">
        <f t="shared" si="41"/>
        <v>Exclude</v>
      </c>
    </row>
    <row r="693" spans="1:25">
      <c r="A693" t="s">
        <v>2173</v>
      </c>
      <c r="B693" s="3">
        <v>45641</v>
      </c>
      <c r="C693" s="3">
        <v>45642</v>
      </c>
      <c r="D693" s="6">
        <f t="shared" si="42"/>
        <v>1</v>
      </c>
      <c r="E693" t="s">
        <v>2174</v>
      </c>
      <c r="F693" t="s">
        <v>141</v>
      </c>
      <c r="G693" s="5" t="s">
        <v>24</v>
      </c>
      <c r="H693" t="s">
        <v>38</v>
      </c>
      <c r="I693" t="s">
        <v>39</v>
      </c>
      <c r="J693" t="s">
        <v>40</v>
      </c>
      <c r="K693" t="s">
        <v>74</v>
      </c>
      <c r="L693" t="s">
        <v>80</v>
      </c>
      <c r="M693" t="s">
        <v>2175</v>
      </c>
      <c r="N693" t="s">
        <v>31</v>
      </c>
      <c r="O693">
        <v>6</v>
      </c>
      <c r="P693">
        <v>1538.1</v>
      </c>
      <c r="Q693" s="6">
        <v>0.05</v>
      </c>
      <c r="R693" s="8">
        <f t="shared" si="40"/>
        <v>0.05</v>
      </c>
      <c r="S693">
        <v>8767.17</v>
      </c>
      <c r="T693">
        <v>5098.2</v>
      </c>
      <c r="U693">
        <v>3668.97</v>
      </c>
      <c r="V693" t="s">
        <v>32</v>
      </c>
      <c r="W693" t="s">
        <v>33</v>
      </c>
      <c r="X693" t="str">
        <f t="shared" si="43"/>
        <v/>
      </c>
      <c r="Y693" t="str">
        <f t="shared" si="41"/>
        <v>Exclude</v>
      </c>
    </row>
    <row r="694" spans="1:25">
      <c r="A694" t="s">
        <v>2176</v>
      </c>
      <c r="B694" s="3">
        <v>45935</v>
      </c>
      <c r="C694" s="3">
        <v>45940</v>
      </c>
      <c r="D694" s="6">
        <f t="shared" si="42"/>
        <v>5</v>
      </c>
      <c r="E694" t="s">
        <v>2177</v>
      </c>
      <c r="F694" t="s">
        <v>47</v>
      </c>
      <c r="G694" s="5" t="s">
        <v>90</v>
      </c>
      <c r="H694" t="s">
        <v>54</v>
      </c>
      <c r="I694" t="s">
        <v>175</v>
      </c>
      <c r="J694" t="s">
        <v>176</v>
      </c>
      <c r="K694" t="s">
        <v>41</v>
      </c>
      <c r="L694" t="s">
        <v>57</v>
      </c>
      <c r="M694" t="s">
        <v>2178</v>
      </c>
      <c r="N694" t="s">
        <v>31</v>
      </c>
      <c r="O694">
        <v>4</v>
      </c>
      <c r="P694">
        <v>2365.6799999999998</v>
      </c>
      <c r="Q694" s="6">
        <v>0.1</v>
      </c>
      <c r="R694" s="8">
        <f t="shared" si="40"/>
        <v>0.1</v>
      </c>
      <c r="S694">
        <v>8516.4500000000007</v>
      </c>
      <c r="T694">
        <v>5903.81</v>
      </c>
      <c r="U694">
        <v>2612.64</v>
      </c>
      <c r="V694" t="s">
        <v>32</v>
      </c>
      <c r="W694" t="s">
        <v>33</v>
      </c>
      <c r="X694" t="str">
        <f t="shared" si="43"/>
        <v/>
      </c>
      <c r="Y694" t="str">
        <f t="shared" si="41"/>
        <v>Exclude</v>
      </c>
    </row>
    <row r="695" spans="1:25">
      <c r="A695" t="s">
        <v>2179</v>
      </c>
      <c r="B695" s="3">
        <v>45750</v>
      </c>
      <c r="C695" s="3">
        <v>45965</v>
      </c>
      <c r="D695" s="6">
        <f t="shared" si="42"/>
        <v>215</v>
      </c>
      <c r="E695" t="s">
        <v>2180</v>
      </c>
      <c r="F695" t="s">
        <v>53</v>
      </c>
      <c r="G695" s="5" t="s">
        <v>24</v>
      </c>
      <c r="H695" t="s">
        <v>54</v>
      </c>
      <c r="I695" t="s">
        <v>248</v>
      </c>
      <c r="J695" t="s">
        <v>249</v>
      </c>
      <c r="K695" t="s">
        <v>41</v>
      </c>
      <c r="L695" t="s">
        <v>158</v>
      </c>
      <c r="M695" t="s">
        <v>2181</v>
      </c>
      <c r="N695" t="s">
        <v>31</v>
      </c>
      <c r="O695">
        <v>3</v>
      </c>
      <c r="P695">
        <v>4149.7700000000004</v>
      </c>
      <c r="Q695" s="6">
        <v>0.05</v>
      </c>
      <c r="R695" s="8">
        <f t="shared" si="40"/>
        <v>0.05</v>
      </c>
      <c r="S695">
        <v>11826.84</v>
      </c>
      <c r="T695">
        <v>8035.96</v>
      </c>
      <c r="U695">
        <v>3790.88</v>
      </c>
      <c r="V695" t="s">
        <v>32</v>
      </c>
      <c r="W695" t="s">
        <v>33</v>
      </c>
      <c r="X695" t="str">
        <f t="shared" si="43"/>
        <v/>
      </c>
      <c r="Y695" t="str">
        <f t="shared" si="41"/>
        <v>Exclude</v>
      </c>
    </row>
    <row r="696" spans="1:25">
      <c r="A696" t="s">
        <v>2182</v>
      </c>
      <c r="B696" s="3">
        <v>45870</v>
      </c>
      <c r="C696" s="3">
        <v>45878</v>
      </c>
      <c r="D696" s="6">
        <f t="shared" si="42"/>
        <v>8</v>
      </c>
      <c r="E696" t="s">
        <v>1145</v>
      </c>
      <c r="F696" t="s">
        <v>47</v>
      </c>
      <c r="G696" s="5" t="s">
        <v>24</v>
      </c>
      <c r="H696" t="s">
        <v>54</v>
      </c>
      <c r="I696" t="s">
        <v>84</v>
      </c>
      <c r="J696" t="s">
        <v>85</v>
      </c>
      <c r="K696" t="s">
        <v>28</v>
      </c>
      <c r="L696" t="s">
        <v>124</v>
      </c>
      <c r="M696" t="s">
        <v>2183</v>
      </c>
      <c r="N696" t="s">
        <v>50</v>
      </c>
      <c r="O696">
        <v>5</v>
      </c>
      <c r="P696">
        <v>2736.24</v>
      </c>
      <c r="Q696" s="6">
        <v>0.15</v>
      </c>
      <c r="R696" s="8">
        <f t="shared" si="40"/>
        <v>0.15</v>
      </c>
      <c r="S696">
        <v>11629.02</v>
      </c>
      <c r="T696">
        <v>9627.2099999999991</v>
      </c>
      <c r="U696">
        <v>2001.81</v>
      </c>
      <c r="V696" t="s">
        <v>32</v>
      </c>
      <c r="W696" t="s">
        <v>33</v>
      </c>
      <c r="X696" t="str">
        <f t="shared" si="43"/>
        <v/>
      </c>
      <c r="Y696" t="str">
        <f t="shared" si="41"/>
        <v>Exclude</v>
      </c>
    </row>
    <row r="697" spans="1:25">
      <c r="A697" t="s">
        <v>2184</v>
      </c>
      <c r="B697" s="3">
        <v>45474</v>
      </c>
      <c r="C697" s="3">
        <v>45474</v>
      </c>
      <c r="D697" s="6">
        <f t="shared" si="42"/>
        <v>0</v>
      </c>
      <c r="E697" t="s">
        <v>2185</v>
      </c>
      <c r="F697" t="s">
        <v>128</v>
      </c>
      <c r="G697" s="5" t="s">
        <v>24</v>
      </c>
      <c r="H697" t="s">
        <v>63</v>
      </c>
      <c r="I697" t="s">
        <v>72</v>
      </c>
      <c r="J697" t="s">
        <v>73</v>
      </c>
      <c r="K697" t="s">
        <v>74</v>
      </c>
      <c r="L697" t="s">
        <v>275</v>
      </c>
      <c r="M697" t="s">
        <v>2186</v>
      </c>
      <c r="N697" t="s">
        <v>59</v>
      </c>
      <c r="O697">
        <v>4</v>
      </c>
      <c r="P697">
        <v>257.39</v>
      </c>
      <c r="Q697" s="6">
        <v>0</v>
      </c>
      <c r="R697" s="8">
        <f t="shared" si="40"/>
        <v>0</v>
      </c>
      <c r="S697">
        <v>1029.56</v>
      </c>
      <c r="T697">
        <v>626.33000000000004</v>
      </c>
      <c r="U697">
        <v>403.23</v>
      </c>
      <c r="V697" t="s">
        <v>32</v>
      </c>
      <c r="W697" t="s">
        <v>33</v>
      </c>
      <c r="X697" t="str">
        <f t="shared" si="43"/>
        <v/>
      </c>
      <c r="Y697" t="str">
        <f t="shared" si="41"/>
        <v>Exclude</v>
      </c>
    </row>
    <row r="698" spans="1:25">
      <c r="A698" t="s">
        <v>2187</v>
      </c>
      <c r="B698" s="3">
        <v>45922</v>
      </c>
      <c r="C698" s="3">
        <v>45925</v>
      </c>
      <c r="D698" s="6">
        <f t="shared" si="42"/>
        <v>3</v>
      </c>
      <c r="E698" t="s">
        <v>2188</v>
      </c>
      <c r="F698" t="s">
        <v>47</v>
      </c>
      <c r="G698" s="5" t="s">
        <v>37</v>
      </c>
      <c r="H698" t="s">
        <v>54</v>
      </c>
      <c r="I698" t="s">
        <v>185</v>
      </c>
      <c r="J698" t="s">
        <v>186</v>
      </c>
      <c r="K698" t="s">
        <v>74</v>
      </c>
      <c r="L698" t="s">
        <v>171</v>
      </c>
      <c r="M698" t="s">
        <v>2189</v>
      </c>
      <c r="N698" t="s">
        <v>2806</v>
      </c>
      <c r="O698">
        <v>4</v>
      </c>
      <c r="P698">
        <v>1178.8399999999999</v>
      </c>
      <c r="Q698" s="6">
        <v>0.25</v>
      </c>
      <c r="R698" s="8">
        <f t="shared" si="40"/>
        <v>0.25</v>
      </c>
      <c r="S698">
        <v>3536.52</v>
      </c>
      <c r="T698">
        <v>2102.41</v>
      </c>
      <c r="U698">
        <v>1363.28</v>
      </c>
      <c r="V698" t="s">
        <v>32</v>
      </c>
      <c r="W698" t="s">
        <v>33</v>
      </c>
      <c r="X698" t="str">
        <f t="shared" si="43"/>
        <v/>
      </c>
      <c r="Y698" t="str">
        <f t="shared" si="41"/>
        <v>Exclude</v>
      </c>
    </row>
    <row r="699" spans="1:25">
      <c r="A699" t="s">
        <v>2190</v>
      </c>
      <c r="B699" s="3">
        <v>45660</v>
      </c>
      <c r="C699" s="3">
        <v>45723</v>
      </c>
      <c r="D699" s="6">
        <f t="shared" si="42"/>
        <v>63</v>
      </c>
      <c r="E699" t="s">
        <v>2191</v>
      </c>
      <c r="F699" t="s">
        <v>53</v>
      </c>
      <c r="G699" s="5" t="s">
        <v>90</v>
      </c>
      <c r="H699" t="s">
        <v>54</v>
      </c>
      <c r="I699" t="s">
        <v>84</v>
      </c>
      <c r="J699" t="s">
        <v>85</v>
      </c>
      <c r="K699" t="s">
        <v>28</v>
      </c>
      <c r="L699" t="s">
        <v>91</v>
      </c>
      <c r="M699" t="s">
        <v>2192</v>
      </c>
      <c r="N699" t="s">
        <v>50</v>
      </c>
      <c r="O699">
        <v>7</v>
      </c>
      <c r="P699">
        <v>567.15</v>
      </c>
      <c r="Q699" s="6">
        <v>0</v>
      </c>
      <c r="R699" s="8">
        <f t="shared" si="40"/>
        <v>0</v>
      </c>
      <c r="S699">
        <v>2977.54</v>
      </c>
      <c r="T699">
        <v>1849.3</v>
      </c>
      <c r="U699">
        <v>1128.24</v>
      </c>
      <c r="V699" t="s">
        <v>102</v>
      </c>
      <c r="W699" t="s">
        <v>103</v>
      </c>
      <c r="X699" t="str">
        <f t="shared" si="43"/>
        <v>REFUND: Summarize separately</v>
      </c>
      <c r="Y699" t="str">
        <f t="shared" si="41"/>
        <v>Exclude</v>
      </c>
    </row>
    <row r="700" spans="1:25">
      <c r="A700" t="s">
        <v>2193</v>
      </c>
      <c r="B700" s="3">
        <v>45549</v>
      </c>
      <c r="C700" s="3">
        <v>45549</v>
      </c>
      <c r="D700" s="6">
        <f t="shared" si="42"/>
        <v>0</v>
      </c>
      <c r="E700" t="s">
        <v>2194</v>
      </c>
      <c r="F700" t="s">
        <v>36</v>
      </c>
      <c r="G700" s="5" t="s">
        <v>90</v>
      </c>
      <c r="H700" t="s">
        <v>25</v>
      </c>
      <c r="I700" t="s">
        <v>26</v>
      </c>
      <c r="J700" t="s">
        <v>27</v>
      </c>
      <c r="K700" t="s">
        <v>74</v>
      </c>
      <c r="L700" t="s">
        <v>275</v>
      </c>
      <c r="M700" t="s">
        <v>2195</v>
      </c>
      <c r="N700" t="s">
        <v>59</v>
      </c>
      <c r="O700">
        <v>8</v>
      </c>
      <c r="P700">
        <v>4081.66</v>
      </c>
      <c r="Q700" s="6">
        <v>0.15</v>
      </c>
      <c r="R700" s="8">
        <f t="shared" si="40"/>
        <v>0.15</v>
      </c>
      <c r="S700">
        <v>28208.1</v>
      </c>
      <c r="T700">
        <v>23751.91</v>
      </c>
      <c r="U700">
        <v>4003.38</v>
      </c>
      <c r="V700" t="s">
        <v>32</v>
      </c>
      <c r="W700" t="s">
        <v>103</v>
      </c>
      <c r="X700" t="str">
        <f t="shared" si="43"/>
        <v/>
      </c>
      <c r="Y700" t="str">
        <f t="shared" si="41"/>
        <v>Exclude</v>
      </c>
    </row>
    <row r="701" spans="1:25">
      <c r="A701" t="s">
        <v>2196</v>
      </c>
      <c r="B701" s="3">
        <v>45454</v>
      </c>
      <c r="C701" s="3">
        <v>45602</v>
      </c>
      <c r="D701" s="6">
        <f t="shared" si="42"/>
        <v>148</v>
      </c>
      <c r="E701" t="s">
        <v>2197</v>
      </c>
      <c r="F701" t="s">
        <v>53</v>
      </c>
      <c r="G701" s="5" t="s">
        <v>37</v>
      </c>
      <c r="H701" t="s">
        <v>54</v>
      </c>
      <c r="I701" t="s">
        <v>175</v>
      </c>
      <c r="J701" t="s">
        <v>176</v>
      </c>
      <c r="K701" t="s">
        <v>41</v>
      </c>
      <c r="L701" t="s">
        <v>158</v>
      </c>
      <c r="M701" t="s">
        <v>2198</v>
      </c>
      <c r="N701" t="s">
        <v>59</v>
      </c>
      <c r="O701">
        <v>9</v>
      </c>
      <c r="P701">
        <v>1400.11</v>
      </c>
      <c r="Q701" s="6">
        <v>0.25</v>
      </c>
      <c r="R701" s="8">
        <f t="shared" si="40"/>
        <v>0.25</v>
      </c>
      <c r="S701">
        <v>9450.74</v>
      </c>
      <c r="T701">
        <v>7798.56</v>
      </c>
      <c r="U701">
        <v>1652.18</v>
      </c>
      <c r="V701" t="s">
        <v>32</v>
      </c>
      <c r="W701" t="s">
        <v>33</v>
      </c>
      <c r="X701" t="str">
        <f t="shared" si="43"/>
        <v/>
      </c>
      <c r="Y701" t="str">
        <f t="shared" si="41"/>
        <v>Exclude</v>
      </c>
    </row>
    <row r="702" spans="1:25">
      <c r="A702" t="s">
        <v>2199</v>
      </c>
      <c r="B702" s="3">
        <v>45553</v>
      </c>
      <c r="C702" s="3">
        <v>45556</v>
      </c>
      <c r="D702" s="6">
        <f t="shared" si="42"/>
        <v>3</v>
      </c>
      <c r="E702" t="s">
        <v>2200</v>
      </c>
      <c r="F702" t="s">
        <v>79</v>
      </c>
      <c r="G702" s="5" t="s">
        <v>90</v>
      </c>
      <c r="H702" t="s">
        <v>38</v>
      </c>
      <c r="I702" t="s">
        <v>99</v>
      </c>
      <c r="J702" t="s">
        <v>100</v>
      </c>
      <c r="K702" t="s">
        <v>74</v>
      </c>
      <c r="L702" t="s">
        <v>275</v>
      </c>
      <c r="M702" t="s">
        <v>2201</v>
      </c>
      <c r="N702" t="s">
        <v>59</v>
      </c>
      <c r="O702">
        <v>3</v>
      </c>
      <c r="P702">
        <v>3055.9</v>
      </c>
      <c r="Q702" s="6">
        <v>0.15</v>
      </c>
      <c r="R702" s="8">
        <f t="shared" si="40"/>
        <v>0.15</v>
      </c>
      <c r="S702">
        <v>7792.55</v>
      </c>
      <c r="T702">
        <v>4691.7299999999996</v>
      </c>
      <c r="U702">
        <v>3100.82</v>
      </c>
      <c r="V702" t="s">
        <v>32</v>
      </c>
      <c r="W702" t="s">
        <v>33</v>
      </c>
      <c r="X702" t="str">
        <f t="shared" si="43"/>
        <v/>
      </c>
      <c r="Y702" t="str">
        <f t="shared" si="41"/>
        <v>Exclude</v>
      </c>
    </row>
    <row r="703" spans="1:25">
      <c r="A703" t="s">
        <v>2202</v>
      </c>
      <c r="B703" s="3">
        <v>45412</v>
      </c>
      <c r="C703" s="3">
        <v>45387</v>
      </c>
      <c r="D703" s="6">
        <f t="shared" si="42"/>
        <v>-25</v>
      </c>
      <c r="E703" t="s">
        <v>2203</v>
      </c>
      <c r="F703" t="s">
        <v>141</v>
      </c>
      <c r="G703" s="5" t="s">
        <v>37</v>
      </c>
      <c r="H703" t="s">
        <v>63</v>
      </c>
      <c r="I703" t="s">
        <v>180</v>
      </c>
      <c r="J703" t="s">
        <v>181</v>
      </c>
      <c r="K703" t="s">
        <v>28</v>
      </c>
      <c r="L703" t="s">
        <v>48</v>
      </c>
      <c r="M703" t="s">
        <v>2204</v>
      </c>
      <c r="N703" t="s">
        <v>44</v>
      </c>
      <c r="O703">
        <v>7</v>
      </c>
      <c r="P703">
        <v>1224.94</v>
      </c>
      <c r="Q703" s="6">
        <v>0</v>
      </c>
      <c r="R703" s="8">
        <f t="shared" si="40"/>
        <v>0</v>
      </c>
      <c r="S703">
        <v>8574.58</v>
      </c>
      <c r="T703">
        <v>6685.81</v>
      </c>
      <c r="U703">
        <v>1888.77</v>
      </c>
      <c r="V703" t="s">
        <v>32</v>
      </c>
      <c r="W703" t="s">
        <v>103</v>
      </c>
      <c r="X703" t="str">
        <f t="shared" si="43"/>
        <v>INVALID: Ship date before order date</v>
      </c>
      <c r="Y703" t="str">
        <f t="shared" si="41"/>
        <v>Exclude</v>
      </c>
    </row>
    <row r="704" spans="1:25">
      <c r="A704" t="s">
        <v>2205</v>
      </c>
      <c r="B704" s="3">
        <v>45690</v>
      </c>
      <c r="C704" s="3">
        <v>45810</v>
      </c>
      <c r="D704" s="6">
        <f t="shared" si="42"/>
        <v>120</v>
      </c>
      <c r="E704" t="s">
        <v>2206</v>
      </c>
      <c r="F704" t="s">
        <v>23</v>
      </c>
      <c r="G704" s="5" t="s">
        <v>37</v>
      </c>
      <c r="H704" t="s">
        <v>63</v>
      </c>
      <c r="I704" t="s">
        <v>26</v>
      </c>
      <c r="J704" t="s">
        <v>109</v>
      </c>
      <c r="K704" t="s">
        <v>41</v>
      </c>
      <c r="L704" t="s">
        <v>42</v>
      </c>
      <c r="M704" t="s">
        <v>2207</v>
      </c>
      <c r="N704" t="s">
        <v>31</v>
      </c>
      <c r="O704">
        <v>3</v>
      </c>
      <c r="P704">
        <v>997.34</v>
      </c>
      <c r="Q704" s="6">
        <v>0.1</v>
      </c>
      <c r="R704" s="8">
        <f t="shared" si="40"/>
        <v>0.1</v>
      </c>
      <c r="S704">
        <v>2692.82</v>
      </c>
      <c r="T704">
        <v>1820.08</v>
      </c>
      <c r="U704">
        <v>872.74</v>
      </c>
      <c r="V704" t="s">
        <v>32</v>
      </c>
      <c r="W704" t="s">
        <v>33</v>
      </c>
      <c r="X704" t="str">
        <f t="shared" si="43"/>
        <v/>
      </c>
      <c r="Y704" t="str">
        <f t="shared" si="41"/>
        <v>Exclude</v>
      </c>
    </row>
    <row r="705" spans="1:25">
      <c r="A705" t="s">
        <v>2208</v>
      </c>
      <c r="B705" s="3">
        <v>45584</v>
      </c>
      <c r="C705" s="3">
        <v>45585</v>
      </c>
      <c r="D705" s="6">
        <f t="shared" si="42"/>
        <v>1</v>
      </c>
      <c r="E705" t="s">
        <v>2209</v>
      </c>
      <c r="F705" t="s">
        <v>89</v>
      </c>
      <c r="G705" s="5" t="s">
        <v>90</v>
      </c>
      <c r="H705" t="s">
        <v>25</v>
      </c>
      <c r="I705" t="s">
        <v>26</v>
      </c>
      <c r="J705" t="s">
        <v>27</v>
      </c>
      <c r="K705" t="s">
        <v>41</v>
      </c>
      <c r="L705" t="s">
        <v>42</v>
      </c>
      <c r="M705" t="s">
        <v>2210</v>
      </c>
      <c r="N705" t="s">
        <v>50</v>
      </c>
      <c r="O705">
        <v>1</v>
      </c>
      <c r="P705">
        <v>1150.03</v>
      </c>
      <c r="Q705" s="6">
        <v>0.1</v>
      </c>
      <c r="R705" s="8">
        <f t="shared" si="40"/>
        <v>0.1</v>
      </c>
      <c r="S705">
        <v>1035.03</v>
      </c>
      <c r="T705">
        <v>854.35</v>
      </c>
      <c r="U705">
        <v>180.68</v>
      </c>
      <c r="V705" t="s">
        <v>32</v>
      </c>
      <c r="W705" t="s">
        <v>33</v>
      </c>
      <c r="X705" t="str">
        <f t="shared" si="43"/>
        <v/>
      </c>
      <c r="Y705" t="str">
        <f t="shared" si="41"/>
        <v>Exclude</v>
      </c>
    </row>
    <row r="706" spans="1:25">
      <c r="A706" t="s">
        <v>2211</v>
      </c>
      <c r="B706" s="3">
        <v>45364</v>
      </c>
      <c r="C706" s="3">
        <v>45371</v>
      </c>
      <c r="D706" s="6">
        <f t="shared" si="42"/>
        <v>7</v>
      </c>
      <c r="E706" t="s">
        <v>2212</v>
      </c>
      <c r="F706" t="s">
        <v>114</v>
      </c>
      <c r="G706" s="5" t="s">
        <v>95</v>
      </c>
      <c r="H706" t="s">
        <v>54</v>
      </c>
      <c r="I706" t="s">
        <v>248</v>
      </c>
      <c r="J706" t="s">
        <v>249</v>
      </c>
      <c r="K706" t="s">
        <v>41</v>
      </c>
      <c r="L706" t="s">
        <v>158</v>
      </c>
      <c r="M706" t="s">
        <v>2213</v>
      </c>
      <c r="N706" t="s">
        <v>2806</v>
      </c>
      <c r="O706">
        <v>1</v>
      </c>
      <c r="P706">
        <v>2825.63</v>
      </c>
      <c r="Q706" s="6">
        <v>0.15</v>
      </c>
      <c r="R706" s="8">
        <f t="shared" ref="R706:R769" si="44">IF(ISBLANK(Q706),IF(AND(ISNUMBER(O706),O706&gt;0,ISNUMBER(P706),ISNUMBER(S706),ISNUMBER(T706),ISNUMBER(U706)),0,""),Q706)</f>
        <v>0.15</v>
      </c>
      <c r="S706">
        <v>2401.79</v>
      </c>
      <c r="T706">
        <v>1820.34</v>
      </c>
      <c r="U706">
        <v>581.45000000000005</v>
      </c>
      <c r="V706" t="s">
        <v>32</v>
      </c>
      <c r="W706" t="s">
        <v>33</v>
      </c>
      <c r="X706" t="str">
        <f t="shared" si="43"/>
        <v/>
      </c>
      <c r="Y706" t="str">
        <f t="shared" ref="Y706:Y769" si="45">IF(AND(U706="Completed",T706="Paid",ISERROR(SEARCH("INVALID",W706))),"Include","Exclude")</f>
        <v>Exclude</v>
      </c>
    </row>
    <row r="707" spans="1:25">
      <c r="A707" t="s">
        <v>2214</v>
      </c>
      <c r="B707" s="3">
        <v>45543</v>
      </c>
      <c r="C707" s="3">
        <v>45549</v>
      </c>
      <c r="D707" s="6">
        <f t="shared" ref="D707:D770" si="46">IF(OR(B707="",C707=""),"",C707-B707)</f>
        <v>6</v>
      </c>
      <c r="E707" t="s">
        <v>2215</v>
      </c>
      <c r="F707" t="s">
        <v>141</v>
      </c>
      <c r="G707" s="5" t="s">
        <v>24</v>
      </c>
      <c r="H707" t="s">
        <v>25</v>
      </c>
      <c r="I707" t="s">
        <v>26</v>
      </c>
      <c r="J707" t="s">
        <v>27</v>
      </c>
      <c r="K707" t="s">
        <v>28</v>
      </c>
      <c r="L707" t="s">
        <v>153</v>
      </c>
      <c r="M707" t="s">
        <v>2216</v>
      </c>
      <c r="N707" t="s">
        <v>59</v>
      </c>
      <c r="O707">
        <v>5</v>
      </c>
      <c r="P707">
        <v>3371.75</v>
      </c>
      <c r="Q707" s="6">
        <v>0.05</v>
      </c>
      <c r="R707" s="8">
        <f t="shared" si="44"/>
        <v>0.05</v>
      </c>
      <c r="S707">
        <v>16015.81</v>
      </c>
      <c r="T707">
        <v>11352.38</v>
      </c>
      <c r="U707">
        <v>4663.43</v>
      </c>
      <c r="V707" t="s">
        <v>32</v>
      </c>
      <c r="W707" t="s">
        <v>33</v>
      </c>
      <c r="X707" t="str">
        <f t="shared" ref="X707:X770" si="47">_xlfn.TEXTJOIN("; ",TRUE,IF(R707&lt;0,"INVALID: Negative discount",""),IF(R707&gt;50%,"INVALID: Discount above range",""),IF(D707&lt;0,"INVALID: Ship date before order date",""),IF(W707="Cancelled","EXCLUDE: Cancelled order",""),IF(V707="Failed","EXCLUDE: Failed payment",""),IF(V707="Refunded","REFUND: Summarize separately",""))</f>
        <v/>
      </c>
      <c r="Y707" t="str">
        <f t="shared" si="45"/>
        <v>Exclude</v>
      </c>
    </row>
    <row r="708" spans="1:25">
      <c r="A708" t="s">
        <v>2217</v>
      </c>
      <c r="B708" s="3">
        <v>45467</v>
      </c>
      <c r="C708" s="3">
        <v>45471</v>
      </c>
      <c r="D708" s="6">
        <f t="shared" si="46"/>
        <v>4</v>
      </c>
      <c r="E708" t="s">
        <v>2218</v>
      </c>
      <c r="F708" t="s">
        <v>47</v>
      </c>
      <c r="G708" s="5" t="s">
        <v>37</v>
      </c>
      <c r="H708" t="s">
        <v>38</v>
      </c>
      <c r="I708" t="s">
        <v>39</v>
      </c>
      <c r="J708" t="s">
        <v>40</v>
      </c>
      <c r="K708" t="s">
        <v>28</v>
      </c>
      <c r="L708" t="s">
        <v>29</v>
      </c>
      <c r="M708" t="s">
        <v>2219</v>
      </c>
      <c r="N708" t="s">
        <v>44</v>
      </c>
      <c r="O708">
        <v>1</v>
      </c>
      <c r="P708">
        <v>2112.75</v>
      </c>
      <c r="Q708" s="6">
        <v>0.1</v>
      </c>
      <c r="R708" s="8">
        <f t="shared" si="44"/>
        <v>0.1</v>
      </c>
      <c r="S708">
        <v>1901.48</v>
      </c>
      <c r="T708">
        <v>1354.28</v>
      </c>
      <c r="U708">
        <v>547.20000000000005</v>
      </c>
      <c r="V708" t="s">
        <v>32</v>
      </c>
      <c r="W708" t="s">
        <v>33</v>
      </c>
      <c r="X708" t="str">
        <f t="shared" si="47"/>
        <v/>
      </c>
      <c r="Y708" t="str">
        <f t="shared" si="45"/>
        <v>Exclude</v>
      </c>
    </row>
    <row r="709" spans="1:25">
      <c r="A709" t="s">
        <v>2220</v>
      </c>
      <c r="B709" s="3">
        <v>45832</v>
      </c>
      <c r="C709" s="3">
        <v>45834</v>
      </c>
      <c r="D709" s="6">
        <f t="shared" si="46"/>
        <v>2</v>
      </c>
      <c r="E709" t="s">
        <v>2221</v>
      </c>
      <c r="F709" t="s">
        <v>71</v>
      </c>
      <c r="G709" s="5" t="s">
        <v>24</v>
      </c>
      <c r="H709" t="s">
        <v>25</v>
      </c>
      <c r="I709" t="s">
        <v>26</v>
      </c>
      <c r="J709" t="s">
        <v>27</v>
      </c>
      <c r="K709" t="s">
        <v>74</v>
      </c>
      <c r="L709" t="s">
        <v>75</v>
      </c>
      <c r="M709" t="s">
        <v>2222</v>
      </c>
      <c r="N709" t="s">
        <v>44</v>
      </c>
      <c r="O709">
        <v>5</v>
      </c>
      <c r="P709">
        <v>3722.66</v>
      </c>
      <c r="Q709" s="6">
        <v>0.55000000000000004</v>
      </c>
      <c r="R709" s="8">
        <f t="shared" si="44"/>
        <v>0.55000000000000004</v>
      </c>
      <c r="S709">
        <v>16751.97</v>
      </c>
      <c r="T709">
        <v>11678.32</v>
      </c>
      <c r="U709">
        <v>5073.6499999999996</v>
      </c>
      <c r="V709" t="s">
        <v>32</v>
      </c>
      <c r="W709" t="s">
        <v>33</v>
      </c>
      <c r="X709" t="str">
        <f t="shared" si="47"/>
        <v>INVALID: Discount above range</v>
      </c>
      <c r="Y709" t="str">
        <f t="shared" si="45"/>
        <v>Exclude</v>
      </c>
    </row>
    <row r="710" spans="1:25">
      <c r="A710" t="s">
        <v>2223</v>
      </c>
      <c r="B710" s="3">
        <v>45736</v>
      </c>
      <c r="C710" s="3">
        <v>45742</v>
      </c>
      <c r="D710" s="6">
        <f t="shared" si="46"/>
        <v>6</v>
      </c>
      <c r="E710" t="s">
        <v>2224</v>
      </c>
      <c r="F710" t="s">
        <v>132</v>
      </c>
      <c r="G710" s="5" t="s">
        <v>24</v>
      </c>
      <c r="H710" t="s">
        <v>38</v>
      </c>
      <c r="I710" t="s">
        <v>166</v>
      </c>
      <c r="J710" t="s">
        <v>167</v>
      </c>
      <c r="K710" t="s">
        <v>41</v>
      </c>
      <c r="L710" t="s">
        <v>158</v>
      </c>
      <c r="M710" t="s">
        <v>2225</v>
      </c>
      <c r="N710" t="s">
        <v>50</v>
      </c>
      <c r="O710">
        <v>4</v>
      </c>
      <c r="P710">
        <v>4357.66</v>
      </c>
      <c r="Q710" s="6">
        <v>0.05</v>
      </c>
      <c r="R710" s="8">
        <f t="shared" si="44"/>
        <v>0.05</v>
      </c>
      <c r="S710">
        <v>16559.11</v>
      </c>
      <c r="T710">
        <v>13233.79</v>
      </c>
      <c r="U710">
        <v>3325.32</v>
      </c>
      <c r="V710" t="s">
        <v>32</v>
      </c>
      <c r="W710" t="s">
        <v>33</v>
      </c>
      <c r="X710" t="str">
        <f t="shared" si="47"/>
        <v/>
      </c>
      <c r="Y710" t="str">
        <f t="shared" si="45"/>
        <v>Exclude</v>
      </c>
    </row>
    <row r="711" spans="1:25">
      <c r="A711" t="s">
        <v>2226</v>
      </c>
      <c r="B711" s="3">
        <v>45676</v>
      </c>
      <c r="C711" s="3">
        <v>45680</v>
      </c>
      <c r="D711" s="6">
        <f t="shared" si="46"/>
        <v>4</v>
      </c>
      <c r="E711" t="s">
        <v>2227</v>
      </c>
      <c r="F711" t="s">
        <v>265</v>
      </c>
      <c r="G711" s="5" t="s">
        <v>95</v>
      </c>
      <c r="H711" t="s">
        <v>25</v>
      </c>
      <c r="I711" t="s">
        <v>122</v>
      </c>
      <c r="J711" t="s">
        <v>123</v>
      </c>
      <c r="K711" t="s">
        <v>74</v>
      </c>
      <c r="L711" t="s">
        <v>171</v>
      </c>
      <c r="M711" t="s">
        <v>2228</v>
      </c>
      <c r="N711" t="s">
        <v>44</v>
      </c>
      <c r="O711">
        <v>7</v>
      </c>
      <c r="P711">
        <v>1363.04</v>
      </c>
      <c r="Q711" s="6">
        <v>0.15</v>
      </c>
      <c r="R711" s="8">
        <f t="shared" si="44"/>
        <v>0.15</v>
      </c>
      <c r="S711">
        <v>8110.09</v>
      </c>
      <c r="T711">
        <v>6417.32</v>
      </c>
      <c r="U711">
        <v>1692.77</v>
      </c>
      <c r="V711" t="s">
        <v>32</v>
      </c>
      <c r="W711" t="s">
        <v>68</v>
      </c>
      <c r="X711" t="str">
        <f t="shared" si="47"/>
        <v>EXCLUDE: Cancelled order</v>
      </c>
      <c r="Y711" t="str">
        <f t="shared" si="45"/>
        <v>Exclude</v>
      </c>
    </row>
    <row r="712" spans="1:25">
      <c r="A712" t="s">
        <v>2229</v>
      </c>
      <c r="B712" s="3">
        <v>45633</v>
      </c>
      <c r="C712" s="3">
        <v>45492</v>
      </c>
      <c r="D712" s="6">
        <f t="shared" si="46"/>
        <v>-141</v>
      </c>
      <c r="E712" t="s">
        <v>2230</v>
      </c>
      <c r="F712" t="s">
        <v>71</v>
      </c>
      <c r="G712" s="5" t="s">
        <v>90</v>
      </c>
      <c r="H712" t="s">
        <v>25</v>
      </c>
      <c r="I712" t="s">
        <v>122</v>
      </c>
      <c r="J712" t="s">
        <v>123</v>
      </c>
      <c r="K712" t="s">
        <v>28</v>
      </c>
      <c r="L712" t="s">
        <v>48</v>
      </c>
      <c r="M712" t="s">
        <v>2231</v>
      </c>
      <c r="N712" t="s">
        <v>31</v>
      </c>
      <c r="O712">
        <v>5</v>
      </c>
      <c r="P712">
        <v>1559.16</v>
      </c>
      <c r="Q712" s="6">
        <v>0.05</v>
      </c>
      <c r="R712" s="8">
        <f t="shared" si="44"/>
        <v>0.05</v>
      </c>
      <c r="S712">
        <v>7406.01</v>
      </c>
      <c r="T712">
        <v>5941.74</v>
      </c>
      <c r="U712">
        <v>1464.27</v>
      </c>
      <c r="V712" t="s">
        <v>32</v>
      </c>
      <c r="W712" t="s">
        <v>33</v>
      </c>
      <c r="X712" t="str">
        <f t="shared" si="47"/>
        <v>INVALID: Ship date before order date</v>
      </c>
      <c r="Y712" t="str">
        <f t="shared" si="45"/>
        <v>Exclude</v>
      </c>
    </row>
    <row r="713" spans="1:25">
      <c r="A713" t="s">
        <v>2232</v>
      </c>
      <c r="B713" s="3">
        <v>45690</v>
      </c>
      <c r="C713" s="3">
        <v>45690</v>
      </c>
      <c r="D713" s="6">
        <f t="shared" si="46"/>
        <v>0</v>
      </c>
      <c r="E713" t="s">
        <v>2233</v>
      </c>
      <c r="F713" t="s">
        <v>265</v>
      </c>
      <c r="G713" s="5" t="s">
        <v>90</v>
      </c>
      <c r="H713" t="s">
        <v>38</v>
      </c>
      <c r="I713" t="s">
        <v>99</v>
      </c>
      <c r="J713" t="s">
        <v>100</v>
      </c>
      <c r="K713" t="s">
        <v>74</v>
      </c>
      <c r="L713" t="s">
        <v>275</v>
      </c>
      <c r="M713" t="s">
        <v>2234</v>
      </c>
      <c r="N713" t="s">
        <v>50</v>
      </c>
      <c r="O713">
        <v>1</v>
      </c>
      <c r="P713">
        <v>4326.75</v>
      </c>
      <c r="Q713" s="6">
        <v>0.05</v>
      </c>
      <c r="R713" s="8">
        <f t="shared" si="44"/>
        <v>0.05</v>
      </c>
      <c r="S713">
        <v>4110.41</v>
      </c>
      <c r="T713">
        <v>2394.14</v>
      </c>
      <c r="U713">
        <v>1716.27</v>
      </c>
      <c r="V713" t="s">
        <v>111</v>
      </c>
      <c r="W713" t="s">
        <v>103</v>
      </c>
      <c r="X713" t="str">
        <f t="shared" si="47"/>
        <v/>
      </c>
      <c r="Y713" t="str">
        <f t="shared" si="45"/>
        <v>Exclude</v>
      </c>
    </row>
    <row r="714" spans="1:25">
      <c r="A714" t="s">
        <v>2235</v>
      </c>
      <c r="B714" s="3">
        <v>45332</v>
      </c>
      <c r="C714" s="3">
        <v>45340</v>
      </c>
      <c r="D714" s="6">
        <f t="shared" si="46"/>
        <v>8</v>
      </c>
      <c r="E714" t="s">
        <v>2236</v>
      </c>
      <c r="F714" t="s">
        <v>47</v>
      </c>
      <c r="G714" s="5" t="s">
        <v>95</v>
      </c>
      <c r="H714" t="s">
        <v>63</v>
      </c>
      <c r="I714" t="s">
        <v>72</v>
      </c>
      <c r="J714" t="s">
        <v>73</v>
      </c>
      <c r="K714" t="s">
        <v>41</v>
      </c>
      <c r="L714" t="s">
        <v>66</v>
      </c>
      <c r="M714" t="s">
        <v>2237</v>
      </c>
      <c r="N714" t="s">
        <v>50</v>
      </c>
      <c r="O714">
        <v>7</v>
      </c>
      <c r="P714">
        <v>1382.86</v>
      </c>
      <c r="Q714" s="6">
        <v>0</v>
      </c>
      <c r="R714" s="8">
        <f t="shared" si="44"/>
        <v>0</v>
      </c>
      <c r="S714">
        <v>9680.02</v>
      </c>
      <c r="T714">
        <v>6876.66</v>
      </c>
      <c r="U714">
        <v>2803.36</v>
      </c>
      <c r="V714" t="s">
        <v>32</v>
      </c>
      <c r="W714" t="s">
        <v>33</v>
      </c>
      <c r="X714" t="str">
        <f t="shared" si="47"/>
        <v/>
      </c>
      <c r="Y714" t="str">
        <f t="shared" si="45"/>
        <v>Exclude</v>
      </c>
    </row>
    <row r="715" spans="1:25">
      <c r="A715" t="s">
        <v>2238</v>
      </c>
      <c r="B715" s="3">
        <v>45814</v>
      </c>
      <c r="C715" s="3">
        <v>45936</v>
      </c>
      <c r="D715" s="6">
        <f t="shared" si="46"/>
        <v>122</v>
      </c>
      <c r="E715" t="s">
        <v>601</v>
      </c>
      <c r="F715" t="s">
        <v>36</v>
      </c>
      <c r="G715" s="5" t="s">
        <v>24</v>
      </c>
      <c r="H715" t="s">
        <v>63</v>
      </c>
      <c r="I715" t="s">
        <v>26</v>
      </c>
      <c r="J715" t="s">
        <v>109</v>
      </c>
      <c r="K715" t="s">
        <v>74</v>
      </c>
      <c r="L715" t="s">
        <v>275</v>
      </c>
      <c r="M715" t="s">
        <v>2239</v>
      </c>
      <c r="N715" t="s">
        <v>31</v>
      </c>
      <c r="O715">
        <v>1</v>
      </c>
      <c r="P715">
        <v>289.97000000000003</v>
      </c>
      <c r="Q715" s="6">
        <v>0.25</v>
      </c>
      <c r="R715" s="8">
        <f t="shared" si="44"/>
        <v>0.25</v>
      </c>
      <c r="S715">
        <v>217.48</v>
      </c>
      <c r="T715">
        <v>132.13</v>
      </c>
      <c r="U715">
        <v>85.35</v>
      </c>
      <c r="V715" t="s">
        <v>32</v>
      </c>
      <c r="W715" t="s">
        <v>33</v>
      </c>
      <c r="X715" t="str">
        <f t="shared" si="47"/>
        <v/>
      </c>
      <c r="Y715" t="str">
        <f t="shared" si="45"/>
        <v>Exclude</v>
      </c>
    </row>
    <row r="716" spans="1:25">
      <c r="A716" t="s">
        <v>2240</v>
      </c>
      <c r="B716" s="3">
        <v>45738</v>
      </c>
      <c r="C716" s="3">
        <v>45739</v>
      </c>
      <c r="D716" s="6">
        <f t="shared" si="46"/>
        <v>1</v>
      </c>
      <c r="E716" t="s">
        <v>2241</v>
      </c>
      <c r="F716" t="s">
        <v>23</v>
      </c>
      <c r="G716" s="5" t="s">
        <v>95</v>
      </c>
      <c r="H716" t="s">
        <v>25</v>
      </c>
      <c r="I716" t="s">
        <v>351</v>
      </c>
      <c r="J716" t="s">
        <v>352</v>
      </c>
      <c r="K716" t="s">
        <v>74</v>
      </c>
      <c r="L716" t="s">
        <v>80</v>
      </c>
      <c r="M716" t="s">
        <v>2242</v>
      </c>
      <c r="N716" t="s">
        <v>59</v>
      </c>
      <c r="O716">
        <v>9</v>
      </c>
      <c r="P716">
        <v>2075.02</v>
      </c>
      <c r="Q716" s="6">
        <v>0</v>
      </c>
      <c r="R716" s="8">
        <f t="shared" si="44"/>
        <v>0</v>
      </c>
      <c r="S716">
        <v>18675.18</v>
      </c>
      <c r="T716">
        <v>13974.7</v>
      </c>
      <c r="U716">
        <v>4700.4799999999996</v>
      </c>
      <c r="V716" t="s">
        <v>32</v>
      </c>
      <c r="W716" t="s">
        <v>33</v>
      </c>
      <c r="X716" t="str">
        <f t="shared" si="47"/>
        <v/>
      </c>
      <c r="Y716" t="str">
        <f t="shared" si="45"/>
        <v>Exclude</v>
      </c>
    </row>
    <row r="717" spans="1:25">
      <c r="A717" t="s">
        <v>2243</v>
      </c>
      <c r="B717" s="3">
        <v>45891</v>
      </c>
      <c r="C717" s="3">
        <v>45896</v>
      </c>
      <c r="D717" s="6">
        <f t="shared" si="46"/>
        <v>5</v>
      </c>
      <c r="E717" t="s">
        <v>2244</v>
      </c>
      <c r="F717" t="s">
        <v>114</v>
      </c>
      <c r="G717" s="5" t="s">
        <v>24</v>
      </c>
      <c r="H717" t="s">
        <v>25</v>
      </c>
      <c r="I717" t="s">
        <v>237</v>
      </c>
      <c r="J717" t="s">
        <v>238</v>
      </c>
      <c r="K717" t="s">
        <v>41</v>
      </c>
      <c r="L717" t="s">
        <v>66</v>
      </c>
      <c r="M717" t="s">
        <v>2245</v>
      </c>
      <c r="N717" t="s">
        <v>31</v>
      </c>
      <c r="O717">
        <v>7</v>
      </c>
      <c r="P717">
        <v>2843.09</v>
      </c>
      <c r="Q717" s="6">
        <v>0</v>
      </c>
      <c r="R717" s="8">
        <f t="shared" si="44"/>
        <v>0</v>
      </c>
      <c r="S717">
        <v>19901.63</v>
      </c>
      <c r="T717">
        <v>15492.03</v>
      </c>
      <c r="U717">
        <v>4409.6000000000004</v>
      </c>
      <c r="V717" t="s">
        <v>102</v>
      </c>
      <c r="W717" t="s">
        <v>68</v>
      </c>
      <c r="X717" t="str">
        <f t="shared" si="47"/>
        <v>EXCLUDE: Cancelled order; REFUND: Summarize separately</v>
      </c>
      <c r="Y717" t="str">
        <f t="shared" si="45"/>
        <v>Exclude</v>
      </c>
    </row>
    <row r="718" spans="1:25">
      <c r="A718" t="s">
        <v>2246</v>
      </c>
      <c r="B718" s="3">
        <v>45895</v>
      </c>
      <c r="C718" s="3">
        <v>45900</v>
      </c>
      <c r="D718" s="6">
        <f t="shared" si="46"/>
        <v>5</v>
      </c>
      <c r="E718" t="s">
        <v>2247</v>
      </c>
      <c r="F718" t="s">
        <v>162</v>
      </c>
      <c r="G718" s="5" t="s">
        <v>37</v>
      </c>
      <c r="H718" t="s">
        <v>25</v>
      </c>
      <c r="I718" t="s">
        <v>237</v>
      </c>
      <c r="J718" t="s">
        <v>238</v>
      </c>
      <c r="K718" t="s">
        <v>74</v>
      </c>
      <c r="L718" t="s">
        <v>171</v>
      </c>
      <c r="M718" t="s">
        <v>2248</v>
      </c>
      <c r="N718" t="s">
        <v>50</v>
      </c>
      <c r="O718">
        <v>1</v>
      </c>
      <c r="P718">
        <v>3388.02</v>
      </c>
      <c r="Q718" s="6">
        <v>0.15</v>
      </c>
      <c r="R718" s="8">
        <f t="shared" si="44"/>
        <v>0.15</v>
      </c>
      <c r="S718">
        <v>2879.82</v>
      </c>
      <c r="T718">
        <v>1824.88</v>
      </c>
      <c r="U718">
        <v>1054.94</v>
      </c>
      <c r="V718" t="s">
        <v>32</v>
      </c>
      <c r="W718" t="s">
        <v>33</v>
      </c>
      <c r="X718" t="str">
        <f t="shared" si="47"/>
        <v/>
      </c>
      <c r="Y718" t="str">
        <f t="shared" si="45"/>
        <v>Exclude</v>
      </c>
    </row>
    <row r="719" spans="1:25">
      <c r="A719" t="s">
        <v>2249</v>
      </c>
      <c r="B719" s="3">
        <v>45942</v>
      </c>
      <c r="C719" s="3">
        <v>45945</v>
      </c>
      <c r="D719" s="6">
        <f t="shared" si="46"/>
        <v>3</v>
      </c>
      <c r="E719" t="s">
        <v>2250</v>
      </c>
      <c r="F719" t="s">
        <v>265</v>
      </c>
      <c r="G719" s="5" t="s">
        <v>37</v>
      </c>
      <c r="H719" t="s">
        <v>25</v>
      </c>
      <c r="I719" t="s">
        <v>237</v>
      </c>
      <c r="J719" t="s">
        <v>238</v>
      </c>
      <c r="K719" t="s">
        <v>74</v>
      </c>
      <c r="L719" t="s">
        <v>275</v>
      </c>
      <c r="M719" t="s">
        <v>2251</v>
      </c>
      <c r="N719" t="s">
        <v>59</v>
      </c>
      <c r="O719">
        <v>9</v>
      </c>
      <c r="P719">
        <v>2598.92</v>
      </c>
      <c r="Q719" s="6">
        <v>0.2</v>
      </c>
      <c r="R719" s="8">
        <f t="shared" si="44"/>
        <v>0.2</v>
      </c>
      <c r="S719">
        <v>18712.22</v>
      </c>
      <c r="T719">
        <v>11852.22</v>
      </c>
      <c r="U719">
        <v>6860</v>
      </c>
      <c r="V719" t="s">
        <v>111</v>
      </c>
      <c r="W719" t="s">
        <v>68</v>
      </c>
      <c r="X719" t="str">
        <f t="shared" si="47"/>
        <v>EXCLUDE: Cancelled order</v>
      </c>
      <c r="Y719" t="str">
        <f t="shared" si="45"/>
        <v>Exclude</v>
      </c>
    </row>
    <row r="720" spans="1:25">
      <c r="A720" t="s">
        <v>2252</v>
      </c>
      <c r="B720" s="3">
        <v>45541</v>
      </c>
      <c r="C720" s="3">
        <v>45544</v>
      </c>
      <c r="D720" s="6">
        <f t="shared" si="46"/>
        <v>3</v>
      </c>
      <c r="E720" t="s">
        <v>2253</v>
      </c>
      <c r="F720" t="s">
        <v>36</v>
      </c>
      <c r="G720" s="5" t="s">
        <v>24</v>
      </c>
      <c r="H720" t="s">
        <v>63</v>
      </c>
      <c r="I720" t="s">
        <v>64</v>
      </c>
      <c r="J720" t="s">
        <v>65</v>
      </c>
      <c r="K720" t="s">
        <v>28</v>
      </c>
      <c r="L720" t="s">
        <v>48</v>
      </c>
      <c r="M720" t="s">
        <v>2254</v>
      </c>
      <c r="N720" t="s">
        <v>44</v>
      </c>
      <c r="O720">
        <v>3</v>
      </c>
      <c r="P720">
        <v>1972.27</v>
      </c>
      <c r="Q720" s="6">
        <v>0.2</v>
      </c>
      <c r="R720" s="8">
        <f t="shared" si="44"/>
        <v>0.2</v>
      </c>
      <c r="S720">
        <v>4733.45</v>
      </c>
      <c r="T720">
        <v>3672.32</v>
      </c>
      <c r="U720">
        <v>1061.1300000000001</v>
      </c>
      <c r="V720" t="s">
        <v>32</v>
      </c>
      <c r="W720" t="s">
        <v>33</v>
      </c>
      <c r="X720" t="str">
        <f t="shared" si="47"/>
        <v/>
      </c>
      <c r="Y720" t="str">
        <f t="shared" si="45"/>
        <v>Exclude</v>
      </c>
    </row>
    <row r="721" spans="1:25">
      <c r="A721" t="s">
        <v>2255</v>
      </c>
      <c r="B721" s="3">
        <v>45908</v>
      </c>
      <c r="C721" s="3">
        <v>45909</v>
      </c>
      <c r="D721" s="6">
        <f t="shared" si="46"/>
        <v>1</v>
      </c>
      <c r="E721" t="s">
        <v>144</v>
      </c>
      <c r="F721" t="s">
        <v>265</v>
      </c>
      <c r="G721" s="5" t="s">
        <v>90</v>
      </c>
      <c r="H721" t="s">
        <v>63</v>
      </c>
      <c r="I721" t="s">
        <v>180</v>
      </c>
      <c r="J721" t="s">
        <v>181</v>
      </c>
      <c r="K721" t="s">
        <v>28</v>
      </c>
      <c r="L721" t="s">
        <v>48</v>
      </c>
      <c r="M721" t="s">
        <v>2256</v>
      </c>
      <c r="N721" t="s">
        <v>44</v>
      </c>
      <c r="O721">
        <v>2</v>
      </c>
      <c r="P721">
        <v>2372.41</v>
      </c>
      <c r="Q721" s="6">
        <v>0.2</v>
      </c>
      <c r="R721" s="8">
        <f t="shared" si="44"/>
        <v>0.2</v>
      </c>
      <c r="S721">
        <v>3795.86</v>
      </c>
      <c r="T721">
        <v>2264.92</v>
      </c>
      <c r="U721">
        <v>1530.94</v>
      </c>
      <c r="V721" t="s">
        <v>32</v>
      </c>
      <c r="W721" t="s">
        <v>33</v>
      </c>
      <c r="X721" t="str">
        <f t="shared" si="47"/>
        <v/>
      </c>
      <c r="Y721" t="str">
        <f t="shared" si="45"/>
        <v>Exclude</v>
      </c>
    </row>
    <row r="722" spans="1:25">
      <c r="A722" t="s">
        <v>2257</v>
      </c>
      <c r="B722" s="3">
        <v>45489</v>
      </c>
      <c r="C722" s="3">
        <v>45489</v>
      </c>
      <c r="D722" s="6">
        <f t="shared" si="46"/>
        <v>0</v>
      </c>
      <c r="E722" t="s">
        <v>2258</v>
      </c>
      <c r="F722" t="s">
        <v>89</v>
      </c>
      <c r="G722" s="5" t="s">
        <v>95</v>
      </c>
      <c r="H722" t="s">
        <v>63</v>
      </c>
      <c r="I722" t="s">
        <v>72</v>
      </c>
      <c r="J722" t="s">
        <v>73</v>
      </c>
      <c r="K722" t="s">
        <v>74</v>
      </c>
      <c r="L722" t="s">
        <v>80</v>
      </c>
      <c r="M722" t="s">
        <v>2259</v>
      </c>
      <c r="N722" t="s">
        <v>44</v>
      </c>
      <c r="O722">
        <v>4</v>
      </c>
      <c r="P722">
        <v>4479.92</v>
      </c>
      <c r="Q722" s="6">
        <v>0.15</v>
      </c>
      <c r="R722" s="8">
        <f t="shared" si="44"/>
        <v>0.15</v>
      </c>
      <c r="S722">
        <v>15231.73</v>
      </c>
      <c r="T722">
        <v>12451.46</v>
      </c>
      <c r="U722">
        <v>2780.27</v>
      </c>
      <c r="V722" t="s">
        <v>32</v>
      </c>
      <c r="W722" t="s">
        <v>33</v>
      </c>
      <c r="X722" t="str">
        <f t="shared" si="47"/>
        <v/>
      </c>
      <c r="Y722" t="str">
        <f t="shared" si="45"/>
        <v>Exclude</v>
      </c>
    </row>
    <row r="723" spans="1:25">
      <c r="A723" t="s">
        <v>2260</v>
      </c>
      <c r="B723" s="3">
        <v>45827</v>
      </c>
      <c r="C723" s="3">
        <v>45831</v>
      </c>
      <c r="D723" s="6">
        <f t="shared" si="46"/>
        <v>4</v>
      </c>
      <c r="E723" t="s">
        <v>2261</v>
      </c>
      <c r="F723" t="s">
        <v>132</v>
      </c>
      <c r="G723" s="5" t="s">
        <v>24</v>
      </c>
      <c r="H723" t="s">
        <v>54</v>
      </c>
      <c r="I723" t="s">
        <v>175</v>
      </c>
      <c r="J723" t="s">
        <v>176</v>
      </c>
      <c r="K723" t="s">
        <v>74</v>
      </c>
      <c r="L723" t="s">
        <v>80</v>
      </c>
      <c r="M723" t="s">
        <v>2262</v>
      </c>
      <c r="N723" t="s">
        <v>50</v>
      </c>
      <c r="O723">
        <v>5</v>
      </c>
      <c r="P723">
        <v>2729.95</v>
      </c>
      <c r="Q723" s="6">
        <v>0</v>
      </c>
      <c r="R723" s="8">
        <f t="shared" si="44"/>
        <v>0</v>
      </c>
      <c r="S723">
        <v>13649.75</v>
      </c>
      <c r="T723">
        <v>10288.030000000001</v>
      </c>
      <c r="U723">
        <v>3361.72</v>
      </c>
      <c r="V723" t="s">
        <v>32</v>
      </c>
      <c r="W723" t="s">
        <v>33</v>
      </c>
      <c r="X723" t="str">
        <f t="shared" si="47"/>
        <v/>
      </c>
      <c r="Y723" t="str">
        <f t="shared" si="45"/>
        <v>Exclude</v>
      </c>
    </row>
    <row r="724" spans="1:25">
      <c r="A724" t="s">
        <v>2263</v>
      </c>
      <c r="B724" s="3">
        <v>45572</v>
      </c>
      <c r="C724" s="3">
        <v>45575</v>
      </c>
      <c r="D724" s="6">
        <f t="shared" si="46"/>
        <v>3</v>
      </c>
      <c r="E724" t="s">
        <v>2264</v>
      </c>
      <c r="F724" t="s">
        <v>71</v>
      </c>
      <c r="G724" s="5" t="s">
        <v>24</v>
      </c>
      <c r="H724" t="s">
        <v>38</v>
      </c>
      <c r="I724" t="s">
        <v>99</v>
      </c>
      <c r="J724" t="s">
        <v>100</v>
      </c>
      <c r="K724" t="s">
        <v>41</v>
      </c>
      <c r="L724" t="s">
        <v>66</v>
      </c>
      <c r="M724" t="s">
        <v>2265</v>
      </c>
      <c r="N724" t="s">
        <v>31</v>
      </c>
      <c r="O724">
        <v>9</v>
      </c>
      <c r="P724">
        <v>481.51</v>
      </c>
      <c r="Q724" s="6">
        <v>0</v>
      </c>
      <c r="R724" s="8">
        <f t="shared" si="44"/>
        <v>0</v>
      </c>
      <c r="S724">
        <v>4333.59</v>
      </c>
      <c r="T724">
        <v>2533.59</v>
      </c>
      <c r="U724">
        <v>1800</v>
      </c>
      <c r="V724" t="s">
        <v>102</v>
      </c>
      <c r="W724" t="s">
        <v>68</v>
      </c>
      <c r="X724" t="str">
        <f t="shared" si="47"/>
        <v>EXCLUDE: Cancelled order; REFUND: Summarize separately</v>
      </c>
      <c r="Y724" t="str">
        <f t="shared" si="45"/>
        <v>Exclude</v>
      </c>
    </row>
    <row r="725" spans="1:25">
      <c r="A725" t="s">
        <v>2266</v>
      </c>
      <c r="B725" s="3">
        <v>45818</v>
      </c>
      <c r="C725" s="3">
        <v>45943</v>
      </c>
      <c r="D725" s="6">
        <f t="shared" si="46"/>
        <v>125</v>
      </c>
      <c r="E725" t="s">
        <v>2267</v>
      </c>
      <c r="F725" t="s">
        <v>265</v>
      </c>
      <c r="G725" s="5" t="s">
        <v>95</v>
      </c>
      <c r="H725" t="s">
        <v>38</v>
      </c>
      <c r="I725" t="s">
        <v>229</v>
      </c>
      <c r="J725" t="s">
        <v>230</v>
      </c>
      <c r="K725" t="s">
        <v>74</v>
      </c>
      <c r="L725" t="s">
        <v>75</v>
      </c>
      <c r="M725" t="s">
        <v>2268</v>
      </c>
      <c r="N725" t="s">
        <v>59</v>
      </c>
      <c r="O725">
        <v>6</v>
      </c>
      <c r="P725">
        <v>2391.9299999999998</v>
      </c>
      <c r="Q725" s="6">
        <v>0.05</v>
      </c>
      <c r="R725" s="8">
        <f t="shared" si="44"/>
        <v>0.05</v>
      </c>
      <c r="S725">
        <v>13634</v>
      </c>
      <c r="T725">
        <v>9589.81</v>
      </c>
      <c r="U725">
        <v>4044.19</v>
      </c>
      <c r="V725" t="s">
        <v>155</v>
      </c>
      <c r="W725" t="s">
        <v>103</v>
      </c>
      <c r="X725" t="str">
        <f t="shared" si="47"/>
        <v>EXCLUDE: Failed payment</v>
      </c>
      <c r="Y725" t="str">
        <f t="shared" si="45"/>
        <v>Exclude</v>
      </c>
    </row>
    <row r="726" spans="1:25">
      <c r="A726" t="s">
        <v>2269</v>
      </c>
      <c r="B726" s="3">
        <v>45567</v>
      </c>
      <c r="C726" s="3">
        <v>45338</v>
      </c>
      <c r="D726" s="6">
        <f t="shared" si="46"/>
        <v>-229</v>
      </c>
      <c r="E726" t="s">
        <v>2270</v>
      </c>
      <c r="F726" t="s">
        <v>23</v>
      </c>
      <c r="G726" s="5" t="s">
        <v>24</v>
      </c>
      <c r="H726" t="s">
        <v>63</v>
      </c>
      <c r="I726" t="s">
        <v>190</v>
      </c>
      <c r="J726" t="s">
        <v>191</v>
      </c>
      <c r="K726" t="s">
        <v>41</v>
      </c>
      <c r="L726" t="s">
        <v>57</v>
      </c>
      <c r="M726" t="s">
        <v>2271</v>
      </c>
      <c r="N726" t="s">
        <v>31</v>
      </c>
      <c r="O726">
        <v>3</v>
      </c>
      <c r="P726">
        <v>253.43</v>
      </c>
      <c r="Q726" s="6">
        <v>0</v>
      </c>
      <c r="R726" s="8">
        <f t="shared" si="44"/>
        <v>0</v>
      </c>
      <c r="S726">
        <v>760.29</v>
      </c>
      <c r="T726">
        <v>497.77</v>
      </c>
      <c r="U726">
        <v>262.52</v>
      </c>
      <c r="V726" t="s">
        <v>32</v>
      </c>
      <c r="W726" t="s">
        <v>33</v>
      </c>
      <c r="X726" t="str">
        <f t="shared" si="47"/>
        <v>INVALID: Ship date before order date</v>
      </c>
      <c r="Y726" t="str">
        <f t="shared" si="45"/>
        <v>Exclude</v>
      </c>
    </row>
    <row r="727" spans="1:25">
      <c r="A727" t="s">
        <v>2272</v>
      </c>
      <c r="B727" s="3">
        <v>45787</v>
      </c>
      <c r="C727" s="3">
        <v>46001</v>
      </c>
      <c r="D727" s="6">
        <f t="shared" si="46"/>
        <v>214</v>
      </c>
      <c r="E727" t="s">
        <v>2273</v>
      </c>
      <c r="F727" t="s">
        <v>114</v>
      </c>
      <c r="G727" s="5" t="s">
        <v>90</v>
      </c>
      <c r="H727" t="s">
        <v>54</v>
      </c>
      <c r="I727" t="s">
        <v>175</v>
      </c>
      <c r="J727" t="s">
        <v>176</v>
      </c>
      <c r="K727" t="s">
        <v>41</v>
      </c>
      <c r="L727" t="s">
        <v>42</v>
      </c>
      <c r="M727" t="s">
        <v>2274</v>
      </c>
      <c r="N727" t="s">
        <v>31</v>
      </c>
      <c r="O727">
        <v>7</v>
      </c>
      <c r="P727">
        <v>2134.73</v>
      </c>
      <c r="Q727" s="6">
        <v>0</v>
      </c>
      <c r="R727" s="8">
        <f t="shared" si="44"/>
        <v>0</v>
      </c>
      <c r="S727">
        <v>14943.11</v>
      </c>
      <c r="T727">
        <v>8521.5</v>
      </c>
      <c r="U727">
        <v>6421.61</v>
      </c>
      <c r="V727" t="s">
        <v>32</v>
      </c>
      <c r="W727" t="s">
        <v>33</v>
      </c>
      <c r="X727" t="str">
        <f t="shared" si="47"/>
        <v/>
      </c>
      <c r="Y727" t="str">
        <f t="shared" si="45"/>
        <v>Exclude</v>
      </c>
    </row>
    <row r="728" spans="1:25">
      <c r="A728" t="s">
        <v>2275</v>
      </c>
      <c r="B728" s="3">
        <v>45308</v>
      </c>
      <c r="C728" s="3">
        <v>45314</v>
      </c>
      <c r="D728" s="6">
        <f t="shared" si="46"/>
        <v>6</v>
      </c>
      <c r="E728" t="s">
        <v>2276</v>
      </c>
      <c r="F728" t="s">
        <v>265</v>
      </c>
      <c r="G728" s="5" t="s">
        <v>95</v>
      </c>
      <c r="H728" t="s">
        <v>63</v>
      </c>
      <c r="I728" t="s">
        <v>180</v>
      </c>
      <c r="J728" t="s">
        <v>181</v>
      </c>
      <c r="K728" t="s">
        <v>74</v>
      </c>
      <c r="L728" t="s">
        <v>171</v>
      </c>
      <c r="M728" t="s">
        <v>2277</v>
      </c>
      <c r="N728" t="s">
        <v>59</v>
      </c>
      <c r="O728">
        <v>5</v>
      </c>
      <c r="P728">
        <v>2018</v>
      </c>
      <c r="Q728" s="6">
        <v>0.2</v>
      </c>
      <c r="R728" s="8">
        <f t="shared" si="44"/>
        <v>0.2</v>
      </c>
      <c r="S728">
        <v>8072</v>
      </c>
      <c r="T728">
        <v>5379.22</v>
      </c>
      <c r="U728">
        <v>2692.78</v>
      </c>
      <c r="V728" t="s">
        <v>111</v>
      </c>
      <c r="W728" t="s">
        <v>103</v>
      </c>
      <c r="X728" t="str">
        <f t="shared" si="47"/>
        <v/>
      </c>
      <c r="Y728" t="str">
        <f t="shared" si="45"/>
        <v>Exclude</v>
      </c>
    </row>
    <row r="729" spans="1:25">
      <c r="A729" t="s">
        <v>2278</v>
      </c>
      <c r="B729" s="3">
        <v>45578</v>
      </c>
      <c r="C729" s="3">
        <v>45578</v>
      </c>
      <c r="D729" s="6">
        <f t="shared" si="46"/>
        <v>0</v>
      </c>
      <c r="E729" t="s">
        <v>2279</v>
      </c>
      <c r="F729" t="s">
        <v>128</v>
      </c>
      <c r="G729" s="5" t="s">
        <v>37</v>
      </c>
      <c r="H729" t="s">
        <v>38</v>
      </c>
      <c r="I729" t="s">
        <v>166</v>
      </c>
      <c r="J729" t="s">
        <v>167</v>
      </c>
      <c r="K729" t="s">
        <v>74</v>
      </c>
      <c r="L729" t="s">
        <v>75</v>
      </c>
      <c r="M729" t="s">
        <v>2280</v>
      </c>
      <c r="N729" t="s">
        <v>31</v>
      </c>
      <c r="O729">
        <v>8</v>
      </c>
      <c r="P729">
        <v>3730.66</v>
      </c>
      <c r="Q729" s="6">
        <v>0.05</v>
      </c>
      <c r="R729" s="8">
        <f t="shared" si="44"/>
        <v>0.05</v>
      </c>
      <c r="S729">
        <v>28353.02</v>
      </c>
      <c r="T729">
        <v>19257.849999999999</v>
      </c>
      <c r="U729">
        <v>9095.17</v>
      </c>
      <c r="V729" t="s">
        <v>32</v>
      </c>
      <c r="W729" t="s">
        <v>33</v>
      </c>
      <c r="X729" t="str">
        <f t="shared" si="47"/>
        <v/>
      </c>
      <c r="Y729" t="str">
        <f t="shared" si="45"/>
        <v>Exclude</v>
      </c>
    </row>
    <row r="730" spans="1:25">
      <c r="A730" t="s">
        <v>2281</v>
      </c>
      <c r="B730" s="3">
        <v>45295</v>
      </c>
      <c r="C730" s="3">
        <v>45298</v>
      </c>
      <c r="D730" s="6">
        <f t="shared" si="46"/>
        <v>3</v>
      </c>
      <c r="E730" t="s">
        <v>2282</v>
      </c>
      <c r="F730" t="s">
        <v>132</v>
      </c>
      <c r="G730" s="5" t="s">
        <v>37</v>
      </c>
      <c r="H730" t="s">
        <v>54</v>
      </c>
      <c r="I730" t="s">
        <v>175</v>
      </c>
      <c r="J730" t="s">
        <v>176</v>
      </c>
      <c r="K730" t="s">
        <v>74</v>
      </c>
      <c r="L730" t="s">
        <v>275</v>
      </c>
      <c r="M730" t="s">
        <v>2283</v>
      </c>
      <c r="N730" t="s">
        <v>50</v>
      </c>
      <c r="O730">
        <v>1</v>
      </c>
      <c r="P730">
        <v>2363.02</v>
      </c>
      <c r="Q730" s="6">
        <v>0.15</v>
      </c>
      <c r="R730" s="8">
        <f t="shared" si="44"/>
        <v>0.15</v>
      </c>
      <c r="S730">
        <v>2008.57</v>
      </c>
      <c r="T730">
        <v>1194.83</v>
      </c>
      <c r="U730">
        <v>813.74</v>
      </c>
      <c r="V730" t="s">
        <v>32</v>
      </c>
      <c r="W730" t="s">
        <v>33</v>
      </c>
      <c r="X730" t="str">
        <f t="shared" si="47"/>
        <v/>
      </c>
      <c r="Y730" t="str">
        <f t="shared" si="45"/>
        <v>Exclude</v>
      </c>
    </row>
    <row r="731" spans="1:25">
      <c r="A731" t="s">
        <v>2284</v>
      </c>
      <c r="B731" s="3">
        <v>45794</v>
      </c>
      <c r="C731" s="3">
        <v>45802</v>
      </c>
      <c r="D731" s="6">
        <f t="shared" si="46"/>
        <v>8</v>
      </c>
      <c r="E731" t="s">
        <v>2285</v>
      </c>
      <c r="F731" t="s">
        <v>62</v>
      </c>
      <c r="G731" s="5" t="s">
        <v>90</v>
      </c>
      <c r="H731" t="s">
        <v>54</v>
      </c>
      <c r="I731" t="s">
        <v>248</v>
      </c>
      <c r="J731" t="s">
        <v>249</v>
      </c>
      <c r="K731" t="s">
        <v>74</v>
      </c>
      <c r="L731" t="s">
        <v>275</v>
      </c>
      <c r="M731" t="s">
        <v>2286</v>
      </c>
      <c r="N731" t="s">
        <v>44</v>
      </c>
      <c r="O731">
        <v>6</v>
      </c>
      <c r="P731">
        <v>1810.63</v>
      </c>
      <c r="Q731" s="6">
        <v>0.15</v>
      </c>
      <c r="R731" s="8">
        <f t="shared" si="44"/>
        <v>0.15</v>
      </c>
      <c r="S731">
        <v>9234.2099999999991</v>
      </c>
      <c r="T731">
        <v>5516.52</v>
      </c>
      <c r="U731">
        <v>3717.69</v>
      </c>
      <c r="V731" t="s">
        <v>32</v>
      </c>
      <c r="W731" t="s">
        <v>33</v>
      </c>
      <c r="X731" t="str">
        <f t="shared" si="47"/>
        <v/>
      </c>
      <c r="Y731" t="str">
        <f t="shared" si="45"/>
        <v>Exclude</v>
      </c>
    </row>
    <row r="732" spans="1:25">
      <c r="A732" t="s">
        <v>2287</v>
      </c>
      <c r="B732" s="3">
        <v>45827</v>
      </c>
      <c r="C732" s="3">
        <v>45832</v>
      </c>
      <c r="D732" s="6">
        <f t="shared" si="46"/>
        <v>5</v>
      </c>
      <c r="E732" t="s">
        <v>2288</v>
      </c>
      <c r="F732" t="s">
        <v>53</v>
      </c>
      <c r="G732" s="5" t="s">
        <v>24</v>
      </c>
      <c r="H732" t="s">
        <v>38</v>
      </c>
      <c r="I732" t="s">
        <v>99</v>
      </c>
      <c r="J732" t="s">
        <v>100</v>
      </c>
      <c r="K732" t="s">
        <v>28</v>
      </c>
      <c r="L732" t="s">
        <v>48</v>
      </c>
      <c r="M732" t="s">
        <v>2289</v>
      </c>
      <c r="N732" t="s">
        <v>31</v>
      </c>
      <c r="O732">
        <v>4</v>
      </c>
      <c r="P732">
        <v>782.01</v>
      </c>
      <c r="Q732" s="6">
        <v>0.15</v>
      </c>
      <c r="R732" s="8">
        <f t="shared" si="44"/>
        <v>0.15</v>
      </c>
      <c r="S732">
        <v>2658.83</v>
      </c>
      <c r="T732">
        <v>2226.9699999999998</v>
      </c>
      <c r="U732">
        <v>431.86</v>
      </c>
      <c r="V732" t="s">
        <v>102</v>
      </c>
      <c r="W732" t="s">
        <v>103</v>
      </c>
      <c r="X732" t="str">
        <f t="shared" si="47"/>
        <v>REFUND: Summarize separately</v>
      </c>
      <c r="Y732" t="str">
        <f t="shared" si="45"/>
        <v>Exclude</v>
      </c>
    </row>
    <row r="733" spans="1:25">
      <c r="A733" t="s">
        <v>2290</v>
      </c>
      <c r="B733" s="3">
        <v>45368</v>
      </c>
      <c r="C733" s="3">
        <v>45370</v>
      </c>
      <c r="D733" s="6">
        <f t="shared" si="46"/>
        <v>2</v>
      </c>
      <c r="E733" t="s">
        <v>2291</v>
      </c>
      <c r="F733" t="s">
        <v>62</v>
      </c>
      <c r="G733" s="5" t="s">
        <v>90</v>
      </c>
      <c r="H733" t="s">
        <v>38</v>
      </c>
      <c r="I733" t="s">
        <v>39</v>
      </c>
      <c r="J733" t="s">
        <v>40</v>
      </c>
      <c r="K733" t="s">
        <v>28</v>
      </c>
      <c r="L733" t="s">
        <v>153</v>
      </c>
      <c r="M733" t="s">
        <v>2292</v>
      </c>
      <c r="N733" t="s">
        <v>50</v>
      </c>
      <c r="O733">
        <v>4</v>
      </c>
      <c r="P733">
        <v>4376.68</v>
      </c>
      <c r="Q733" s="6">
        <v>0.1</v>
      </c>
      <c r="R733" s="8">
        <f t="shared" si="44"/>
        <v>0.1</v>
      </c>
      <c r="S733">
        <v>15756.05</v>
      </c>
      <c r="T733">
        <v>10245.44</v>
      </c>
      <c r="U733">
        <v>5510.61</v>
      </c>
      <c r="V733" t="s">
        <v>32</v>
      </c>
      <c r="W733" t="s">
        <v>33</v>
      </c>
      <c r="X733" t="str">
        <f t="shared" si="47"/>
        <v/>
      </c>
      <c r="Y733" t="str">
        <f t="shared" si="45"/>
        <v>Exclude</v>
      </c>
    </row>
    <row r="734" spans="1:25">
      <c r="A734" t="s">
        <v>2293</v>
      </c>
      <c r="B734" s="3">
        <v>45624</v>
      </c>
      <c r="C734" s="3">
        <v>45455</v>
      </c>
      <c r="D734" s="6">
        <f t="shared" si="46"/>
        <v>-169</v>
      </c>
      <c r="E734" t="s">
        <v>2294</v>
      </c>
      <c r="F734" t="s">
        <v>53</v>
      </c>
      <c r="G734" s="5" t="s">
        <v>37</v>
      </c>
      <c r="H734" t="s">
        <v>25</v>
      </c>
      <c r="I734" t="s">
        <v>122</v>
      </c>
      <c r="J734" t="s">
        <v>123</v>
      </c>
      <c r="K734" t="s">
        <v>74</v>
      </c>
      <c r="L734" t="s">
        <v>171</v>
      </c>
      <c r="M734" t="s">
        <v>2295</v>
      </c>
      <c r="N734" t="s">
        <v>59</v>
      </c>
      <c r="O734">
        <v>6</v>
      </c>
      <c r="P734">
        <v>2464.63</v>
      </c>
      <c r="Q734" s="6">
        <v>0</v>
      </c>
      <c r="R734" s="8">
        <f t="shared" si="44"/>
        <v>0</v>
      </c>
      <c r="S734">
        <v>14787.78</v>
      </c>
      <c r="T734">
        <v>8596.65</v>
      </c>
      <c r="U734">
        <v>6191.13</v>
      </c>
      <c r="V734" t="s">
        <v>32</v>
      </c>
      <c r="W734" t="s">
        <v>33</v>
      </c>
      <c r="X734" t="str">
        <f t="shared" si="47"/>
        <v>INVALID: Ship date before order date</v>
      </c>
      <c r="Y734" t="str">
        <f t="shared" si="45"/>
        <v>Exclude</v>
      </c>
    </row>
    <row r="735" spans="1:25">
      <c r="A735" t="s">
        <v>2296</v>
      </c>
      <c r="B735" s="3">
        <v>45464</v>
      </c>
      <c r="C735" s="3">
        <v>45471</v>
      </c>
      <c r="D735" s="6">
        <f t="shared" si="46"/>
        <v>7</v>
      </c>
      <c r="E735" t="s">
        <v>2297</v>
      </c>
      <c r="F735" t="s">
        <v>128</v>
      </c>
      <c r="G735" s="5" t="s">
        <v>95</v>
      </c>
      <c r="H735" t="s">
        <v>25</v>
      </c>
      <c r="I735" t="s">
        <v>26</v>
      </c>
      <c r="J735" t="s">
        <v>27</v>
      </c>
      <c r="K735" t="s">
        <v>41</v>
      </c>
      <c r="L735" t="s">
        <v>57</v>
      </c>
      <c r="M735" t="s">
        <v>2298</v>
      </c>
      <c r="N735" t="s">
        <v>50</v>
      </c>
      <c r="O735">
        <v>9</v>
      </c>
      <c r="P735">
        <v>2797.96</v>
      </c>
      <c r="Q735" s="6">
        <v>0</v>
      </c>
      <c r="R735" s="8">
        <f t="shared" si="44"/>
        <v>0</v>
      </c>
      <c r="S735">
        <v>25181.64</v>
      </c>
      <c r="T735">
        <v>15337.9</v>
      </c>
      <c r="U735">
        <v>9843.74</v>
      </c>
      <c r="V735" t="s">
        <v>32</v>
      </c>
      <c r="W735" t="s">
        <v>33</v>
      </c>
      <c r="X735" t="str">
        <f t="shared" si="47"/>
        <v/>
      </c>
      <c r="Y735" t="str">
        <f t="shared" si="45"/>
        <v>Exclude</v>
      </c>
    </row>
    <row r="736" spans="1:25">
      <c r="A736" t="s">
        <v>2299</v>
      </c>
      <c r="B736" s="3">
        <v>45528</v>
      </c>
      <c r="C736" s="3">
        <v>45528</v>
      </c>
      <c r="D736" s="6">
        <f t="shared" si="46"/>
        <v>0</v>
      </c>
      <c r="E736" t="s">
        <v>2300</v>
      </c>
      <c r="F736" t="s">
        <v>62</v>
      </c>
      <c r="G736" s="5" t="s">
        <v>37</v>
      </c>
      <c r="H736" t="s">
        <v>25</v>
      </c>
      <c r="I736" t="s">
        <v>26</v>
      </c>
      <c r="J736" t="s">
        <v>27</v>
      </c>
      <c r="K736" t="s">
        <v>74</v>
      </c>
      <c r="L736" t="s">
        <v>75</v>
      </c>
      <c r="M736" t="s">
        <v>2301</v>
      </c>
      <c r="N736" t="s">
        <v>50</v>
      </c>
      <c r="O736">
        <v>4</v>
      </c>
      <c r="P736">
        <v>2761.86</v>
      </c>
      <c r="Q736" s="6">
        <v>0.2</v>
      </c>
      <c r="R736" s="8">
        <f t="shared" si="44"/>
        <v>0.2</v>
      </c>
      <c r="S736">
        <v>8837.9500000000007</v>
      </c>
      <c r="T736">
        <v>6157.27</v>
      </c>
      <c r="U736">
        <v>2680.68</v>
      </c>
      <c r="V736" t="s">
        <v>32</v>
      </c>
      <c r="W736" t="s">
        <v>33</v>
      </c>
      <c r="X736" t="str">
        <f t="shared" si="47"/>
        <v/>
      </c>
      <c r="Y736" t="str">
        <f t="shared" si="45"/>
        <v>Exclude</v>
      </c>
    </row>
    <row r="737" spans="1:25">
      <c r="A737" t="s">
        <v>2302</v>
      </c>
      <c r="B737" s="3">
        <v>45515</v>
      </c>
      <c r="C737" s="3">
        <v>45523</v>
      </c>
      <c r="D737" s="6">
        <f t="shared" si="46"/>
        <v>8</v>
      </c>
      <c r="E737" t="s">
        <v>2303</v>
      </c>
      <c r="F737" t="s">
        <v>36</v>
      </c>
      <c r="G737" s="5" t="s">
        <v>24</v>
      </c>
      <c r="H737" t="s">
        <v>63</v>
      </c>
      <c r="I737" t="s">
        <v>64</v>
      </c>
      <c r="J737" t="s">
        <v>65</v>
      </c>
      <c r="K737" t="s">
        <v>41</v>
      </c>
      <c r="L737" t="s">
        <v>42</v>
      </c>
      <c r="M737" t="s">
        <v>2304</v>
      </c>
      <c r="N737" t="s">
        <v>59</v>
      </c>
      <c r="O737">
        <v>6</v>
      </c>
      <c r="P737">
        <v>1515.79</v>
      </c>
      <c r="Q737" s="6">
        <v>0.2</v>
      </c>
      <c r="R737" s="8">
        <f t="shared" si="44"/>
        <v>0.2</v>
      </c>
      <c r="S737">
        <v>7275.79</v>
      </c>
      <c r="T737">
        <v>6152.87</v>
      </c>
      <c r="U737">
        <v>1122.92</v>
      </c>
      <c r="V737" t="s">
        <v>32</v>
      </c>
      <c r="W737" t="s">
        <v>33</v>
      </c>
      <c r="X737" t="str">
        <f t="shared" si="47"/>
        <v/>
      </c>
      <c r="Y737" t="str">
        <f t="shared" si="45"/>
        <v>Exclude</v>
      </c>
    </row>
    <row r="738" spans="1:25">
      <c r="A738" t="s">
        <v>2305</v>
      </c>
      <c r="B738" s="3">
        <v>45632</v>
      </c>
      <c r="C738" s="3">
        <v>45635</v>
      </c>
      <c r="D738" s="6">
        <f t="shared" si="46"/>
        <v>3</v>
      </c>
      <c r="E738" t="s">
        <v>2306</v>
      </c>
      <c r="F738" t="s">
        <v>89</v>
      </c>
      <c r="G738" s="5" t="s">
        <v>24</v>
      </c>
      <c r="H738" t="s">
        <v>63</v>
      </c>
      <c r="I738" t="s">
        <v>64</v>
      </c>
      <c r="J738" t="s">
        <v>65</v>
      </c>
      <c r="K738" t="s">
        <v>41</v>
      </c>
      <c r="L738" t="s">
        <v>66</v>
      </c>
      <c r="M738" t="s">
        <v>2307</v>
      </c>
      <c r="N738" t="s">
        <v>31</v>
      </c>
      <c r="O738">
        <v>9</v>
      </c>
      <c r="P738">
        <v>290.75</v>
      </c>
      <c r="Q738" s="6">
        <v>0.1</v>
      </c>
      <c r="R738" s="8">
        <f t="shared" si="44"/>
        <v>0.1</v>
      </c>
      <c r="S738">
        <v>2355.08</v>
      </c>
      <c r="T738">
        <v>1350.03</v>
      </c>
      <c r="U738">
        <v>1005.05</v>
      </c>
      <c r="V738" t="s">
        <v>32</v>
      </c>
      <c r="W738" t="s">
        <v>33</v>
      </c>
      <c r="X738" t="str">
        <f t="shared" si="47"/>
        <v/>
      </c>
      <c r="Y738" t="str">
        <f t="shared" si="45"/>
        <v>Exclude</v>
      </c>
    </row>
    <row r="739" spans="1:25">
      <c r="A739" t="s">
        <v>2308</v>
      </c>
      <c r="B739" s="3">
        <v>45332</v>
      </c>
      <c r="C739" s="3">
        <v>45567</v>
      </c>
      <c r="D739" s="6">
        <f t="shared" si="46"/>
        <v>235</v>
      </c>
      <c r="E739" t="s">
        <v>2309</v>
      </c>
      <c r="F739" t="s">
        <v>47</v>
      </c>
      <c r="G739" s="5" t="s">
        <v>95</v>
      </c>
      <c r="H739" t="s">
        <v>63</v>
      </c>
      <c r="I739" t="s">
        <v>64</v>
      </c>
      <c r="J739" t="s">
        <v>65</v>
      </c>
      <c r="K739" t="s">
        <v>41</v>
      </c>
      <c r="L739" t="s">
        <v>66</v>
      </c>
      <c r="M739" t="s">
        <v>2310</v>
      </c>
      <c r="N739" t="s">
        <v>44</v>
      </c>
      <c r="O739">
        <v>6</v>
      </c>
      <c r="P739">
        <v>601.52</v>
      </c>
      <c r="Q739" s="6">
        <v>0</v>
      </c>
      <c r="R739" s="8">
        <f t="shared" si="44"/>
        <v>0</v>
      </c>
      <c r="S739">
        <v>3609.12</v>
      </c>
      <c r="T739">
        <v>2645.5</v>
      </c>
      <c r="U739">
        <v>963.62</v>
      </c>
      <c r="V739" t="s">
        <v>32</v>
      </c>
      <c r="W739" t="s">
        <v>33</v>
      </c>
      <c r="X739" t="str">
        <f t="shared" si="47"/>
        <v/>
      </c>
      <c r="Y739" t="str">
        <f t="shared" si="45"/>
        <v>Exclude</v>
      </c>
    </row>
    <row r="740" spans="1:25">
      <c r="A740" t="s">
        <v>2311</v>
      </c>
      <c r="B740" s="3">
        <v>45708</v>
      </c>
      <c r="C740" s="3">
        <v>45710</v>
      </c>
      <c r="D740" s="6">
        <f t="shared" si="46"/>
        <v>2</v>
      </c>
      <c r="E740" t="s">
        <v>2312</v>
      </c>
      <c r="F740" t="s">
        <v>114</v>
      </c>
      <c r="G740" s="5" t="s">
        <v>90</v>
      </c>
      <c r="H740" t="s">
        <v>54</v>
      </c>
      <c r="I740" t="s">
        <v>185</v>
      </c>
      <c r="J740" t="s">
        <v>186</v>
      </c>
      <c r="K740" t="s">
        <v>28</v>
      </c>
      <c r="L740" t="s">
        <v>29</v>
      </c>
      <c r="M740" t="s">
        <v>2313</v>
      </c>
      <c r="N740" t="s">
        <v>50</v>
      </c>
      <c r="O740">
        <v>1</v>
      </c>
      <c r="P740">
        <v>2188.19</v>
      </c>
      <c r="Q740" s="6">
        <v>0</v>
      </c>
      <c r="R740" s="8">
        <f t="shared" si="44"/>
        <v>0</v>
      </c>
      <c r="S740">
        <v>2188.19</v>
      </c>
      <c r="T740">
        <v>1298.8399999999999</v>
      </c>
      <c r="U740">
        <v>889.35</v>
      </c>
      <c r="V740" t="s">
        <v>32</v>
      </c>
      <c r="W740" t="s">
        <v>33</v>
      </c>
      <c r="X740" t="str">
        <f t="shared" si="47"/>
        <v/>
      </c>
      <c r="Y740" t="str">
        <f t="shared" si="45"/>
        <v>Exclude</v>
      </c>
    </row>
    <row r="741" spans="1:25">
      <c r="A741" t="s">
        <v>2314</v>
      </c>
      <c r="B741" s="3">
        <v>45629</v>
      </c>
      <c r="C741" s="3">
        <v>45577</v>
      </c>
      <c r="D741" s="6">
        <f t="shared" si="46"/>
        <v>-52</v>
      </c>
      <c r="E741" t="s">
        <v>2315</v>
      </c>
      <c r="F741" t="s">
        <v>79</v>
      </c>
      <c r="G741" s="5" t="s">
        <v>90</v>
      </c>
      <c r="H741" t="s">
        <v>25</v>
      </c>
      <c r="I741" t="s">
        <v>26</v>
      </c>
      <c r="J741" t="s">
        <v>27</v>
      </c>
      <c r="K741" t="s">
        <v>74</v>
      </c>
      <c r="L741" t="s">
        <v>171</v>
      </c>
      <c r="M741" t="s">
        <v>2316</v>
      </c>
      <c r="N741" t="s">
        <v>59</v>
      </c>
      <c r="O741">
        <v>5</v>
      </c>
      <c r="P741">
        <v>2393.86</v>
      </c>
      <c r="Q741" s="6">
        <v>0.05</v>
      </c>
      <c r="R741" s="8">
        <f t="shared" si="44"/>
        <v>0.05</v>
      </c>
      <c r="S741">
        <v>11370.84</v>
      </c>
      <c r="T741">
        <v>7469.58</v>
      </c>
      <c r="U741">
        <v>3901.26</v>
      </c>
      <c r="V741" t="s">
        <v>32</v>
      </c>
      <c r="W741" t="s">
        <v>33</v>
      </c>
      <c r="X741" t="str">
        <f t="shared" si="47"/>
        <v>INVALID: Ship date before order date</v>
      </c>
      <c r="Y741" t="str">
        <f t="shared" si="45"/>
        <v>Exclude</v>
      </c>
    </row>
    <row r="742" spans="1:25">
      <c r="A742" t="s">
        <v>2317</v>
      </c>
      <c r="B742" s="3">
        <v>45384</v>
      </c>
      <c r="C742" s="3">
        <v>45326</v>
      </c>
      <c r="D742" s="6">
        <f t="shared" si="46"/>
        <v>-58</v>
      </c>
      <c r="E742" t="s">
        <v>524</v>
      </c>
      <c r="F742" t="s">
        <v>132</v>
      </c>
      <c r="G742" s="5" t="s">
        <v>37</v>
      </c>
      <c r="H742" t="s">
        <v>63</v>
      </c>
      <c r="I742" t="s">
        <v>64</v>
      </c>
      <c r="J742" t="s">
        <v>65</v>
      </c>
      <c r="K742" t="s">
        <v>41</v>
      </c>
      <c r="L742" t="s">
        <v>66</v>
      </c>
      <c r="M742" t="s">
        <v>2318</v>
      </c>
      <c r="N742" t="s">
        <v>50</v>
      </c>
      <c r="O742">
        <v>4</v>
      </c>
      <c r="P742">
        <v>2583</v>
      </c>
      <c r="Q742" s="6">
        <v>0.1</v>
      </c>
      <c r="R742" s="8">
        <f t="shared" si="44"/>
        <v>0.1</v>
      </c>
      <c r="S742">
        <v>9298.7999999999993</v>
      </c>
      <c r="T742">
        <v>6548.5</v>
      </c>
      <c r="U742">
        <v>2750.3</v>
      </c>
      <c r="V742" t="s">
        <v>32</v>
      </c>
      <c r="W742" t="s">
        <v>33</v>
      </c>
      <c r="X742" t="str">
        <f t="shared" si="47"/>
        <v>INVALID: Ship date before order date</v>
      </c>
      <c r="Y742" t="str">
        <f t="shared" si="45"/>
        <v>Exclude</v>
      </c>
    </row>
    <row r="743" spans="1:25">
      <c r="A743" t="s">
        <v>2319</v>
      </c>
      <c r="B743" s="3">
        <v>45770</v>
      </c>
      <c r="C743" s="3">
        <v>45772</v>
      </c>
      <c r="D743" s="6">
        <f t="shared" si="46"/>
        <v>2</v>
      </c>
      <c r="E743" t="s">
        <v>2320</v>
      </c>
      <c r="F743" t="s">
        <v>47</v>
      </c>
      <c r="G743" s="5" t="s">
        <v>95</v>
      </c>
      <c r="H743" t="s">
        <v>54</v>
      </c>
      <c r="I743" t="s">
        <v>248</v>
      </c>
      <c r="J743" t="s">
        <v>249</v>
      </c>
      <c r="K743" t="s">
        <v>41</v>
      </c>
      <c r="L743" t="s">
        <v>66</v>
      </c>
      <c r="M743" t="s">
        <v>2321</v>
      </c>
      <c r="N743" t="s">
        <v>31</v>
      </c>
      <c r="O743">
        <v>3</v>
      </c>
      <c r="P743">
        <v>2951.12</v>
      </c>
      <c r="Q743" s="6">
        <v>0</v>
      </c>
      <c r="R743" s="8">
        <f t="shared" si="44"/>
        <v>0</v>
      </c>
      <c r="S743">
        <v>7082.69</v>
      </c>
      <c r="T743">
        <v>5596.34</v>
      </c>
      <c r="U743">
        <v>1486.35</v>
      </c>
      <c r="V743" t="s">
        <v>32</v>
      </c>
      <c r="W743" t="s">
        <v>68</v>
      </c>
      <c r="X743" t="str">
        <f t="shared" si="47"/>
        <v>EXCLUDE: Cancelled order</v>
      </c>
      <c r="Y743" t="str">
        <f t="shared" si="45"/>
        <v>Exclude</v>
      </c>
    </row>
    <row r="744" spans="1:25">
      <c r="A744" t="s">
        <v>2322</v>
      </c>
      <c r="B744" s="3">
        <v>45580</v>
      </c>
      <c r="C744" s="3">
        <v>45587</v>
      </c>
      <c r="D744" s="6">
        <f t="shared" si="46"/>
        <v>7</v>
      </c>
      <c r="E744" t="s">
        <v>2323</v>
      </c>
      <c r="F744" t="s">
        <v>23</v>
      </c>
      <c r="G744" s="5" t="s">
        <v>90</v>
      </c>
      <c r="H744" t="s">
        <v>38</v>
      </c>
      <c r="I744" t="s">
        <v>39</v>
      </c>
      <c r="J744" t="s">
        <v>40</v>
      </c>
      <c r="K744" t="s">
        <v>28</v>
      </c>
      <c r="L744" t="s">
        <v>29</v>
      </c>
      <c r="M744" t="s">
        <v>2324</v>
      </c>
      <c r="N744" t="s">
        <v>59</v>
      </c>
      <c r="O744">
        <v>4</v>
      </c>
      <c r="P744">
        <v>2260.9499999999998</v>
      </c>
      <c r="Q744" s="6">
        <v>0</v>
      </c>
      <c r="R744" s="8">
        <f t="shared" si="44"/>
        <v>0</v>
      </c>
      <c r="S744">
        <v>9043.7999999999993</v>
      </c>
      <c r="T744">
        <v>5913.38</v>
      </c>
      <c r="U744">
        <v>3130.42</v>
      </c>
      <c r="V744" t="s">
        <v>32</v>
      </c>
      <c r="W744" t="s">
        <v>33</v>
      </c>
      <c r="X744" t="str">
        <f t="shared" si="47"/>
        <v/>
      </c>
      <c r="Y744" t="str">
        <f t="shared" si="45"/>
        <v>Exclude</v>
      </c>
    </row>
    <row r="745" spans="1:25">
      <c r="A745" t="s">
        <v>2325</v>
      </c>
      <c r="B745" s="3">
        <v>45993</v>
      </c>
      <c r="C745" s="3">
        <v>45702</v>
      </c>
      <c r="D745" s="6">
        <f t="shared" si="46"/>
        <v>-291</v>
      </c>
      <c r="E745" t="s">
        <v>2326</v>
      </c>
      <c r="F745" t="s">
        <v>132</v>
      </c>
      <c r="G745" s="5" t="s">
        <v>24</v>
      </c>
      <c r="H745" t="s">
        <v>25</v>
      </c>
      <c r="I745" t="s">
        <v>136</v>
      </c>
      <c r="J745" t="s">
        <v>137</v>
      </c>
      <c r="K745" t="s">
        <v>28</v>
      </c>
      <c r="L745" t="s">
        <v>48</v>
      </c>
      <c r="M745" t="s">
        <v>2327</v>
      </c>
      <c r="N745" t="s">
        <v>59</v>
      </c>
      <c r="O745">
        <v>6</v>
      </c>
      <c r="P745">
        <v>491.4</v>
      </c>
      <c r="Q745" s="6">
        <v>0.25</v>
      </c>
      <c r="R745" s="8">
        <f t="shared" si="44"/>
        <v>0.25</v>
      </c>
      <c r="S745">
        <v>2211.3000000000002</v>
      </c>
      <c r="T745">
        <v>1735.64</v>
      </c>
      <c r="U745">
        <v>475.66</v>
      </c>
      <c r="V745" t="s">
        <v>32</v>
      </c>
      <c r="W745" t="s">
        <v>33</v>
      </c>
      <c r="X745" t="str">
        <f t="shared" si="47"/>
        <v>INVALID: Ship date before order date</v>
      </c>
      <c r="Y745" t="str">
        <f t="shared" si="45"/>
        <v>Exclude</v>
      </c>
    </row>
    <row r="746" spans="1:25">
      <c r="A746" t="s">
        <v>2328</v>
      </c>
      <c r="B746" s="3">
        <v>45886</v>
      </c>
      <c r="C746" s="3">
        <v>45889</v>
      </c>
      <c r="D746" s="6">
        <f t="shared" si="46"/>
        <v>3</v>
      </c>
      <c r="E746" t="s">
        <v>2329</v>
      </c>
      <c r="F746" t="s">
        <v>36</v>
      </c>
      <c r="G746" s="5" t="s">
        <v>95</v>
      </c>
      <c r="H746" t="s">
        <v>25</v>
      </c>
      <c r="I746" t="s">
        <v>122</v>
      </c>
      <c r="J746" t="s">
        <v>123</v>
      </c>
      <c r="K746" t="s">
        <v>28</v>
      </c>
      <c r="L746" t="s">
        <v>153</v>
      </c>
      <c r="M746" t="s">
        <v>2330</v>
      </c>
      <c r="N746" t="s">
        <v>50</v>
      </c>
      <c r="O746">
        <v>5</v>
      </c>
      <c r="P746">
        <v>2701.89</v>
      </c>
      <c r="Q746" s="6">
        <v>0.1</v>
      </c>
      <c r="R746" s="8">
        <f t="shared" si="44"/>
        <v>0.1</v>
      </c>
      <c r="S746">
        <v>12158.5</v>
      </c>
      <c r="T746">
        <v>10260.07</v>
      </c>
      <c r="U746">
        <v>1898.43</v>
      </c>
      <c r="V746" t="s">
        <v>32</v>
      </c>
      <c r="W746" t="s">
        <v>68</v>
      </c>
      <c r="X746" t="str">
        <f t="shared" si="47"/>
        <v>EXCLUDE: Cancelled order</v>
      </c>
      <c r="Y746" t="str">
        <f t="shared" si="45"/>
        <v>Exclude</v>
      </c>
    </row>
    <row r="747" spans="1:25">
      <c r="A747" t="s">
        <v>2331</v>
      </c>
      <c r="B747" s="3">
        <v>45589</v>
      </c>
      <c r="C747" s="3">
        <v>45593</v>
      </c>
      <c r="D747" s="6">
        <f t="shared" si="46"/>
        <v>4</v>
      </c>
      <c r="E747" t="s">
        <v>2332</v>
      </c>
      <c r="F747" t="s">
        <v>36</v>
      </c>
      <c r="G747" s="5" t="s">
        <v>37</v>
      </c>
      <c r="H747" t="s">
        <v>38</v>
      </c>
      <c r="I747" t="s">
        <v>166</v>
      </c>
      <c r="J747" t="s">
        <v>167</v>
      </c>
      <c r="K747" t="s">
        <v>74</v>
      </c>
      <c r="L747" t="s">
        <v>80</v>
      </c>
      <c r="M747" t="s">
        <v>2333</v>
      </c>
      <c r="N747" t="s">
        <v>59</v>
      </c>
      <c r="O747">
        <v>3</v>
      </c>
      <c r="P747">
        <v>723.59</v>
      </c>
      <c r="Q747" s="6">
        <v>0.2</v>
      </c>
      <c r="R747" s="8">
        <f t="shared" si="44"/>
        <v>0.2</v>
      </c>
      <c r="S747">
        <v>1736.62</v>
      </c>
      <c r="T747">
        <v>1059.52</v>
      </c>
      <c r="U747">
        <v>677.1</v>
      </c>
      <c r="V747" t="s">
        <v>32</v>
      </c>
      <c r="W747" t="s">
        <v>33</v>
      </c>
      <c r="X747" t="str">
        <f t="shared" si="47"/>
        <v/>
      </c>
      <c r="Y747" t="str">
        <f t="shared" si="45"/>
        <v>Exclude</v>
      </c>
    </row>
    <row r="748" spans="1:25">
      <c r="A748" t="s">
        <v>2334</v>
      </c>
      <c r="B748" s="3">
        <v>45661</v>
      </c>
      <c r="C748" s="3">
        <v>45667</v>
      </c>
      <c r="D748" s="6">
        <f t="shared" si="46"/>
        <v>6</v>
      </c>
      <c r="E748" t="s">
        <v>2042</v>
      </c>
      <c r="F748" t="s">
        <v>128</v>
      </c>
      <c r="G748" s="5" t="s">
        <v>95</v>
      </c>
      <c r="H748" t="s">
        <v>38</v>
      </c>
      <c r="I748" t="s">
        <v>99</v>
      </c>
      <c r="J748" t="s">
        <v>100</v>
      </c>
      <c r="K748" t="s">
        <v>28</v>
      </c>
      <c r="L748" t="s">
        <v>29</v>
      </c>
      <c r="M748" t="s">
        <v>2335</v>
      </c>
      <c r="N748" t="s">
        <v>59</v>
      </c>
      <c r="O748">
        <v>4</v>
      </c>
      <c r="P748">
        <v>2583.19</v>
      </c>
      <c r="Q748" s="6">
        <v>0.2</v>
      </c>
      <c r="R748" s="8">
        <f t="shared" si="44"/>
        <v>0.2</v>
      </c>
      <c r="S748">
        <v>8266.2099999999991</v>
      </c>
      <c r="T748">
        <v>6236.32</v>
      </c>
      <c r="U748">
        <v>2029.89</v>
      </c>
      <c r="V748" t="s">
        <v>32</v>
      </c>
      <c r="W748" t="s">
        <v>33</v>
      </c>
      <c r="X748" t="str">
        <f t="shared" si="47"/>
        <v/>
      </c>
      <c r="Y748" t="str">
        <f t="shared" si="45"/>
        <v>Exclude</v>
      </c>
    </row>
    <row r="749" spans="1:25">
      <c r="A749" t="s">
        <v>2336</v>
      </c>
      <c r="B749" s="3">
        <v>45413</v>
      </c>
      <c r="C749" s="3">
        <v>45478</v>
      </c>
      <c r="D749" s="6">
        <f t="shared" si="46"/>
        <v>65</v>
      </c>
      <c r="E749" t="s">
        <v>2337</v>
      </c>
      <c r="F749" t="s">
        <v>47</v>
      </c>
      <c r="G749" s="5" t="s">
        <v>95</v>
      </c>
      <c r="H749" t="s">
        <v>38</v>
      </c>
      <c r="I749" t="s">
        <v>39</v>
      </c>
      <c r="J749" t="s">
        <v>40</v>
      </c>
      <c r="K749" t="s">
        <v>28</v>
      </c>
      <c r="L749" t="s">
        <v>29</v>
      </c>
      <c r="M749" t="s">
        <v>2338</v>
      </c>
      <c r="N749" t="s">
        <v>44</v>
      </c>
      <c r="O749">
        <v>8</v>
      </c>
      <c r="P749">
        <v>1473.83</v>
      </c>
      <c r="Q749" s="6">
        <v>0.15</v>
      </c>
      <c r="R749" s="8">
        <f t="shared" si="44"/>
        <v>0.15</v>
      </c>
      <c r="S749">
        <v>10022.040000000001</v>
      </c>
      <c r="T749">
        <v>5576.98</v>
      </c>
      <c r="U749">
        <v>4445.0600000000004</v>
      </c>
      <c r="V749" t="s">
        <v>32</v>
      </c>
      <c r="W749" t="s">
        <v>33</v>
      </c>
      <c r="X749" t="str">
        <f t="shared" si="47"/>
        <v/>
      </c>
      <c r="Y749" t="str">
        <f t="shared" si="45"/>
        <v>Exclude</v>
      </c>
    </row>
    <row r="750" spans="1:25">
      <c r="A750" t="s">
        <v>2339</v>
      </c>
      <c r="B750" s="3">
        <v>45442</v>
      </c>
      <c r="C750" s="3">
        <v>45442</v>
      </c>
      <c r="D750" s="6">
        <f t="shared" si="46"/>
        <v>0</v>
      </c>
      <c r="E750" t="s">
        <v>2340</v>
      </c>
      <c r="F750" t="s">
        <v>162</v>
      </c>
      <c r="G750" s="5" t="s">
        <v>95</v>
      </c>
      <c r="H750" t="s">
        <v>25</v>
      </c>
      <c r="I750" t="s">
        <v>237</v>
      </c>
      <c r="J750" t="s">
        <v>238</v>
      </c>
      <c r="K750" t="s">
        <v>74</v>
      </c>
      <c r="L750" t="s">
        <v>171</v>
      </c>
      <c r="M750" t="s">
        <v>2341</v>
      </c>
      <c r="N750" t="s">
        <v>31</v>
      </c>
      <c r="O750">
        <v>1</v>
      </c>
      <c r="P750">
        <v>3848.04</v>
      </c>
      <c r="Q750" s="6">
        <v>0.25</v>
      </c>
      <c r="R750" s="8">
        <f t="shared" si="44"/>
        <v>0.25</v>
      </c>
      <c r="S750">
        <v>2886.03</v>
      </c>
      <c r="T750">
        <v>2064.83</v>
      </c>
      <c r="U750">
        <v>821.2</v>
      </c>
      <c r="V750" t="s">
        <v>32</v>
      </c>
      <c r="W750" t="s">
        <v>33</v>
      </c>
      <c r="X750" t="str">
        <f t="shared" si="47"/>
        <v/>
      </c>
      <c r="Y750" t="str">
        <f t="shared" si="45"/>
        <v>Exclude</v>
      </c>
    </row>
    <row r="751" spans="1:25">
      <c r="A751" t="s">
        <v>2342</v>
      </c>
      <c r="B751" s="3">
        <v>45372</v>
      </c>
      <c r="C751" s="3">
        <v>45376</v>
      </c>
      <c r="D751" s="6">
        <f t="shared" si="46"/>
        <v>4</v>
      </c>
      <c r="E751" t="s">
        <v>2343</v>
      </c>
      <c r="F751" t="s">
        <v>89</v>
      </c>
      <c r="G751" s="5" t="s">
        <v>95</v>
      </c>
      <c r="H751" t="s">
        <v>38</v>
      </c>
      <c r="I751" t="s">
        <v>166</v>
      </c>
      <c r="J751" t="s">
        <v>167</v>
      </c>
      <c r="K751" t="s">
        <v>74</v>
      </c>
      <c r="L751" t="s">
        <v>275</v>
      </c>
      <c r="M751" t="s">
        <v>2344</v>
      </c>
      <c r="N751" t="s">
        <v>59</v>
      </c>
      <c r="O751">
        <v>1</v>
      </c>
      <c r="P751">
        <v>1716.7</v>
      </c>
      <c r="Q751" s="6">
        <v>0.15</v>
      </c>
      <c r="R751" s="8">
        <f t="shared" si="44"/>
        <v>0.15</v>
      </c>
      <c r="S751">
        <v>1459.19</v>
      </c>
      <c r="T751">
        <v>1055.79</v>
      </c>
      <c r="U751">
        <v>403.4</v>
      </c>
      <c r="V751" t="s">
        <v>32</v>
      </c>
      <c r="W751" t="s">
        <v>33</v>
      </c>
      <c r="X751" t="str">
        <f t="shared" si="47"/>
        <v/>
      </c>
      <c r="Y751" t="str">
        <f t="shared" si="45"/>
        <v>Exclude</v>
      </c>
    </row>
    <row r="752" spans="1:25">
      <c r="A752" t="s">
        <v>2345</v>
      </c>
      <c r="B752" s="3">
        <v>45694</v>
      </c>
      <c r="C752" s="3">
        <v>45694</v>
      </c>
      <c r="D752" s="6">
        <f t="shared" si="46"/>
        <v>0</v>
      </c>
      <c r="E752" t="s">
        <v>2346</v>
      </c>
      <c r="F752" t="s">
        <v>128</v>
      </c>
      <c r="G752" s="5" t="s">
        <v>95</v>
      </c>
      <c r="H752" t="s">
        <v>54</v>
      </c>
      <c r="I752" t="s">
        <v>55</v>
      </c>
      <c r="J752" t="s">
        <v>56</v>
      </c>
      <c r="K752" t="s">
        <v>74</v>
      </c>
      <c r="L752" t="s">
        <v>75</v>
      </c>
      <c r="M752" t="s">
        <v>2347</v>
      </c>
      <c r="N752" t="s">
        <v>50</v>
      </c>
      <c r="O752">
        <v>8</v>
      </c>
      <c r="P752">
        <v>3925.93</v>
      </c>
      <c r="Q752" s="6">
        <v>0.15</v>
      </c>
      <c r="R752" s="8">
        <f t="shared" si="44"/>
        <v>0.15</v>
      </c>
      <c r="S752">
        <v>26696.32</v>
      </c>
      <c r="T752">
        <v>22724.52</v>
      </c>
      <c r="U752">
        <v>3971.8</v>
      </c>
      <c r="V752" t="s">
        <v>32</v>
      </c>
      <c r="W752" t="s">
        <v>33</v>
      </c>
      <c r="X752" t="str">
        <f t="shared" si="47"/>
        <v/>
      </c>
      <c r="Y752" t="str">
        <f t="shared" si="45"/>
        <v>Exclude</v>
      </c>
    </row>
    <row r="753" spans="1:25">
      <c r="A753" t="s">
        <v>2348</v>
      </c>
      <c r="B753" s="3">
        <v>45856</v>
      </c>
      <c r="C753" s="3">
        <v>45857</v>
      </c>
      <c r="D753" s="6">
        <f t="shared" si="46"/>
        <v>1</v>
      </c>
      <c r="E753" t="s">
        <v>2349</v>
      </c>
      <c r="F753" t="s">
        <v>114</v>
      </c>
      <c r="G753" s="5" t="s">
        <v>95</v>
      </c>
      <c r="H753" t="s">
        <v>2806</v>
      </c>
      <c r="I753" t="s">
        <v>136</v>
      </c>
      <c r="J753" t="s">
        <v>137</v>
      </c>
      <c r="K753" t="s">
        <v>74</v>
      </c>
      <c r="L753" t="s">
        <v>275</v>
      </c>
      <c r="M753" t="s">
        <v>2350</v>
      </c>
      <c r="N753" t="s">
        <v>2806</v>
      </c>
      <c r="O753">
        <v>3</v>
      </c>
      <c r="P753">
        <v>2963.25</v>
      </c>
      <c r="Q753" s="6">
        <v>0.05</v>
      </c>
      <c r="R753" s="8">
        <f t="shared" si="44"/>
        <v>0.05</v>
      </c>
      <c r="S753">
        <v>8445.26</v>
      </c>
      <c r="T753">
        <v>6937.6</v>
      </c>
      <c r="U753">
        <v>1507.66</v>
      </c>
      <c r="V753" t="s">
        <v>32</v>
      </c>
      <c r="W753" t="s">
        <v>33</v>
      </c>
      <c r="X753" t="str">
        <f t="shared" si="47"/>
        <v/>
      </c>
      <c r="Y753" t="str">
        <f t="shared" si="45"/>
        <v>Exclude</v>
      </c>
    </row>
    <row r="754" spans="1:25">
      <c r="A754" t="s">
        <v>2351</v>
      </c>
      <c r="B754" s="3">
        <v>45375</v>
      </c>
      <c r="C754" s="3">
        <v>45378</v>
      </c>
      <c r="D754" s="6">
        <f t="shared" si="46"/>
        <v>3</v>
      </c>
      <c r="E754" t="s">
        <v>2352</v>
      </c>
      <c r="F754" t="s">
        <v>89</v>
      </c>
      <c r="G754" s="5" t="s">
        <v>90</v>
      </c>
      <c r="H754" t="s">
        <v>63</v>
      </c>
      <c r="I754" t="s">
        <v>180</v>
      </c>
      <c r="J754" t="s">
        <v>181</v>
      </c>
      <c r="K754" t="s">
        <v>28</v>
      </c>
      <c r="L754" t="s">
        <v>124</v>
      </c>
      <c r="M754" t="s">
        <v>2353</v>
      </c>
      <c r="N754" t="s">
        <v>50</v>
      </c>
      <c r="O754">
        <v>5</v>
      </c>
      <c r="P754">
        <v>2465.2199999999998</v>
      </c>
      <c r="Q754" s="6">
        <v>0.05</v>
      </c>
      <c r="R754" s="8">
        <f t="shared" si="44"/>
        <v>0.05</v>
      </c>
      <c r="S754">
        <v>11709.79</v>
      </c>
      <c r="T754">
        <v>8372.2900000000009</v>
      </c>
      <c r="U754">
        <v>3337.5</v>
      </c>
      <c r="V754" t="s">
        <v>32</v>
      </c>
      <c r="W754" t="s">
        <v>33</v>
      </c>
      <c r="X754" t="str">
        <f t="shared" si="47"/>
        <v/>
      </c>
      <c r="Y754" t="str">
        <f t="shared" si="45"/>
        <v>Exclude</v>
      </c>
    </row>
    <row r="755" spans="1:25">
      <c r="A755" t="s">
        <v>2354</v>
      </c>
      <c r="B755" s="3">
        <v>45515</v>
      </c>
      <c r="C755" s="3">
        <v>45514</v>
      </c>
      <c r="D755" s="6">
        <f t="shared" si="46"/>
        <v>-1</v>
      </c>
      <c r="E755" t="s">
        <v>2355</v>
      </c>
      <c r="F755" t="s">
        <v>89</v>
      </c>
      <c r="G755" s="5" t="s">
        <v>90</v>
      </c>
      <c r="H755" t="s">
        <v>25</v>
      </c>
      <c r="I755" t="s">
        <v>351</v>
      </c>
      <c r="J755" t="s">
        <v>352</v>
      </c>
      <c r="K755" t="s">
        <v>41</v>
      </c>
      <c r="L755" t="s">
        <v>57</v>
      </c>
      <c r="M755" t="s">
        <v>2356</v>
      </c>
      <c r="N755" t="s">
        <v>31</v>
      </c>
      <c r="O755">
        <v>3</v>
      </c>
      <c r="P755">
        <v>1017.22</v>
      </c>
      <c r="Q755" s="6">
        <v>0.15</v>
      </c>
      <c r="R755" s="8">
        <f t="shared" si="44"/>
        <v>0.15</v>
      </c>
      <c r="S755">
        <v>2593.91</v>
      </c>
      <c r="T755">
        <v>1848.48</v>
      </c>
      <c r="U755">
        <v>745.43</v>
      </c>
      <c r="V755" t="s">
        <v>155</v>
      </c>
      <c r="W755" t="s">
        <v>103</v>
      </c>
      <c r="X755" t="str">
        <f t="shared" si="47"/>
        <v>INVALID: Ship date before order date; EXCLUDE: Failed payment</v>
      </c>
      <c r="Y755" t="str">
        <f t="shared" si="45"/>
        <v>Exclude</v>
      </c>
    </row>
    <row r="756" spans="1:25">
      <c r="A756" t="s">
        <v>2357</v>
      </c>
      <c r="B756" s="3">
        <v>45753</v>
      </c>
      <c r="C756" s="3">
        <v>45753</v>
      </c>
      <c r="D756" s="6">
        <f t="shared" si="46"/>
        <v>0</v>
      </c>
      <c r="E756" t="s">
        <v>2358</v>
      </c>
      <c r="F756" t="s">
        <v>79</v>
      </c>
      <c r="G756" s="5" t="s">
        <v>90</v>
      </c>
      <c r="H756" t="s">
        <v>54</v>
      </c>
      <c r="I756" t="s">
        <v>185</v>
      </c>
      <c r="J756" t="s">
        <v>186</v>
      </c>
      <c r="K756" t="s">
        <v>28</v>
      </c>
      <c r="L756" t="s">
        <v>124</v>
      </c>
      <c r="M756" t="s">
        <v>2359</v>
      </c>
      <c r="N756" t="s">
        <v>59</v>
      </c>
      <c r="O756">
        <v>4</v>
      </c>
      <c r="P756">
        <v>891.34</v>
      </c>
      <c r="Q756" s="6">
        <v>0.25</v>
      </c>
      <c r="R756" s="8">
        <f t="shared" si="44"/>
        <v>0.25</v>
      </c>
      <c r="S756">
        <v>2674.02</v>
      </c>
      <c r="T756">
        <v>2207.5700000000002</v>
      </c>
      <c r="U756">
        <v>466.45</v>
      </c>
      <c r="V756" t="s">
        <v>32</v>
      </c>
      <c r="W756" t="s">
        <v>33</v>
      </c>
      <c r="X756" t="str">
        <f t="shared" si="47"/>
        <v/>
      </c>
      <c r="Y756" t="str">
        <f t="shared" si="45"/>
        <v>Exclude</v>
      </c>
    </row>
    <row r="757" spans="1:25">
      <c r="A757" t="s">
        <v>2360</v>
      </c>
      <c r="B757" s="3">
        <v>45858</v>
      </c>
      <c r="C757" s="3">
        <v>45862</v>
      </c>
      <c r="D757" s="6">
        <f t="shared" si="46"/>
        <v>4</v>
      </c>
      <c r="E757" t="s">
        <v>2361</v>
      </c>
      <c r="F757" t="s">
        <v>114</v>
      </c>
      <c r="G757" s="5" t="s">
        <v>95</v>
      </c>
      <c r="H757" t="s">
        <v>63</v>
      </c>
      <c r="I757" t="s">
        <v>72</v>
      </c>
      <c r="J757" t="s">
        <v>73</v>
      </c>
      <c r="K757" t="s">
        <v>28</v>
      </c>
      <c r="L757" t="s">
        <v>124</v>
      </c>
      <c r="M757" t="s">
        <v>2362</v>
      </c>
      <c r="N757" t="s">
        <v>31</v>
      </c>
      <c r="O757">
        <v>5</v>
      </c>
      <c r="P757">
        <v>2481.7399999999998</v>
      </c>
      <c r="Q757" s="6">
        <v>0.2</v>
      </c>
      <c r="R757" s="8">
        <f t="shared" si="44"/>
        <v>0.2</v>
      </c>
      <c r="S757">
        <v>9926.9599999999991</v>
      </c>
      <c r="T757">
        <v>7994.98</v>
      </c>
      <c r="U757">
        <v>1931.98</v>
      </c>
      <c r="V757" t="s">
        <v>32</v>
      </c>
      <c r="W757" t="s">
        <v>33</v>
      </c>
      <c r="X757" t="str">
        <f t="shared" si="47"/>
        <v/>
      </c>
      <c r="Y757" t="str">
        <f t="shared" si="45"/>
        <v>Exclude</v>
      </c>
    </row>
    <row r="758" spans="1:25">
      <c r="A758" t="s">
        <v>2363</v>
      </c>
      <c r="B758" s="3">
        <v>45592</v>
      </c>
      <c r="C758" s="3">
        <v>45302</v>
      </c>
      <c r="D758" s="6">
        <f t="shared" si="46"/>
        <v>-290</v>
      </c>
      <c r="E758" t="s">
        <v>2364</v>
      </c>
      <c r="F758" t="s">
        <v>141</v>
      </c>
      <c r="G758" s="5" t="s">
        <v>24</v>
      </c>
      <c r="H758" t="s">
        <v>25</v>
      </c>
      <c r="I758" t="s">
        <v>26</v>
      </c>
      <c r="J758" t="s">
        <v>27</v>
      </c>
      <c r="K758" t="s">
        <v>74</v>
      </c>
      <c r="L758" t="s">
        <v>75</v>
      </c>
      <c r="M758" t="s">
        <v>2365</v>
      </c>
      <c r="N758" t="s">
        <v>44</v>
      </c>
      <c r="O758">
        <v>7</v>
      </c>
      <c r="P758">
        <v>2177.1</v>
      </c>
      <c r="Q758" s="6">
        <v>0.2</v>
      </c>
      <c r="R758" s="8">
        <f t="shared" si="44"/>
        <v>0.2</v>
      </c>
      <c r="S758">
        <v>12191.76</v>
      </c>
      <c r="T758">
        <v>10457.49</v>
      </c>
      <c r="U758">
        <v>1734.27</v>
      </c>
      <c r="V758" t="s">
        <v>32</v>
      </c>
      <c r="W758" t="s">
        <v>103</v>
      </c>
      <c r="X758" t="str">
        <f t="shared" si="47"/>
        <v>INVALID: Ship date before order date</v>
      </c>
      <c r="Y758" t="str">
        <f t="shared" si="45"/>
        <v>Exclude</v>
      </c>
    </row>
    <row r="759" spans="1:25">
      <c r="A759" t="s">
        <v>2366</v>
      </c>
      <c r="B759" s="3">
        <v>45870</v>
      </c>
      <c r="C759" s="3">
        <v>45724</v>
      </c>
      <c r="D759" s="6">
        <f t="shared" si="46"/>
        <v>-146</v>
      </c>
      <c r="E759" t="s">
        <v>2367</v>
      </c>
      <c r="F759" t="s">
        <v>89</v>
      </c>
      <c r="G759" s="5" t="s">
        <v>37</v>
      </c>
      <c r="H759" t="s">
        <v>54</v>
      </c>
      <c r="I759" t="s">
        <v>185</v>
      </c>
      <c r="J759" t="s">
        <v>186</v>
      </c>
      <c r="K759" t="s">
        <v>41</v>
      </c>
      <c r="L759" t="s">
        <v>158</v>
      </c>
      <c r="M759" t="s">
        <v>2368</v>
      </c>
      <c r="N759" t="s">
        <v>59</v>
      </c>
      <c r="O759">
        <v>3</v>
      </c>
      <c r="P759">
        <v>1904.78</v>
      </c>
      <c r="Q759" s="6">
        <v>0.25</v>
      </c>
      <c r="R759" s="8">
        <f t="shared" si="44"/>
        <v>0.25</v>
      </c>
      <c r="S759">
        <v>4285.76</v>
      </c>
      <c r="T759">
        <v>2386.33</v>
      </c>
      <c r="U759">
        <v>1899.43</v>
      </c>
      <c r="V759" t="s">
        <v>155</v>
      </c>
      <c r="W759" t="s">
        <v>68</v>
      </c>
      <c r="X759" t="str">
        <f t="shared" si="47"/>
        <v>INVALID: Ship date before order date; EXCLUDE: Cancelled order; EXCLUDE: Failed payment</v>
      </c>
      <c r="Y759" t="str">
        <f t="shared" si="45"/>
        <v>Exclude</v>
      </c>
    </row>
    <row r="760" spans="1:25">
      <c r="A760" t="s">
        <v>2369</v>
      </c>
      <c r="B760" s="3">
        <v>45414</v>
      </c>
      <c r="C760" s="3">
        <v>45570</v>
      </c>
      <c r="D760" s="6">
        <f t="shared" si="46"/>
        <v>156</v>
      </c>
      <c r="E760" t="s">
        <v>2370</v>
      </c>
      <c r="F760" t="s">
        <v>128</v>
      </c>
      <c r="G760" s="5" t="s">
        <v>37</v>
      </c>
      <c r="H760" t="s">
        <v>54</v>
      </c>
      <c r="I760" t="s">
        <v>175</v>
      </c>
      <c r="J760" t="s">
        <v>176</v>
      </c>
      <c r="K760" t="s">
        <v>41</v>
      </c>
      <c r="L760" t="s">
        <v>66</v>
      </c>
      <c r="M760" t="s">
        <v>2371</v>
      </c>
      <c r="N760" t="s">
        <v>59</v>
      </c>
      <c r="O760">
        <v>1</v>
      </c>
      <c r="P760">
        <v>4166.91</v>
      </c>
      <c r="Q760" s="6">
        <v>0</v>
      </c>
      <c r="R760" s="8">
        <f t="shared" si="44"/>
        <v>0</v>
      </c>
      <c r="S760">
        <v>4166.91</v>
      </c>
      <c r="T760">
        <v>3412.63</v>
      </c>
      <c r="U760">
        <v>754.28</v>
      </c>
      <c r="V760" t="s">
        <v>32</v>
      </c>
      <c r="W760" t="s">
        <v>33</v>
      </c>
      <c r="X760" t="str">
        <f t="shared" si="47"/>
        <v/>
      </c>
      <c r="Y760" t="str">
        <f t="shared" si="45"/>
        <v>Exclude</v>
      </c>
    </row>
    <row r="761" spans="1:25">
      <c r="A761" t="s">
        <v>2372</v>
      </c>
      <c r="B761" s="3">
        <v>45492</v>
      </c>
      <c r="C761" s="3">
        <v>45499</v>
      </c>
      <c r="D761" s="6">
        <f t="shared" si="46"/>
        <v>7</v>
      </c>
      <c r="E761" t="s">
        <v>2373</v>
      </c>
      <c r="F761" t="s">
        <v>53</v>
      </c>
      <c r="G761" s="5" t="s">
        <v>95</v>
      </c>
      <c r="H761" t="s">
        <v>54</v>
      </c>
      <c r="I761" t="s">
        <v>175</v>
      </c>
      <c r="J761" t="s">
        <v>176</v>
      </c>
      <c r="K761" t="s">
        <v>41</v>
      </c>
      <c r="L761" t="s">
        <v>42</v>
      </c>
      <c r="M761" t="s">
        <v>2374</v>
      </c>
      <c r="N761" t="s">
        <v>31</v>
      </c>
      <c r="O761">
        <v>5</v>
      </c>
      <c r="P761">
        <v>3986.01</v>
      </c>
      <c r="Q761" s="6">
        <v>0.25</v>
      </c>
      <c r="R761" s="8">
        <f t="shared" si="44"/>
        <v>0.25</v>
      </c>
      <c r="S761">
        <v>14947.54</v>
      </c>
      <c r="T761">
        <v>9438.4599999999991</v>
      </c>
      <c r="U761">
        <v>5509.08</v>
      </c>
      <c r="V761" t="s">
        <v>32</v>
      </c>
      <c r="W761" t="s">
        <v>33</v>
      </c>
      <c r="X761" t="str">
        <f t="shared" si="47"/>
        <v/>
      </c>
      <c r="Y761" t="str">
        <f t="shared" si="45"/>
        <v>Exclude</v>
      </c>
    </row>
    <row r="762" spans="1:25">
      <c r="A762" t="s">
        <v>2375</v>
      </c>
      <c r="B762" s="3">
        <v>45532</v>
      </c>
      <c r="C762" s="3">
        <v>45331</v>
      </c>
      <c r="D762" s="6">
        <f t="shared" si="46"/>
        <v>-201</v>
      </c>
      <c r="E762" t="s">
        <v>2376</v>
      </c>
      <c r="F762" t="s">
        <v>89</v>
      </c>
      <c r="G762" s="5" t="s">
        <v>95</v>
      </c>
      <c r="H762" t="s">
        <v>38</v>
      </c>
      <c r="I762" t="s">
        <v>166</v>
      </c>
      <c r="J762" t="s">
        <v>167</v>
      </c>
      <c r="K762" t="s">
        <v>28</v>
      </c>
      <c r="L762" t="s">
        <v>48</v>
      </c>
      <c r="M762" t="s">
        <v>2377</v>
      </c>
      <c r="N762" t="s">
        <v>31</v>
      </c>
      <c r="O762">
        <v>4</v>
      </c>
      <c r="P762">
        <v>3365.53</v>
      </c>
      <c r="Q762" s="6">
        <v>0</v>
      </c>
      <c r="R762" s="8">
        <f t="shared" si="44"/>
        <v>0</v>
      </c>
      <c r="S762">
        <v>13462.12</v>
      </c>
      <c r="T762">
        <v>7600.63</v>
      </c>
      <c r="U762">
        <v>5861.49</v>
      </c>
      <c r="V762" t="s">
        <v>111</v>
      </c>
      <c r="W762" t="s">
        <v>103</v>
      </c>
      <c r="X762" t="str">
        <f t="shared" si="47"/>
        <v>INVALID: Ship date before order date</v>
      </c>
      <c r="Y762" t="str">
        <f t="shared" si="45"/>
        <v>Exclude</v>
      </c>
    </row>
    <row r="763" spans="1:25">
      <c r="A763" t="s">
        <v>2378</v>
      </c>
      <c r="B763" s="3">
        <v>45896</v>
      </c>
      <c r="C763" s="3">
        <v>45900</v>
      </c>
      <c r="D763" s="6">
        <f t="shared" si="46"/>
        <v>4</v>
      </c>
      <c r="E763" t="s">
        <v>2379</v>
      </c>
      <c r="F763" t="s">
        <v>47</v>
      </c>
      <c r="G763" s="5" t="s">
        <v>24</v>
      </c>
      <c r="H763" t="s">
        <v>54</v>
      </c>
      <c r="I763" t="s">
        <v>175</v>
      </c>
      <c r="J763" t="s">
        <v>176</v>
      </c>
      <c r="K763" t="s">
        <v>74</v>
      </c>
      <c r="L763" t="s">
        <v>275</v>
      </c>
      <c r="M763" t="s">
        <v>2380</v>
      </c>
      <c r="N763" t="s">
        <v>50</v>
      </c>
      <c r="O763">
        <v>3</v>
      </c>
      <c r="P763">
        <v>2489.12</v>
      </c>
      <c r="Q763" s="6">
        <v>0</v>
      </c>
      <c r="R763" s="8">
        <f t="shared" si="44"/>
        <v>0</v>
      </c>
      <c r="S763">
        <v>7467.36</v>
      </c>
      <c r="T763">
        <v>5010.6099999999997</v>
      </c>
      <c r="U763">
        <v>2456.75</v>
      </c>
      <c r="V763" t="s">
        <v>32</v>
      </c>
      <c r="W763" t="s">
        <v>33</v>
      </c>
      <c r="X763" t="str">
        <f t="shared" si="47"/>
        <v/>
      </c>
      <c r="Y763" t="str">
        <f t="shared" si="45"/>
        <v>Exclude</v>
      </c>
    </row>
    <row r="764" spans="1:25">
      <c r="A764" t="s">
        <v>2381</v>
      </c>
      <c r="B764" s="3">
        <v>45292</v>
      </c>
      <c r="C764" s="3">
        <v>45413</v>
      </c>
      <c r="D764" s="6">
        <f t="shared" si="46"/>
        <v>121</v>
      </c>
      <c r="E764" t="s">
        <v>2382</v>
      </c>
      <c r="F764" t="s">
        <v>162</v>
      </c>
      <c r="G764" s="5" t="s">
        <v>90</v>
      </c>
      <c r="H764" t="s">
        <v>63</v>
      </c>
      <c r="I764" t="s">
        <v>72</v>
      </c>
      <c r="J764" t="s">
        <v>73</v>
      </c>
      <c r="K764" t="s">
        <v>74</v>
      </c>
      <c r="L764" t="s">
        <v>275</v>
      </c>
      <c r="M764" t="s">
        <v>2383</v>
      </c>
      <c r="N764" t="s">
        <v>31</v>
      </c>
      <c r="O764">
        <v>2</v>
      </c>
      <c r="P764">
        <v>3694.12</v>
      </c>
      <c r="Q764" s="6">
        <v>0.2</v>
      </c>
      <c r="R764" s="8">
        <f t="shared" si="44"/>
        <v>0.2</v>
      </c>
      <c r="S764">
        <v>5910.59</v>
      </c>
      <c r="T764">
        <v>4775.4399999999996</v>
      </c>
      <c r="U764">
        <v>1135.1500000000001</v>
      </c>
      <c r="V764" t="s">
        <v>102</v>
      </c>
      <c r="W764" t="s">
        <v>103</v>
      </c>
      <c r="X764" t="str">
        <f t="shared" si="47"/>
        <v>REFUND: Summarize separately</v>
      </c>
      <c r="Y764" t="str">
        <f t="shared" si="45"/>
        <v>Exclude</v>
      </c>
    </row>
    <row r="765" spans="1:25">
      <c r="A765" t="s">
        <v>2384</v>
      </c>
      <c r="B765" s="3">
        <v>45892</v>
      </c>
      <c r="C765" s="3">
        <v>45894</v>
      </c>
      <c r="D765" s="6">
        <f t="shared" si="46"/>
        <v>2</v>
      </c>
      <c r="E765" t="s">
        <v>2385</v>
      </c>
      <c r="F765" t="s">
        <v>162</v>
      </c>
      <c r="G765" s="5" t="s">
        <v>24</v>
      </c>
      <c r="H765" t="s">
        <v>25</v>
      </c>
      <c r="I765" t="s">
        <v>26</v>
      </c>
      <c r="J765" t="s">
        <v>27</v>
      </c>
      <c r="K765" t="s">
        <v>41</v>
      </c>
      <c r="L765" t="s">
        <v>57</v>
      </c>
      <c r="M765" t="s">
        <v>2386</v>
      </c>
      <c r="N765" t="s">
        <v>44</v>
      </c>
      <c r="O765">
        <v>6</v>
      </c>
      <c r="P765">
        <v>2742.48</v>
      </c>
      <c r="Q765" s="6">
        <v>0</v>
      </c>
      <c r="R765" s="8">
        <f t="shared" si="44"/>
        <v>0</v>
      </c>
      <c r="S765">
        <v>16454.88</v>
      </c>
      <c r="T765">
        <v>12081.54</v>
      </c>
      <c r="U765">
        <v>4373.34</v>
      </c>
      <c r="V765" t="s">
        <v>32</v>
      </c>
      <c r="W765" t="s">
        <v>33</v>
      </c>
      <c r="X765" t="str">
        <f t="shared" si="47"/>
        <v/>
      </c>
      <c r="Y765" t="str">
        <f t="shared" si="45"/>
        <v>Exclude</v>
      </c>
    </row>
    <row r="766" spans="1:25">
      <c r="A766" t="s">
        <v>2387</v>
      </c>
      <c r="B766" s="3">
        <v>45760</v>
      </c>
      <c r="C766" s="3">
        <v>45760</v>
      </c>
      <c r="D766" s="6">
        <f t="shared" si="46"/>
        <v>0</v>
      </c>
      <c r="E766" t="s">
        <v>892</v>
      </c>
      <c r="F766" t="s">
        <v>114</v>
      </c>
      <c r="G766" s="5" t="s">
        <v>90</v>
      </c>
      <c r="H766" t="s">
        <v>54</v>
      </c>
      <c r="I766" t="s">
        <v>185</v>
      </c>
      <c r="J766" t="s">
        <v>186</v>
      </c>
      <c r="K766" t="s">
        <v>41</v>
      </c>
      <c r="L766" t="s">
        <v>158</v>
      </c>
      <c r="M766" t="s">
        <v>2388</v>
      </c>
      <c r="N766" t="s">
        <v>50</v>
      </c>
      <c r="O766">
        <v>6</v>
      </c>
      <c r="P766">
        <v>4414</v>
      </c>
      <c r="Q766" s="6">
        <v>0.05</v>
      </c>
      <c r="R766" s="8">
        <f t="shared" si="44"/>
        <v>0.05</v>
      </c>
      <c r="S766">
        <v>25159.8</v>
      </c>
      <c r="T766">
        <v>21606.83</v>
      </c>
      <c r="U766">
        <v>3552.97</v>
      </c>
      <c r="V766" t="s">
        <v>32</v>
      </c>
      <c r="W766" t="s">
        <v>33</v>
      </c>
      <c r="X766" t="str">
        <f t="shared" si="47"/>
        <v/>
      </c>
      <c r="Y766" t="str">
        <f t="shared" si="45"/>
        <v>Exclude</v>
      </c>
    </row>
    <row r="767" spans="1:25">
      <c r="A767" t="s">
        <v>2389</v>
      </c>
      <c r="B767" s="3">
        <v>45837</v>
      </c>
      <c r="C767" s="3">
        <v>45723</v>
      </c>
      <c r="D767" s="6">
        <f t="shared" si="46"/>
        <v>-114</v>
      </c>
      <c r="E767" t="s">
        <v>2390</v>
      </c>
      <c r="F767" t="s">
        <v>71</v>
      </c>
      <c r="G767" s="5" t="s">
        <v>90</v>
      </c>
      <c r="H767" t="s">
        <v>38</v>
      </c>
      <c r="I767" t="s">
        <v>229</v>
      </c>
      <c r="J767" t="s">
        <v>230</v>
      </c>
      <c r="K767" t="s">
        <v>28</v>
      </c>
      <c r="L767" t="s">
        <v>91</v>
      </c>
      <c r="M767" t="s">
        <v>2391</v>
      </c>
      <c r="N767" t="s">
        <v>50</v>
      </c>
      <c r="O767">
        <v>3</v>
      </c>
      <c r="P767">
        <v>608.14</v>
      </c>
      <c r="Q767" s="6">
        <v>0</v>
      </c>
      <c r="R767" s="8">
        <f t="shared" si="44"/>
        <v>0</v>
      </c>
      <c r="S767">
        <v>1824.42</v>
      </c>
      <c r="T767">
        <v>1214.8699999999999</v>
      </c>
      <c r="U767">
        <v>609.54999999999995</v>
      </c>
      <c r="V767" t="s">
        <v>32</v>
      </c>
      <c r="W767" t="s">
        <v>33</v>
      </c>
      <c r="X767" t="str">
        <f t="shared" si="47"/>
        <v>INVALID: Ship date before order date</v>
      </c>
      <c r="Y767" t="str">
        <f t="shared" si="45"/>
        <v>Exclude</v>
      </c>
    </row>
    <row r="768" spans="1:25">
      <c r="A768" t="s">
        <v>2392</v>
      </c>
      <c r="B768" s="3">
        <v>45552</v>
      </c>
      <c r="C768" s="3">
        <v>45559</v>
      </c>
      <c r="D768" s="6">
        <f t="shared" si="46"/>
        <v>7</v>
      </c>
      <c r="E768" t="s">
        <v>2393</v>
      </c>
      <c r="F768" t="s">
        <v>36</v>
      </c>
      <c r="G768" s="5" t="s">
        <v>90</v>
      </c>
      <c r="H768" t="s">
        <v>63</v>
      </c>
      <c r="I768" t="s">
        <v>180</v>
      </c>
      <c r="J768" t="s">
        <v>181</v>
      </c>
      <c r="K768" t="s">
        <v>28</v>
      </c>
      <c r="L768" t="s">
        <v>48</v>
      </c>
      <c r="M768" t="s">
        <v>2394</v>
      </c>
      <c r="N768" t="s">
        <v>31</v>
      </c>
      <c r="O768">
        <v>9</v>
      </c>
      <c r="P768">
        <v>2307.96</v>
      </c>
      <c r="Q768" s="6">
        <v>0.2</v>
      </c>
      <c r="R768" s="8">
        <f t="shared" si="44"/>
        <v>0.2</v>
      </c>
      <c r="S768">
        <v>16617.310000000001</v>
      </c>
      <c r="T768">
        <v>9195.73</v>
      </c>
      <c r="U768">
        <v>7421.58</v>
      </c>
      <c r="V768" t="s">
        <v>32</v>
      </c>
      <c r="W768" t="s">
        <v>68</v>
      </c>
      <c r="X768" t="str">
        <f t="shared" si="47"/>
        <v>EXCLUDE: Cancelled order</v>
      </c>
      <c r="Y768" t="str">
        <f t="shared" si="45"/>
        <v>Exclude</v>
      </c>
    </row>
    <row r="769" spans="1:25">
      <c r="A769" t="s">
        <v>2395</v>
      </c>
      <c r="B769" s="3">
        <v>45415</v>
      </c>
      <c r="C769" s="3">
        <v>45448</v>
      </c>
      <c r="D769" s="6">
        <f t="shared" si="46"/>
        <v>33</v>
      </c>
      <c r="E769" t="s">
        <v>2396</v>
      </c>
      <c r="F769" t="s">
        <v>62</v>
      </c>
      <c r="G769" s="5" t="s">
        <v>95</v>
      </c>
      <c r="H769" t="s">
        <v>25</v>
      </c>
      <c r="I769" t="s">
        <v>136</v>
      </c>
      <c r="J769" t="s">
        <v>137</v>
      </c>
      <c r="K769" t="s">
        <v>611</v>
      </c>
      <c r="L769" t="s">
        <v>153</v>
      </c>
      <c r="M769" t="s">
        <v>2397</v>
      </c>
      <c r="N769" t="s">
        <v>59</v>
      </c>
      <c r="O769">
        <v>1</v>
      </c>
      <c r="P769">
        <v>1244.58</v>
      </c>
      <c r="Q769" s="6">
        <v>0.25</v>
      </c>
      <c r="R769" s="8">
        <f t="shared" si="44"/>
        <v>0.25</v>
      </c>
      <c r="S769">
        <v>933.43</v>
      </c>
      <c r="T769">
        <v>583.09</v>
      </c>
      <c r="U769">
        <v>350.34</v>
      </c>
      <c r="V769" t="s">
        <v>32</v>
      </c>
      <c r="W769" t="s">
        <v>33</v>
      </c>
      <c r="X769" t="str">
        <f t="shared" si="47"/>
        <v/>
      </c>
      <c r="Y769" t="str">
        <f t="shared" si="45"/>
        <v>Exclude</v>
      </c>
    </row>
    <row r="770" spans="1:25">
      <c r="A770" t="s">
        <v>2398</v>
      </c>
      <c r="B770" s="3">
        <v>45749</v>
      </c>
      <c r="C770" s="3">
        <v>45751</v>
      </c>
      <c r="D770" s="6">
        <f t="shared" si="46"/>
        <v>2</v>
      </c>
      <c r="E770" t="s">
        <v>2399</v>
      </c>
      <c r="F770" t="s">
        <v>132</v>
      </c>
      <c r="G770" s="5" t="s">
        <v>95</v>
      </c>
      <c r="H770" t="s">
        <v>38</v>
      </c>
      <c r="I770" t="s">
        <v>229</v>
      </c>
      <c r="J770" t="s">
        <v>230</v>
      </c>
      <c r="K770" t="s">
        <v>28</v>
      </c>
      <c r="L770" t="s">
        <v>29</v>
      </c>
      <c r="M770" t="s">
        <v>2400</v>
      </c>
      <c r="N770" t="s">
        <v>44</v>
      </c>
      <c r="O770">
        <v>5</v>
      </c>
      <c r="P770">
        <v>3234.24</v>
      </c>
      <c r="Q770" s="6">
        <v>0.1</v>
      </c>
      <c r="R770" s="8">
        <f t="shared" ref="R770:R833" si="48">IF(ISBLANK(Q770),IF(AND(ISNUMBER(O770),O770&gt;0,ISNUMBER(P770),ISNUMBER(S770),ISNUMBER(T770),ISNUMBER(U770)),0,""),Q770)</f>
        <v>0.1</v>
      </c>
      <c r="S770">
        <v>14554.08</v>
      </c>
      <c r="T770">
        <v>11166.84</v>
      </c>
      <c r="U770">
        <v>3387.24</v>
      </c>
      <c r="V770" t="s">
        <v>32</v>
      </c>
      <c r="W770" t="s">
        <v>33</v>
      </c>
      <c r="X770" t="str">
        <f t="shared" si="47"/>
        <v/>
      </c>
      <c r="Y770" t="str">
        <f t="shared" ref="Y770:Y833" si="49">IF(AND(U770="Completed",T770="Paid",ISERROR(SEARCH("INVALID",W770))),"Include","Exclude")</f>
        <v>Exclude</v>
      </c>
    </row>
    <row r="771" spans="1:25">
      <c r="A771" t="s">
        <v>2401</v>
      </c>
      <c r="B771" s="3">
        <v>45601</v>
      </c>
      <c r="C771" s="3">
        <v>45425</v>
      </c>
      <c r="D771" s="6">
        <f t="shared" ref="D771:D834" si="50">IF(OR(B771="",C771=""),"",C771-B771)</f>
        <v>-176</v>
      </c>
      <c r="E771" t="s">
        <v>2402</v>
      </c>
      <c r="F771" t="s">
        <v>114</v>
      </c>
      <c r="G771" s="5" t="s">
        <v>95</v>
      </c>
      <c r="H771" t="s">
        <v>63</v>
      </c>
      <c r="I771" t="s">
        <v>190</v>
      </c>
      <c r="J771" t="s">
        <v>191</v>
      </c>
      <c r="K771" t="s">
        <v>41</v>
      </c>
      <c r="L771" t="s">
        <v>158</v>
      </c>
      <c r="M771" t="s">
        <v>2403</v>
      </c>
      <c r="N771" t="s">
        <v>44</v>
      </c>
      <c r="O771">
        <v>3</v>
      </c>
      <c r="P771">
        <v>3612.75</v>
      </c>
      <c r="Q771" s="6">
        <v>0.25</v>
      </c>
      <c r="R771" s="8">
        <f t="shared" si="48"/>
        <v>0.25</v>
      </c>
      <c r="S771">
        <v>8128.69</v>
      </c>
      <c r="T771">
        <v>5071.66</v>
      </c>
      <c r="U771">
        <v>3057.03</v>
      </c>
      <c r="V771" t="s">
        <v>32</v>
      </c>
      <c r="W771" t="s">
        <v>33</v>
      </c>
      <c r="X771" t="str">
        <f t="shared" ref="X771:X834" si="51">_xlfn.TEXTJOIN("; ",TRUE,IF(R771&lt;0,"INVALID: Negative discount",""),IF(R771&gt;50%,"INVALID: Discount above range",""),IF(D771&lt;0,"INVALID: Ship date before order date",""),IF(W771="Cancelled","EXCLUDE: Cancelled order",""),IF(V771="Failed","EXCLUDE: Failed payment",""),IF(V771="Refunded","REFUND: Summarize separately",""))</f>
        <v>INVALID: Ship date before order date</v>
      </c>
      <c r="Y771" t="str">
        <f t="shared" si="49"/>
        <v>Exclude</v>
      </c>
    </row>
    <row r="772" spans="1:25">
      <c r="A772" t="s">
        <v>2404</v>
      </c>
      <c r="B772" s="3">
        <v>45337</v>
      </c>
      <c r="C772" s="3">
        <v>45339</v>
      </c>
      <c r="D772" s="6">
        <f t="shared" si="50"/>
        <v>2</v>
      </c>
      <c r="E772" t="s">
        <v>2405</v>
      </c>
      <c r="F772" t="s">
        <v>79</v>
      </c>
      <c r="G772" s="5" t="s">
        <v>24</v>
      </c>
      <c r="H772" t="s">
        <v>25</v>
      </c>
      <c r="I772" t="s">
        <v>136</v>
      </c>
      <c r="J772" t="s">
        <v>137</v>
      </c>
      <c r="K772" t="s">
        <v>74</v>
      </c>
      <c r="L772" t="s">
        <v>80</v>
      </c>
      <c r="M772" t="s">
        <v>2406</v>
      </c>
      <c r="N772" t="s">
        <v>50</v>
      </c>
      <c r="O772">
        <v>4</v>
      </c>
      <c r="P772">
        <v>863</v>
      </c>
      <c r="Q772" s="6">
        <v>0</v>
      </c>
      <c r="R772" s="8">
        <f t="shared" si="48"/>
        <v>0</v>
      </c>
      <c r="S772">
        <v>3106.8</v>
      </c>
      <c r="T772">
        <v>2376.62</v>
      </c>
      <c r="U772">
        <v>730.18</v>
      </c>
      <c r="V772" t="s">
        <v>32</v>
      </c>
      <c r="W772" t="s">
        <v>33</v>
      </c>
      <c r="X772" t="str">
        <f t="shared" si="51"/>
        <v/>
      </c>
      <c r="Y772" t="str">
        <f t="shared" si="49"/>
        <v>Exclude</v>
      </c>
    </row>
    <row r="773" spans="1:25">
      <c r="A773" t="s">
        <v>2407</v>
      </c>
      <c r="B773" s="3">
        <v>45485</v>
      </c>
      <c r="C773" s="3">
        <v>45487</v>
      </c>
      <c r="D773" s="6">
        <f t="shared" si="50"/>
        <v>2</v>
      </c>
      <c r="E773" t="s">
        <v>469</v>
      </c>
      <c r="F773" t="s">
        <v>62</v>
      </c>
      <c r="G773" s="5" t="s">
        <v>24</v>
      </c>
      <c r="H773" t="s">
        <v>25</v>
      </c>
      <c r="I773" t="s">
        <v>237</v>
      </c>
      <c r="J773" t="s">
        <v>238</v>
      </c>
      <c r="K773" t="s">
        <v>74</v>
      </c>
      <c r="L773" t="s">
        <v>275</v>
      </c>
      <c r="M773" t="s">
        <v>2408</v>
      </c>
      <c r="N773" t="s">
        <v>31</v>
      </c>
      <c r="O773">
        <v>4</v>
      </c>
      <c r="P773">
        <v>2131.41</v>
      </c>
      <c r="Q773" s="6">
        <v>0</v>
      </c>
      <c r="R773" s="8">
        <f t="shared" si="48"/>
        <v>0</v>
      </c>
      <c r="S773">
        <v>6394.23</v>
      </c>
      <c r="T773">
        <v>3520.69</v>
      </c>
      <c r="U773">
        <v>2873.54</v>
      </c>
      <c r="V773" t="s">
        <v>32</v>
      </c>
      <c r="W773" t="s">
        <v>33</v>
      </c>
      <c r="X773" t="str">
        <f t="shared" si="51"/>
        <v/>
      </c>
      <c r="Y773" t="str">
        <f t="shared" si="49"/>
        <v>Exclude</v>
      </c>
    </row>
    <row r="774" spans="1:25">
      <c r="A774" t="s">
        <v>2409</v>
      </c>
      <c r="B774" s="3">
        <v>45853</v>
      </c>
      <c r="C774" s="3">
        <v>45857</v>
      </c>
      <c r="D774" s="6">
        <f t="shared" si="50"/>
        <v>4</v>
      </c>
      <c r="E774" t="s">
        <v>2410</v>
      </c>
      <c r="F774" t="s">
        <v>162</v>
      </c>
      <c r="G774" s="5" t="s">
        <v>24</v>
      </c>
      <c r="H774" t="s">
        <v>54</v>
      </c>
      <c r="I774" t="s">
        <v>248</v>
      </c>
      <c r="J774" t="s">
        <v>249</v>
      </c>
      <c r="K774" t="s">
        <v>41</v>
      </c>
      <c r="L774" t="s">
        <v>66</v>
      </c>
      <c r="M774" t="s">
        <v>2411</v>
      </c>
      <c r="N774" t="s">
        <v>44</v>
      </c>
      <c r="O774">
        <v>1</v>
      </c>
      <c r="P774">
        <v>3903.22</v>
      </c>
      <c r="Q774" s="6">
        <v>0.05</v>
      </c>
      <c r="R774" s="8">
        <f t="shared" si="48"/>
        <v>0.05</v>
      </c>
      <c r="S774">
        <v>3708.06</v>
      </c>
      <c r="T774">
        <v>2760.29</v>
      </c>
      <c r="U774">
        <v>947.77</v>
      </c>
      <c r="V774" t="s">
        <v>111</v>
      </c>
      <c r="W774" t="s">
        <v>68</v>
      </c>
      <c r="X774" t="str">
        <f t="shared" si="51"/>
        <v>EXCLUDE: Cancelled order</v>
      </c>
      <c r="Y774" t="str">
        <f t="shared" si="49"/>
        <v>Exclude</v>
      </c>
    </row>
    <row r="775" spans="1:25">
      <c r="A775" t="s">
        <v>2412</v>
      </c>
      <c r="B775" s="3">
        <v>45709</v>
      </c>
      <c r="C775" s="3">
        <v>45709</v>
      </c>
      <c r="D775" s="6">
        <f t="shared" si="50"/>
        <v>0</v>
      </c>
      <c r="E775" t="s">
        <v>2413</v>
      </c>
      <c r="F775" t="s">
        <v>23</v>
      </c>
      <c r="G775" s="5" t="s">
        <v>95</v>
      </c>
      <c r="H775" t="s">
        <v>63</v>
      </c>
      <c r="I775" t="s">
        <v>180</v>
      </c>
      <c r="J775" t="s">
        <v>181</v>
      </c>
      <c r="K775" t="s">
        <v>74</v>
      </c>
      <c r="L775" t="s">
        <v>171</v>
      </c>
      <c r="M775" t="s">
        <v>2414</v>
      </c>
      <c r="N775" t="s">
        <v>2806</v>
      </c>
      <c r="O775">
        <v>4</v>
      </c>
      <c r="P775">
        <v>2945.07</v>
      </c>
      <c r="Q775" s="6">
        <v>0.2</v>
      </c>
      <c r="R775" s="8">
        <f t="shared" si="48"/>
        <v>0.2</v>
      </c>
      <c r="S775">
        <v>9424.2199999999993</v>
      </c>
      <c r="T775">
        <v>6178.92</v>
      </c>
      <c r="U775">
        <v>3245.3</v>
      </c>
      <c r="V775" t="s">
        <v>32</v>
      </c>
      <c r="W775" t="s">
        <v>33</v>
      </c>
      <c r="X775" t="str">
        <f t="shared" si="51"/>
        <v/>
      </c>
      <c r="Y775" t="str">
        <f t="shared" si="49"/>
        <v>Exclude</v>
      </c>
    </row>
    <row r="776" spans="1:25">
      <c r="A776" t="s">
        <v>2415</v>
      </c>
      <c r="B776" s="3">
        <v>45876</v>
      </c>
      <c r="C776" s="3">
        <v>45846</v>
      </c>
      <c r="D776" s="6">
        <f t="shared" si="50"/>
        <v>-30</v>
      </c>
      <c r="E776" t="s">
        <v>2416</v>
      </c>
      <c r="F776" t="s">
        <v>265</v>
      </c>
      <c r="G776" s="5" t="s">
        <v>24</v>
      </c>
      <c r="H776" t="s">
        <v>63</v>
      </c>
      <c r="I776" t="s">
        <v>26</v>
      </c>
      <c r="J776" t="s">
        <v>109</v>
      </c>
      <c r="K776" t="s">
        <v>74</v>
      </c>
      <c r="L776" t="s">
        <v>275</v>
      </c>
      <c r="M776" t="s">
        <v>2417</v>
      </c>
      <c r="N776" t="s">
        <v>2806</v>
      </c>
      <c r="O776">
        <v>9</v>
      </c>
      <c r="P776">
        <v>1076.75</v>
      </c>
      <c r="Q776" s="6">
        <v>0.2</v>
      </c>
      <c r="R776" s="8">
        <f t="shared" si="48"/>
        <v>0.2</v>
      </c>
      <c r="S776">
        <v>7752.6</v>
      </c>
      <c r="T776">
        <v>4689.3</v>
      </c>
      <c r="U776">
        <v>3063.3</v>
      </c>
      <c r="V776" t="s">
        <v>32</v>
      </c>
      <c r="W776" t="s">
        <v>33</v>
      </c>
      <c r="X776" t="str">
        <f t="shared" si="51"/>
        <v>INVALID: Ship date before order date</v>
      </c>
      <c r="Y776" t="str">
        <f t="shared" si="49"/>
        <v>Exclude</v>
      </c>
    </row>
    <row r="777" spans="1:25">
      <c r="A777" t="s">
        <v>2418</v>
      </c>
      <c r="B777" s="3">
        <v>45396</v>
      </c>
      <c r="C777" s="3">
        <v>45404</v>
      </c>
      <c r="D777" s="6">
        <f t="shared" si="50"/>
        <v>8</v>
      </c>
      <c r="E777" t="s">
        <v>2419</v>
      </c>
      <c r="F777" t="s">
        <v>53</v>
      </c>
      <c r="G777" s="5" t="s">
        <v>24</v>
      </c>
      <c r="H777" t="s">
        <v>25</v>
      </c>
      <c r="I777" t="s">
        <v>237</v>
      </c>
      <c r="J777" t="s">
        <v>238</v>
      </c>
      <c r="K777" t="s">
        <v>74</v>
      </c>
      <c r="L777" t="s">
        <v>75</v>
      </c>
      <c r="M777" t="s">
        <v>2420</v>
      </c>
      <c r="N777" t="s">
        <v>59</v>
      </c>
      <c r="O777">
        <v>8</v>
      </c>
      <c r="P777">
        <v>3956.12</v>
      </c>
      <c r="Q777" s="6">
        <v>0.25</v>
      </c>
      <c r="R777" s="8">
        <f t="shared" si="48"/>
        <v>0.25</v>
      </c>
      <c r="S777">
        <v>23736.720000000001</v>
      </c>
      <c r="T777">
        <v>13890.9</v>
      </c>
      <c r="U777">
        <v>9845.82</v>
      </c>
      <c r="V777" t="s">
        <v>32</v>
      </c>
      <c r="W777" t="s">
        <v>33</v>
      </c>
      <c r="X777" t="str">
        <f t="shared" si="51"/>
        <v/>
      </c>
      <c r="Y777" t="str">
        <f t="shared" si="49"/>
        <v>Exclude</v>
      </c>
    </row>
    <row r="778" spans="1:25">
      <c r="A778" t="s">
        <v>2421</v>
      </c>
      <c r="B778" s="3">
        <v>45816</v>
      </c>
      <c r="C778" s="3">
        <v>45821</v>
      </c>
      <c r="D778" s="6">
        <f t="shared" si="50"/>
        <v>5</v>
      </c>
      <c r="E778" t="s">
        <v>2422</v>
      </c>
      <c r="F778" t="s">
        <v>89</v>
      </c>
      <c r="G778" s="5" t="s">
        <v>37</v>
      </c>
      <c r="H778" t="s">
        <v>25</v>
      </c>
      <c r="I778" t="s">
        <v>26</v>
      </c>
      <c r="J778" t="s">
        <v>27</v>
      </c>
      <c r="K778" t="s">
        <v>74</v>
      </c>
      <c r="L778" t="s">
        <v>80</v>
      </c>
      <c r="M778" t="s">
        <v>2423</v>
      </c>
      <c r="N778" t="s">
        <v>31</v>
      </c>
      <c r="O778">
        <v>7</v>
      </c>
      <c r="P778">
        <v>3857.13</v>
      </c>
      <c r="Q778" s="6">
        <v>0</v>
      </c>
      <c r="R778" s="8">
        <f t="shared" si="48"/>
        <v>0</v>
      </c>
      <c r="S778">
        <v>26999.91</v>
      </c>
      <c r="T778">
        <v>17815.98</v>
      </c>
      <c r="U778">
        <v>9183.93</v>
      </c>
      <c r="V778" t="s">
        <v>32</v>
      </c>
      <c r="W778" t="s">
        <v>33</v>
      </c>
      <c r="X778" t="str">
        <f t="shared" si="51"/>
        <v/>
      </c>
      <c r="Y778" t="str">
        <f t="shared" si="49"/>
        <v>Exclude</v>
      </c>
    </row>
    <row r="779" spans="1:25">
      <c r="A779" t="s">
        <v>2424</v>
      </c>
      <c r="B779" s="3">
        <v>45326</v>
      </c>
      <c r="C779" s="3">
        <v>45445</v>
      </c>
      <c r="D779" s="6">
        <f t="shared" si="50"/>
        <v>119</v>
      </c>
      <c r="E779" t="s">
        <v>2425</v>
      </c>
      <c r="F779" t="s">
        <v>265</v>
      </c>
      <c r="G779" s="5" t="s">
        <v>37</v>
      </c>
      <c r="H779" t="s">
        <v>63</v>
      </c>
      <c r="I779" t="s">
        <v>72</v>
      </c>
      <c r="J779" t="s">
        <v>73</v>
      </c>
      <c r="K779" t="s">
        <v>74</v>
      </c>
      <c r="L779" t="s">
        <v>75</v>
      </c>
      <c r="M779" t="s">
        <v>2426</v>
      </c>
      <c r="N779" t="s">
        <v>31</v>
      </c>
      <c r="O779">
        <v>4</v>
      </c>
      <c r="P779">
        <v>1489.74</v>
      </c>
      <c r="Q779" s="6">
        <v>0.15</v>
      </c>
      <c r="R779" s="8">
        <f t="shared" si="48"/>
        <v>0.15</v>
      </c>
      <c r="S779">
        <v>5065.12</v>
      </c>
      <c r="T779">
        <v>3530.12</v>
      </c>
      <c r="U779">
        <v>1535</v>
      </c>
      <c r="V779" t="s">
        <v>155</v>
      </c>
      <c r="W779" t="s">
        <v>68</v>
      </c>
      <c r="X779" t="str">
        <f t="shared" si="51"/>
        <v>EXCLUDE: Cancelled order; EXCLUDE: Failed payment</v>
      </c>
      <c r="Y779" t="str">
        <f t="shared" si="49"/>
        <v>Exclude</v>
      </c>
    </row>
    <row r="780" spans="1:25">
      <c r="A780" t="s">
        <v>2427</v>
      </c>
      <c r="B780" s="3">
        <v>45497</v>
      </c>
      <c r="C780" s="3">
        <v>45497</v>
      </c>
      <c r="D780" s="6">
        <f t="shared" si="50"/>
        <v>0</v>
      </c>
      <c r="E780" t="s">
        <v>2428</v>
      </c>
      <c r="F780" t="s">
        <v>23</v>
      </c>
      <c r="G780" s="5" t="s">
        <v>37</v>
      </c>
      <c r="H780" t="s">
        <v>25</v>
      </c>
      <c r="I780" t="s">
        <v>237</v>
      </c>
      <c r="J780" t="s">
        <v>238</v>
      </c>
      <c r="K780" t="s">
        <v>74</v>
      </c>
      <c r="L780" t="s">
        <v>80</v>
      </c>
      <c r="M780" t="s">
        <v>2429</v>
      </c>
      <c r="N780" t="s">
        <v>31</v>
      </c>
      <c r="O780">
        <v>4</v>
      </c>
      <c r="P780">
        <v>1676.88</v>
      </c>
      <c r="Q780" s="6">
        <v>0</v>
      </c>
      <c r="R780" s="8">
        <f t="shared" si="48"/>
        <v>0</v>
      </c>
      <c r="S780">
        <v>6707.52</v>
      </c>
      <c r="T780">
        <v>5672.57</v>
      </c>
      <c r="U780">
        <v>1034.95</v>
      </c>
      <c r="V780" t="s">
        <v>32</v>
      </c>
      <c r="W780" t="s">
        <v>33</v>
      </c>
      <c r="X780" t="str">
        <f t="shared" si="51"/>
        <v/>
      </c>
      <c r="Y780" t="str">
        <f t="shared" si="49"/>
        <v>Exclude</v>
      </c>
    </row>
    <row r="781" spans="1:25">
      <c r="A781" t="s">
        <v>2430</v>
      </c>
      <c r="B781" s="3">
        <v>45306</v>
      </c>
      <c r="C781" s="3">
        <v>45311</v>
      </c>
      <c r="D781" s="6">
        <f t="shared" si="50"/>
        <v>5</v>
      </c>
      <c r="E781" t="s">
        <v>2431</v>
      </c>
      <c r="F781" t="s">
        <v>114</v>
      </c>
      <c r="G781" s="5" t="s">
        <v>37</v>
      </c>
      <c r="H781" t="s">
        <v>54</v>
      </c>
      <c r="I781" t="s">
        <v>84</v>
      </c>
      <c r="J781" t="s">
        <v>85</v>
      </c>
      <c r="K781" t="s">
        <v>41</v>
      </c>
      <c r="L781" t="s">
        <v>66</v>
      </c>
      <c r="M781" t="s">
        <v>2432</v>
      </c>
      <c r="N781" t="s">
        <v>59</v>
      </c>
      <c r="O781">
        <v>4</v>
      </c>
      <c r="P781">
        <v>3153.54</v>
      </c>
      <c r="Q781" s="6">
        <v>0.05</v>
      </c>
      <c r="R781" s="8">
        <f t="shared" si="48"/>
        <v>0.05</v>
      </c>
      <c r="S781">
        <v>11983.45</v>
      </c>
      <c r="T781">
        <v>8572.9</v>
      </c>
      <c r="U781">
        <v>3410.55</v>
      </c>
      <c r="V781" t="s">
        <v>32</v>
      </c>
      <c r="W781" t="s">
        <v>33</v>
      </c>
      <c r="X781" t="str">
        <f t="shared" si="51"/>
        <v/>
      </c>
      <c r="Y781" t="str">
        <f t="shared" si="49"/>
        <v>Exclude</v>
      </c>
    </row>
    <row r="782" spans="1:25">
      <c r="A782" t="s">
        <v>2433</v>
      </c>
      <c r="B782" s="3">
        <v>45508</v>
      </c>
      <c r="C782" s="3">
        <v>45573</v>
      </c>
      <c r="D782" s="6">
        <f t="shared" si="50"/>
        <v>65</v>
      </c>
      <c r="E782" t="s">
        <v>2434</v>
      </c>
      <c r="F782" t="s">
        <v>162</v>
      </c>
      <c r="G782" s="5" t="s">
        <v>37</v>
      </c>
      <c r="H782" t="s">
        <v>63</v>
      </c>
      <c r="I782" t="s">
        <v>26</v>
      </c>
      <c r="J782" t="s">
        <v>109</v>
      </c>
      <c r="K782" t="s">
        <v>41</v>
      </c>
      <c r="L782" t="s">
        <v>66</v>
      </c>
      <c r="M782" t="s">
        <v>2435</v>
      </c>
      <c r="N782" t="s">
        <v>44</v>
      </c>
      <c r="O782">
        <v>4</v>
      </c>
      <c r="P782">
        <v>426.43</v>
      </c>
      <c r="Q782" s="6">
        <v>0.2</v>
      </c>
      <c r="R782" s="8">
        <f t="shared" si="48"/>
        <v>0.2</v>
      </c>
      <c r="S782">
        <v>1364.58</v>
      </c>
      <c r="T782">
        <v>978.16</v>
      </c>
      <c r="U782">
        <v>386.42</v>
      </c>
      <c r="V782" t="s">
        <v>32</v>
      </c>
      <c r="W782" t="s">
        <v>33</v>
      </c>
      <c r="X782" t="str">
        <f t="shared" si="51"/>
        <v/>
      </c>
      <c r="Y782" t="str">
        <f t="shared" si="49"/>
        <v>Exclude</v>
      </c>
    </row>
    <row r="783" spans="1:25">
      <c r="A783" t="s">
        <v>2436</v>
      </c>
      <c r="B783" s="3">
        <v>45324</v>
      </c>
      <c r="C783" s="3">
        <v>45567</v>
      </c>
      <c r="D783" s="6">
        <f t="shared" si="50"/>
        <v>243</v>
      </c>
      <c r="E783" t="s">
        <v>2437</v>
      </c>
      <c r="F783" t="s">
        <v>23</v>
      </c>
      <c r="G783" s="5" t="s">
        <v>95</v>
      </c>
      <c r="H783" t="s">
        <v>63</v>
      </c>
      <c r="I783" t="s">
        <v>26</v>
      </c>
      <c r="J783" t="s">
        <v>109</v>
      </c>
      <c r="K783" t="s">
        <v>28</v>
      </c>
      <c r="L783" t="s">
        <v>91</v>
      </c>
      <c r="M783" t="s">
        <v>2438</v>
      </c>
      <c r="N783" t="s">
        <v>50</v>
      </c>
      <c r="O783">
        <v>3</v>
      </c>
      <c r="P783">
        <v>383.4</v>
      </c>
      <c r="Q783" s="6">
        <v>0.25</v>
      </c>
      <c r="R783" s="8">
        <f t="shared" si="48"/>
        <v>0.25</v>
      </c>
      <c r="S783">
        <v>862.65</v>
      </c>
      <c r="T783">
        <v>603.73</v>
      </c>
      <c r="U783">
        <v>258.92</v>
      </c>
      <c r="V783" t="s">
        <v>111</v>
      </c>
      <c r="W783" t="s">
        <v>103</v>
      </c>
      <c r="X783" t="str">
        <f t="shared" si="51"/>
        <v/>
      </c>
      <c r="Y783" t="str">
        <f t="shared" si="49"/>
        <v>Exclude</v>
      </c>
    </row>
    <row r="784" spans="1:25">
      <c r="A784" t="s">
        <v>2439</v>
      </c>
      <c r="B784" s="3">
        <v>45730</v>
      </c>
      <c r="C784" s="3">
        <v>45738</v>
      </c>
      <c r="D784" s="6">
        <f t="shared" si="50"/>
        <v>8</v>
      </c>
      <c r="E784" t="s">
        <v>2440</v>
      </c>
      <c r="F784" t="s">
        <v>36</v>
      </c>
      <c r="G784" s="5" t="s">
        <v>90</v>
      </c>
      <c r="H784" t="s">
        <v>38</v>
      </c>
      <c r="I784" t="s">
        <v>99</v>
      </c>
      <c r="J784" t="s">
        <v>100</v>
      </c>
      <c r="K784" t="s">
        <v>74</v>
      </c>
      <c r="L784" t="s">
        <v>80</v>
      </c>
      <c r="M784" t="s">
        <v>2441</v>
      </c>
      <c r="N784" t="s">
        <v>59</v>
      </c>
      <c r="O784">
        <v>2</v>
      </c>
      <c r="P784">
        <v>669.63</v>
      </c>
      <c r="Q784" s="6">
        <v>0.15</v>
      </c>
      <c r="R784" s="8">
        <f t="shared" si="48"/>
        <v>0.15</v>
      </c>
      <c r="S784">
        <v>1138.3699999999999</v>
      </c>
      <c r="T784">
        <v>797.34</v>
      </c>
      <c r="U784">
        <v>341.03</v>
      </c>
      <c r="V784" t="s">
        <v>32</v>
      </c>
      <c r="W784" t="s">
        <v>33</v>
      </c>
      <c r="X784" t="str">
        <f t="shared" si="51"/>
        <v/>
      </c>
      <c r="Y784" t="str">
        <f t="shared" si="49"/>
        <v>Exclude</v>
      </c>
    </row>
    <row r="785" spans="1:25">
      <c r="A785" t="s">
        <v>2442</v>
      </c>
      <c r="B785" s="3">
        <v>45450</v>
      </c>
      <c r="C785" s="3">
        <v>45479</v>
      </c>
      <c r="D785" s="6">
        <f t="shared" si="50"/>
        <v>29</v>
      </c>
      <c r="E785" t="s">
        <v>2443</v>
      </c>
      <c r="F785" t="s">
        <v>128</v>
      </c>
      <c r="G785" s="5" t="s">
        <v>37</v>
      </c>
      <c r="H785" t="s">
        <v>38</v>
      </c>
      <c r="I785" t="s">
        <v>145</v>
      </c>
      <c r="J785" t="s">
        <v>146</v>
      </c>
      <c r="K785" t="s">
        <v>28</v>
      </c>
      <c r="L785" t="s">
        <v>48</v>
      </c>
      <c r="M785" t="s">
        <v>2444</v>
      </c>
      <c r="N785" t="s">
        <v>31</v>
      </c>
      <c r="O785">
        <v>1</v>
      </c>
      <c r="P785">
        <v>2581.9299999999998</v>
      </c>
      <c r="Q785" s="6">
        <v>0.05</v>
      </c>
      <c r="R785" s="8">
        <f t="shared" si="48"/>
        <v>0.05</v>
      </c>
      <c r="S785">
        <v>2452.83</v>
      </c>
      <c r="T785">
        <v>1906.7</v>
      </c>
      <c r="U785">
        <v>546.13</v>
      </c>
      <c r="V785" t="s">
        <v>32</v>
      </c>
      <c r="W785" t="s">
        <v>33</v>
      </c>
      <c r="X785" t="str">
        <f t="shared" si="51"/>
        <v/>
      </c>
      <c r="Y785" t="str">
        <f t="shared" si="49"/>
        <v>Exclude</v>
      </c>
    </row>
    <row r="786" spans="1:25">
      <c r="A786" t="s">
        <v>2445</v>
      </c>
      <c r="B786" s="3">
        <v>45757</v>
      </c>
      <c r="C786" s="3">
        <v>45787</v>
      </c>
      <c r="D786" s="6">
        <f t="shared" si="50"/>
        <v>30</v>
      </c>
      <c r="E786" t="s">
        <v>2446</v>
      </c>
      <c r="F786" t="s">
        <v>114</v>
      </c>
      <c r="G786" s="5" t="s">
        <v>90</v>
      </c>
      <c r="H786" t="s">
        <v>25</v>
      </c>
      <c r="I786" t="s">
        <v>122</v>
      </c>
      <c r="J786" t="s">
        <v>123</v>
      </c>
      <c r="K786" t="s">
        <v>74</v>
      </c>
      <c r="L786" t="s">
        <v>80</v>
      </c>
      <c r="M786" t="s">
        <v>2447</v>
      </c>
      <c r="N786" t="s">
        <v>50</v>
      </c>
      <c r="O786">
        <v>4</v>
      </c>
      <c r="P786">
        <v>418.18</v>
      </c>
      <c r="Q786" s="6">
        <v>0.05</v>
      </c>
      <c r="R786" s="8">
        <f t="shared" si="48"/>
        <v>0.05</v>
      </c>
      <c r="S786">
        <v>1589.08</v>
      </c>
      <c r="T786">
        <v>1084.6600000000001</v>
      </c>
      <c r="U786">
        <v>504.42</v>
      </c>
      <c r="V786" t="s">
        <v>32</v>
      </c>
      <c r="W786" t="s">
        <v>33</v>
      </c>
      <c r="X786" t="str">
        <f t="shared" si="51"/>
        <v/>
      </c>
      <c r="Y786" t="str">
        <f t="shared" si="49"/>
        <v>Exclude</v>
      </c>
    </row>
    <row r="787" spans="1:25">
      <c r="A787" t="s">
        <v>2448</v>
      </c>
      <c r="B787" s="3">
        <v>45435</v>
      </c>
      <c r="C787" s="3">
        <v>45441</v>
      </c>
      <c r="D787" s="6">
        <f t="shared" si="50"/>
        <v>6</v>
      </c>
      <c r="E787" t="s">
        <v>2449</v>
      </c>
      <c r="F787" t="s">
        <v>162</v>
      </c>
      <c r="G787" s="5" t="s">
        <v>37</v>
      </c>
      <c r="H787" t="s">
        <v>25</v>
      </c>
      <c r="I787" t="s">
        <v>237</v>
      </c>
      <c r="J787" t="s">
        <v>238</v>
      </c>
      <c r="K787" t="s">
        <v>28</v>
      </c>
      <c r="L787" t="s">
        <v>124</v>
      </c>
      <c r="M787" t="s">
        <v>2450</v>
      </c>
      <c r="N787" t="s">
        <v>44</v>
      </c>
      <c r="O787">
        <v>2</v>
      </c>
      <c r="P787">
        <v>3012.94</v>
      </c>
      <c r="Q787" s="6">
        <v>0.25</v>
      </c>
      <c r="R787" s="8">
        <f t="shared" si="48"/>
        <v>0.25</v>
      </c>
      <c r="S787">
        <v>4519.41</v>
      </c>
      <c r="T787">
        <v>3504.16</v>
      </c>
      <c r="U787">
        <v>1275.55</v>
      </c>
      <c r="V787" t="s">
        <v>155</v>
      </c>
      <c r="W787" t="s">
        <v>68</v>
      </c>
      <c r="X787" t="str">
        <f t="shared" si="51"/>
        <v>EXCLUDE: Cancelled order; EXCLUDE: Failed payment</v>
      </c>
      <c r="Y787" t="str">
        <f t="shared" si="49"/>
        <v>Exclude</v>
      </c>
    </row>
    <row r="788" spans="1:25">
      <c r="A788" t="s">
        <v>2451</v>
      </c>
      <c r="B788" s="3">
        <v>45815</v>
      </c>
      <c r="C788" s="3">
        <v>45876</v>
      </c>
      <c r="D788" s="6">
        <f t="shared" si="50"/>
        <v>61</v>
      </c>
      <c r="E788" t="s">
        <v>2452</v>
      </c>
      <c r="F788" t="s">
        <v>62</v>
      </c>
      <c r="G788" s="5" t="s">
        <v>90</v>
      </c>
      <c r="H788" t="s">
        <v>25</v>
      </c>
      <c r="I788" t="s">
        <v>26</v>
      </c>
      <c r="J788" t="s">
        <v>27</v>
      </c>
      <c r="K788" t="s">
        <v>41</v>
      </c>
      <c r="L788" t="s">
        <v>57</v>
      </c>
      <c r="M788" t="s">
        <v>2453</v>
      </c>
      <c r="N788" t="s">
        <v>2806</v>
      </c>
      <c r="O788">
        <v>4</v>
      </c>
      <c r="P788">
        <v>715.45</v>
      </c>
      <c r="Q788" s="6">
        <v>0.05</v>
      </c>
      <c r="R788" s="8">
        <f t="shared" si="48"/>
        <v>0.05</v>
      </c>
      <c r="S788">
        <v>2718.71</v>
      </c>
      <c r="T788">
        <v>2065.0500000000002</v>
      </c>
      <c r="U788">
        <v>653.66</v>
      </c>
      <c r="V788" t="s">
        <v>102</v>
      </c>
      <c r="W788" t="s">
        <v>103</v>
      </c>
      <c r="X788" t="str">
        <f t="shared" si="51"/>
        <v>REFUND: Summarize separately</v>
      </c>
      <c r="Y788" t="str">
        <f t="shared" si="49"/>
        <v>Exclude</v>
      </c>
    </row>
    <row r="789" spans="1:25">
      <c r="A789" t="s">
        <v>2454</v>
      </c>
      <c r="B789" s="3">
        <v>45547</v>
      </c>
      <c r="C789" s="3">
        <v>45553</v>
      </c>
      <c r="D789" s="6">
        <f t="shared" si="50"/>
        <v>6</v>
      </c>
      <c r="E789" t="s">
        <v>2455</v>
      </c>
      <c r="F789" t="s">
        <v>62</v>
      </c>
      <c r="G789" s="5" t="s">
        <v>95</v>
      </c>
      <c r="H789" t="s">
        <v>38</v>
      </c>
      <c r="I789" t="s">
        <v>145</v>
      </c>
      <c r="J789" t="s">
        <v>146</v>
      </c>
      <c r="K789" t="s">
        <v>28</v>
      </c>
      <c r="L789" t="s">
        <v>29</v>
      </c>
      <c r="M789" t="s">
        <v>2456</v>
      </c>
      <c r="N789" t="s">
        <v>31</v>
      </c>
      <c r="O789">
        <v>2</v>
      </c>
      <c r="P789">
        <v>3718.77</v>
      </c>
      <c r="Q789" s="6">
        <v>0.05</v>
      </c>
      <c r="R789" s="8">
        <f t="shared" si="48"/>
        <v>0.05</v>
      </c>
      <c r="S789">
        <v>7065.66</v>
      </c>
      <c r="T789">
        <v>4915.2700000000004</v>
      </c>
      <c r="U789">
        <v>2150.39</v>
      </c>
      <c r="V789" t="s">
        <v>32</v>
      </c>
      <c r="W789" t="s">
        <v>33</v>
      </c>
      <c r="X789" t="str">
        <f t="shared" si="51"/>
        <v/>
      </c>
      <c r="Y789" t="str">
        <f t="shared" si="49"/>
        <v>Exclude</v>
      </c>
    </row>
    <row r="790" spans="1:25">
      <c r="A790" t="s">
        <v>2457</v>
      </c>
      <c r="B790" s="3">
        <v>45505</v>
      </c>
      <c r="C790" s="3">
        <v>45506</v>
      </c>
      <c r="D790" s="6">
        <f t="shared" si="50"/>
        <v>1</v>
      </c>
      <c r="E790" t="s">
        <v>2458</v>
      </c>
      <c r="F790" t="s">
        <v>47</v>
      </c>
      <c r="G790" s="5" t="s">
        <v>90</v>
      </c>
      <c r="H790" t="s">
        <v>25</v>
      </c>
      <c r="I790" t="s">
        <v>136</v>
      </c>
      <c r="J790" t="s">
        <v>137</v>
      </c>
      <c r="K790" t="s">
        <v>41</v>
      </c>
      <c r="L790" t="s">
        <v>66</v>
      </c>
      <c r="M790" t="s">
        <v>2459</v>
      </c>
      <c r="N790" t="s">
        <v>59</v>
      </c>
      <c r="O790">
        <v>8</v>
      </c>
      <c r="P790">
        <v>2487.64</v>
      </c>
      <c r="Q790" s="6">
        <v>0.1</v>
      </c>
      <c r="R790" s="8">
        <f t="shared" si="48"/>
        <v>0.1</v>
      </c>
      <c r="S790">
        <v>17911.009999999998</v>
      </c>
      <c r="T790">
        <v>11546.05</v>
      </c>
      <c r="U790">
        <v>6364.96</v>
      </c>
      <c r="V790" t="s">
        <v>155</v>
      </c>
      <c r="W790" t="s">
        <v>103</v>
      </c>
      <c r="X790" t="str">
        <f t="shared" si="51"/>
        <v>EXCLUDE: Failed payment</v>
      </c>
      <c r="Y790" t="str">
        <f t="shared" si="49"/>
        <v>Exclude</v>
      </c>
    </row>
    <row r="791" spans="1:25">
      <c r="A791" t="s">
        <v>2460</v>
      </c>
      <c r="B791" s="3">
        <v>45723</v>
      </c>
      <c r="C791" s="3">
        <v>45872</v>
      </c>
      <c r="D791" s="6">
        <f t="shared" si="50"/>
        <v>149</v>
      </c>
      <c r="E791" t="s">
        <v>2461</v>
      </c>
      <c r="F791" t="s">
        <v>114</v>
      </c>
      <c r="G791" s="5" t="s">
        <v>95</v>
      </c>
      <c r="H791" t="s">
        <v>2806</v>
      </c>
      <c r="I791" t="s">
        <v>26</v>
      </c>
      <c r="J791" t="s">
        <v>109</v>
      </c>
      <c r="K791" t="s">
        <v>74</v>
      </c>
      <c r="L791" t="s">
        <v>80</v>
      </c>
      <c r="M791" t="s">
        <v>2462</v>
      </c>
      <c r="N791" t="s">
        <v>44</v>
      </c>
      <c r="O791">
        <v>4</v>
      </c>
      <c r="P791">
        <v>3537.48</v>
      </c>
      <c r="Q791" s="6">
        <v>0</v>
      </c>
      <c r="R791" s="8">
        <f t="shared" si="48"/>
        <v>0</v>
      </c>
      <c r="S791">
        <v>14149.92</v>
      </c>
      <c r="T791">
        <v>9466.51</v>
      </c>
      <c r="U791">
        <v>4683.41</v>
      </c>
      <c r="V791" t="s">
        <v>32</v>
      </c>
      <c r="W791" t="s">
        <v>33</v>
      </c>
      <c r="X791" t="str">
        <f t="shared" si="51"/>
        <v/>
      </c>
      <c r="Y791" t="str">
        <f t="shared" si="49"/>
        <v>Exclude</v>
      </c>
    </row>
    <row r="792" spans="1:25">
      <c r="A792" t="s">
        <v>2463</v>
      </c>
      <c r="B792" s="3">
        <v>45443</v>
      </c>
      <c r="C792" s="3">
        <v>45328</v>
      </c>
      <c r="D792" s="6">
        <f t="shared" si="50"/>
        <v>-115</v>
      </c>
      <c r="E792" t="s">
        <v>2464</v>
      </c>
      <c r="F792" t="s">
        <v>118</v>
      </c>
      <c r="G792" s="5" t="s">
        <v>90</v>
      </c>
      <c r="H792" t="s">
        <v>54</v>
      </c>
      <c r="I792" t="s">
        <v>84</v>
      </c>
      <c r="J792" t="s">
        <v>85</v>
      </c>
      <c r="K792" t="s">
        <v>28</v>
      </c>
      <c r="L792" t="s">
        <v>48</v>
      </c>
      <c r="M792" t="s">
        <v>2465</v>
      </c>
      <c r="N792" t="s">
        <v>59</v>
      </c>
      <c r="O792">
        <v>8</v>
      </c>
      <c r="P792">
        <v>667.59</v>
      </c>
      <c r="Q792" s="6">
        <v>0.2</v>
      </c>
      <c r="R792" s="8">
        <f t="shared" si="48"/>
        <v>0.2</v>
      </c>
      <c r="S792">
        <v>4272.58</v>
      </c>
      <c r="T792">
        <v>3328.92</v>
      </c>
      <c r="U792">
        <v>943.66</v>
      </c>
      <c r="V792" t="s">
        <v>32</v>
      </c>
      <c r="W792" t="s">
        <v>33</v>
      </c>
      <c r="X792" t="str">
        <f t="shared" si="51"/>
        <v>INVALID: Ship date before order date</v>
      </c>
      <c r="Y792" t="str">
        <f t="shared" si="49"/>
        <v>Exclude</v>
      </c>
    </row>
    <row r="793" spans="1:25">
      <c r="A793" t="s">
        <v>2466</v>
      </c>
      <c r="B793" s="3">
        <v>45567</v>
      </c>
      <c r="C793" s="3">
        <v>45453</v>
      </c>
      <c r="D793" s="6">
        <f t="shared" si="50"/>
        <v>-114</v>
      </c>
      <c r="E793" t="s">
        <v>2467</v>
      </c>
      <c r="F793" t="s">
        <v>118</v>
      </c>
      <c r="G793" s="5" t="s">
        <v>95</v>
      </c>
      <c r="H793" t="s">
        <v>54</v>
      </c>
      <c r="I793" t="s">
        <v>175</v>
      </c>
      <c r="J793" t="s">
        <v>176</v>
      </c>
      <c r="K793" t="s">
        <v>41</v>
      </c>
      <c r="L793" t="s">
        <v>158</v>
      </c>
      <c r="M793" t="s">
        <v>2468</v>
      </c>
      <c r="N793" t="s">
        <v>44</v>
      </c>
      <c r="O793">
        <v>8</v>
      </c>
      <c r="P793">
        <v>1558.77</v>
      </c>
      <c r="Q793" s="6">
        <v>0.25</v>
      </c>
      <c r="R793" s="8">
        <f t="shared" si="48"/>
        <v>0.25</v>
      </c>
      <c r="S793">
        <v>9352.6200000000008</v>
      </c>
      <c r="T793">
        <v>5269.41</v>
      </c>
      <c r="U793">
        <v>4083.21</v>
      </c>
      <c r="V793" t="s">
        <v>32</v>
      </c>
      <c r="W793" t="s">
        <v>33</v>
      </c>
      <c r="X793" t="str">
        <f t="shared" si="51"/>
        <v>INVALID: Ship date before order date</v>
      </c>
      <c r="Y793" t="str">
        <f t="shared" si="49"/>
        <v>Exclude</v>
      </c>
    </row>
    <row r="794" spans="1:25">
      <c r="A794" t="s">
        <v>2469</v>
      </c>
      <c r="B794" s="3">
        <v>45812</v>
      </c>
      <c r="C794" s="3">
        <v>45875</v>
      </c>
      <c r="D794" s="6">
        <f t="shared" si="50"/>
        <v>63</v>
      </c>
      <c r="E794" t="s">
        <v>2470</v>
      </c>
      <c r="F794" t="s">
        <v>53</v>
      </c>
      <c r="G794" s="5" t="s">
        <v>37</v>
      </c>
      <c r="H794" t="s">
        <v>38</v>
      </c>
      <c r="I794" t="s">
        <v>166</v>
      </c>
      <c r="J794" t="s">
        <v>167</v>
      </c>
      <c r="K794" t="s">
        <v>41</v>
      </c>
      <c r="L794" t="s">
        <v>57</v>
      </c>
      <c r="M794" t="s">
        <v>2471</v>
      </c>
      <c r="N794" t="s">
        <v>31</v>
      </c>
      <c r="O794">
        <v>1</v>
      </c>
      <c r="P794">
        <v>3501.12</v>
      </c>
      <c r="Q794" s="6">
        <v>0.2</v>
      </c>
      <c r="R794" s="8">
        <f t="shared" si="48"/>
        <v>0.2</v>
      </c>
      <c r="S794">
        <v>2800.9</v>
      </c>
      <c r="T794">
        <v>1735.98</v>
      </c>
      <c r="U794">
        <v>1064.92</v>
      </c>
      <c r="V794" t="s">
        <v>32</v>
      </c>
      <c r="W794" t="s">
        <v>103</v>
      </c>
      <c r="X794" t="str">
        <f t="shared" si="51"/>
        <v/>
      </c>
      <c r="Y794" t="str">
        <f t="shared" si="49"/>
        <v>Exclude</v>
      </c>
    </row>
    <row r="795" spans="1:25">
      <c r="A795" t="s">
        <v>2472</v>
      </c>
      <c r="B795" s="3">
        <v>45440</v>
      </c>
      <c r="C795" s="3">
        <v>45357</v>
      </c>
      <c r="D795" s="6">
        <f t="shared" si="50"/>
        <v>-83</v>
      </c>
      <c r="E795" t="s">
        <v>2473</v>
      </c>
      <c r="F795" t="s">
        <v>71</v>
      </c>
      <c r="G795" s="5" t="s">
        <v>90</v>
      </c>
      <c r="H795" t="s">
        <v>25</v>
      </c>
      <c r="I795" t="s">
        <v>26</v>
      </c>
      <c r="J795" t="s">
        <v>27</v>
      </c>
      <c r="K795" t="s">
        <v>74</v>
      </c>
      <c r="L795" t="s">
        <v>80</v>
      </c>
      <c r="M795" t="s">
        <v>2474</v>
      </c>
      <c r="N795" t="s">
        <v>31</v>
      </c>
      <c r="O795">
        <v>5</v>
      </c>
      <c r="P795">
        <v>4302.32</v>
      </c>
      <c r="Q795" s="6">
        <v>0</v>
      </c>
      <c r="R795" s="8">
        <f t="shared" si="48"/>
        <v>0</v>
      </c>
      <c r="S795">
        <v>21511.599999999999</v>
      </c>
      <c r="T795">
        <v>15408.47</v>
      </c>
      <c r="U795">
        <v>6103.13</v>
      </c>
      <c r="V795" t="s">
        <v>32</v>
      </c>
      <c r="W795" t="s">
        <v>33</v>
      </c>
      <c r="X795" t="str">
        <f t="shared" si="51"/>
        <v>INVALID: Ship date before order date</v>
      </c>
      <c r="Y795" t="str">
        <f t="shared" si="49"/>
        <v>Exclude</v>
      </c>
    </row>
    <row r="796" spans="1:25">
      <c r="A796" t="s">
        <v>2475</v>
      </c>
      <c r="B796" s="3">
        <v>45830</v>
      </c>
      <c r="C796" s="3">
        <v>45832</v>
      </c>
      <c r="D796" s="6">
        <f t="shared" si="50"/>
        <v>2</v>
      </c>
      <c r="E796" t="s">
        <v>2476</v>
      </c>
      <c r="F796" t="s">
        <v>132</v>
      </c>
      <c r="G796" s="5" t="s">
        <v>90</v>
      </c>
      <c r="H796" t="s">
        <v>38</v>
      </c>
      <c r="I796" t="s">
        <v>166</v>
      </c>
      <c r="J796" t="s">
        <v>167</v>
      </c>
      <c r="K796" t="s">
        <v>28</v>
      </c>
      <c r="L796" t="s">
        <v>29</v>
      </c>
      <c r="M796" t="s">
        <v>2477</v>
      </c>
      <c r="N796" t="s">
        <v>59</v>
      </c>
      <c r="O796">
        <v>9</v>
      </c>
      <c r="P796">
        <v>951.55</v>
      </c>
      <c r="Q796" s="6">
        <v>0.15</v>
      </c>
      <c r="R796" s="8">
        <f t="shared" si="48"/>
        <v>0.15</v>
      </c>
      <c r="S796">
        <v>7279.36</v>
      </c>
      <c r="T796">
        <v>4870.3900000000003</v>
      </c>
      <c r="U796">
        <v>2408.9699999999998</v>
      </c>
      <c r="V796" t="s">
        <v>32</v>
      </c>
      <c r="W796" t="s">
        <v>33</v>
      </c>
      <c r="X796" t="str">
        <f t="shared" si="51"/>
        <v/>
      </c>
      <c r="Y796" t="str">
        <f t="shared" si="49"/>
        <v>Exclude</v>
      </c>
    </row>
    <row r="797" spans="1:25">
      <c r="A797" t="s">
        <v>2478</v>
      </c>
      <c r="B797" s="3">
        <v>45503</v>
      </c>
      <c r="C797" s="3">
        <v>45503</v>
      </c>
      <c r="D797" s="6">
        <f t="shared" si="50"/>
        <v>0</v>
      </c>
      <c r="E797" t="s">
        <v>2479</v>
      </c>
      <c r="F797" t="s">
        <v>162</v>
      </c>
      <c r="G797" s="5" t="s">
        <v>95</v>
      </c>
      <c r="H797" t="s">
        <v>38</v>
      </c>
      <c r="I797" t="s">
        <v>39</v>
      </c>
      <c r="J797" t="s">
        <v>40</v>
      </c>
      <c r="K797" t="s">
        <v>74</v>
      </c>
      <c r="L797" t="s">
        <v>80</v>
      </c>
      <c r="M797" t="s">
        <v>2480</v>
      </c>
      <c r="N797" t="s">
        <v>44</v>
      </c>
      <c r="O797">
        <v>9</v>
      </c>
      <c r="P797">
        <v>2894.66</v>
      </c>
      <c r="Q797" s="6">
        <v>0</v>
      </c>
      <c r="R797" s="8">
        <f t="shared" si="48"/>
        <v>0</v>
      </c>
      <c r="S797">
        <v>26051.94</v>
      </c>
      <c r="T797">
        <v>16883.59</v>
      </c>
      <c r="U797">
        <v>9168.35</v>
      </c>
      <c r="V797" t="s">
        <v>102</v>
      </c>
      <c r="W797" t="s">
        <v>68</v>
      </c>
      <c r="X797" t="str">
        <f t="shared" si="51"/>
        <v>EXCLUDE: Cancelled order; REFUND: Summarize separately</v>
      </c>
      <c r="Y797" t="str">
        <f t="shared" si="49"/>
        <v>Exclude</v>
      </c>
    </row>
    <row r="798" spans="1:25">
      <c r="A798" t="s">
        <v>2481</v>
      </c>
      <c r="B798" s="3">
        <v>45374</v>
      </c>
      <c r="C798" s="3">
        <v>45381</v>
      </c>
      <c r="D798" s="6">
        <f t="shared" si="50"/>
        <v>7</v>
      </c>
      <c r="E798" t="s">
        <v>2482</v>
      </c>
      <c r="F798" t="s">
        <v>141</v>
      </c>
      <c r="G798" s="5" t="s">
        <v>37</v>
      </c>
      <c r="H798" t="s">
        <v>54</v>
      </c>
      <c r="I798" t="s">
        <v>84</v>
      </c>
      <c r="J798" t="s">
        <v>85</v>
      </c>
      <c r="K798" t="s">
        <v>74</v>
      </c>
      <c r="L798" t="s">
        <v>275</v>
      </c>
      <c r="M798" t="s">
        <v>2483</v>
      </c>
      <c r="N798" t="s">
        <v>50</v>
      </c>
      <c r="O798">
        <v>6</v>
      </c>
      <c r="P798">
        <v>1894.44</v>
      </c>
      <c r="Q798" s="6">
        <v>0.15</v>
      </c>
      <c r="R798" s="8">
        <f t="shared" si="48"/>
        <v>0.15</v>
      </c>
      <c r="S798">
        <v>9661.64</v>
      </c>
      <c r="T798">
        <v>6303.77</v>
      </c>
      <c r="U798">
        <v>3357.87</v>
      </c>
      <c r="V798" t="s">
        <v>32</v>
      </c>
      <c r="W798" t="s">
        <v>33</v>
      </c>
      <c r="X798" t="str">
        <f t="shared" si="51"/>
        <v/>
      </c>
      <c r="Y798" t="str">
        <f t="shared" si="49"/>
        <v>Exclude</v>
      </c>
    </row>
    <row r="799" spans="1:25">
      <c r="A799" t="s">
        <v>2484</v>
      </c>
      <c r="B799" s="3">
        <v>45400</v>
      </c>
      <c r="C799" s="3">
        <v>45404</v>
      </c>
      <c r="D799" s="6">
        <f t="shared" si="50"/>
        <v>4</v>
      </c>
      <c r="E799" t="s">
        <v>2485</v>
      </c>
      <c r="F799" t="s">
        <v>128</v>
      </c>
      <c r="G799" s="5" t="s">
        <v>24</v>
      </c>
      <c r="H799" t="s">
        <v>38</v>
      </c>
      <c r="I799" t="s">
        <v>39</v>
      </c>
      <c r="J799" t="s">
        <v>40</v>
      </c>
      <c r="K799" t="s">
        <v>28</v>
      </c>
      <c r="L799" t="s">
        <v>153</v>
      </c>
      <c r="M799" t="s">
        <v>2486</v>
      </c>
      <c r="N799" t="s">
        <v>50</v>
      </c>
      <c r="O799">
        <v>8</v>
      </c>
      <c r="P799">
        <v>1714.37</v>
      </c>
      <c r="Q799" s="6">
        <v>0</v>
      </c>
      <c r="R799" s="8">
        <f t="shared" si="48"/>
        <v>0</v>
      </c>
      <c r="S799">
        <v>13714.96</v>
      </c>
      <c r="T799">
        <v>10550.47</v>
      </c>
      <c r="U799">
        <v>3164.49</v>
      </c>
      <c r="V799" t="s">
        <v>155</v>
      </c>
      <c r="W799" t="s">
        <v>68</v>
      </c>
      <c r="X799" t="str">
        <f t="shared" si="51"/>
        <v>EXCLUDE: Cancelled order; EXCLUDE: Failed payment</v>
      </c>
      <c r="Y799" t="str">
        <f t="shared" si="49"/>
        <v>Exclude</v>
      </c>
    </row>
    <row r="800" spans="1:25">
      <c r="A800" t="s">
        <v>2487</v>
      </c>
      <c r="B800" s="3">
        <v>45849</v>
      </c>
      <c r="C800" s="3">
        <v>45847</v>
      </c>
      <c r="D800" s="6">
        <f t="shared" si="50"/>
        <v>-2</v>
      </c>
      <c r="E800" t="s">
        <v>2488</v>
      </c>
      <c r="F800" t="s">
        <v>89</v>
      </c>
      <c r="G800" s="5" t="s">
        <v>90</v>
      </c>
      <c r="H800" t="s">
        <v>25</v>
      </c>
      <c r="I800" t="s">
        <v>351</v>
      </c>
      <c r="J800" t="s">
        <v>352</v>
      </c>
      <c r="K800" t="s">
        <v>41</v>
      </c>
      <c r="L800" t="s">
        <v>57</v>
      </c>
      <c r="M800" t="s">
        <v>2489</v>
      </c>
      <c r="N800" t="s">
        <v>59</v>
      </c>
      <c r="O800">
        <v>9</v>
      </c>
      <c r="P800">
        <v>1706.05</v>
      </c>
      <c r="Q800" s="6">
        <v>0</v>
      </c>
      <c r="R800" s="8">
        <f t="shared" si="48"/>
        <v>0</v>
      </c>
      <c r="S800">
        <v>15354.45</v>
      </c>
      <c r="T800">
        <v>9656.5</v>
      </c>
      <c r="U800">
        <v>5697.95</v>
      </c>
      <c r="V800" t="s">
        <v>32</v>
      </c>
      <c r="W800" t="s">
        <v>33</v>
      </c>
      <c r="X800" t="str">
        <f t="shared" si="51"/>
        <v>INVALID: Ship date before order date</v>
      </c>
      <c r="Y800" t="str">
        <f t="shared" si="49"/>
        <v>Exclude</v>
      </c>
    </row>
    <row r="801" spans="1:25">
      <c r="A801" t="s">
        <v>2490</v>
      </c>
      <c r="B801" s="3">
        <v>45575</v>
      </c>
      <c r="C801" s="3">
        <v>45582</v>
      </c>
      <c r="D801" s="6">
        <f t="shared" si="50"/>
        <v>7</v>
      </c>
      <c r="E801" t="s">
        <v>2491</v>
      </c>
      <c r="F801" t="s">
        <v>47</v>
      </c>
      <c r="G801" s="5" t="s">
        <v>95</v>
      </c>
      <c r="H801" t="s">
        <v>25</v>
      </c>
      <c r="I801" t="s">
        <v>237</v>
      </c>
      <c r="J801" t="s">
        <v>238</v>
      </c>
      <c r="K801" t="s">
        <v>74</v>
      </c>
      <c r="L801" t="s">
        <v>75</v>
      </c>
      <c r="M801" t="s">
        <v>2492</v>
      </c>
      <c r="N801" t="s">
        <v>2806</v>
      </c>
      <c r="O801">
        <v>5</v>
      </c>
      <c r="P801">
        <v>967.41</v>
      </c>
      <c r="Q801" s="6">
        <v>0.05</v>
      </c>
      <c r="R801" s="8">
        <f t="shared" si="48"/>
        <v>0.05</v>
      </c>
      <c r="S801">
        <v>4595.2</v>
      </c>
      <c r="T801">
        <v>3887.41</v>
      </c>
      <c r="U801">
        <v>707.79</v>
      </c>
      <c r="V801" t="s">
        <v>32</v>
      </c>
      <c r="W801" t="s">
        <v>103</v>
      </c>
      <c r="X801" t="str">
        <f t="shared" si="51"/>
        <v/>
      </c>
      <c r="Y801" t="str">
        <f t="shared" si="49"/>
        <v>Exclude</v>
      </c>
    </row>
    <row r="802" spans="1:25">
      <c r="A802" t="s">
        <v>2493</v>
      </c>
      <c r="B802" s="3">
        <v>45352</v>
      </c>
      <c r="C802" s="3">
        <v>45476</v>
      </c>
      <c r="D802" s="6">
        <f t="shared" si="50"/>
        <v>124</v>
      </c>
      <c r="E802" t="s">
        <v>2494</v>
      </c>
      <c r="F802" t="s">
        <v>71</v>
      </c>
      <c r="G802" s="5" t="s">
        <v>37</v>
      </c>
      <c r="H802" t="s">
        <v>63</v>
      </c>
      <c r="I802" t="s">
        <v>64</v>
      </c>
      <c r="J802" t="s">
        <v>65</v>
      </c>
      <c r="K802" t="s">
        <v>28</v>
      </c>
      <c r="L802" t="s">
        <v>124</v>
      </c>
      <c r="M802" t="s">
        <v>2495</v>
      </c>
      <c r="N802" t="s">
        <v>31</v>
      </c>
      <c r="O802">
        <v>6</v>
      </c>
      <c r="P802">
        <v>4163.72</v>
      </c>
      <c r="Q802" s="6">
        <v>0.15</v>
      </c>
      <c r="R802" s="8">
        <f t="shared" si="48"/>
        <v>0.15</v>
      </c>
      <c r="S802">
        <v>21234.97</v>
      </c>
      <c r="T802">
        <v>16736.09</v>
      </c>
      <c r="U802">
        <v>4498.88</v>
      </c>
      <c r="V802" t="s">
        <v>32</v>
      </c>
      <c r="W802" t="s">
        <v>33</v>
      </c>
      <c r="X802" t="str">
        <f t="shared" si="51"/>
        <v/>
      </c>
      <c r="Y802" t="str">
        <f t="shared" si="49"/>
        <v>Exclude</v>
      </c>
    </row>
    <row r="803" spans="1:25">
      <c r="A803" t="s">
        <v>2496</v>
      </c>
      <c r="B803" s="3">
        <v>45938</v>
      </c>
      <c r="C803" s="3">
        <v>45945</v>
      </c>
      <c r="D803" s="6">
        <f t="shared" si="50"/>
        <v>7</v>
      </c>
      <c r="E803" t="s">
        <v>2497</v>
      </c>
      <c r="F803" t="s">
        <v>128</v>
      </c>
      <c r="G803" s="5" t="s">
        <v>95</v>
      </c>
      <c r="H803" t="s">
        <v>38</v>
      </c>
      <c r="I803" t="s">
        <v>39</v>
      </c>
      <c r="J803" t="s">
        <v>40</v>
      </c>
      <c r="K803" t="s">
        <v>74</v>
      </c>
      <c r="L803" t="s">
        <v>75</v>
      </c>
      <c r="M803" t="s">
        <v>2498</v>
      </c>
      <c r="N803" t="s">
        <v>31</v>
      </c>
      <c r="O803">
        <v>3</v>
      </c>
      <c r="P803">
        <v>3372.21</v>
      </c>
      <c r="Q803" s="6">
        <v>0.2</v>
      </c>
      <c r="R803" s="8">
        <f t="shared" si="48"/>
        <v>0.2</v>
      </c>
      <c r="S803">
        <v>8093.3</v>
      </c>
      <c r="T803">
        <v>6052.43</v>
      </c>
      <c r="U803">
        <v>2040.87</v>
      </c>
      <c r="V803" t="s">
        <v>111</v>
      </c>
      <c r="W803" t="s">
        <v>68</v>
      </c>
      <c r="X803" t="str">
        <f t="shared" si="51"/>
        <v>EXCLUDE: Cancelled order</v>
      </c>
      <c r="Y803" t="str">
        <f t="shared" si="49"/>
        <v>Exclude</v>
      </c>
    </row>
    <row r="804" spans="1:25">
      <c r="A804" t="s">
        <v>2499</v>
      </c>
      <c r="B804" s="3">
        <v>45704</v>
      </c>
      <c r="C804" s="3">
        <v>45704</v>
      </c>
      <c r="D804" s="6">
        <f t="shared" si="50"/>
        <v>0</v>
      </c>
      <c r="E804" t="s">
        <v>2500</v>
      </c>
      <c r="F804" t="s">
        <v>141</v>
      </c>
      <c r="G804" s="5" t="s">
        <v>37</v>
      </c>
      <c r="H804" t="s">
        <v>38</v>
      </c>
      <c r="I804" t="s">
        <v>166</v>
      </c>
      <c r="J804" t="s">
        <v>167</v>
      </c>
      <c r="K804" t="s">
        <v>41</v>
      </c>
      <c r="L804" t="s">
        <v>57</v>
      </c>
      <c r="M804" t="s">
        <v>2501</v>
      </c>
      <c r="N804" t="s">
        <v>31</v>
      </c>
      <c r="O804">
        <v>6</v>
      </c>
      <c r="P804">
        <v>1441.91</v>
      </c>
      <c r="Q804" s="6">
        <v>0</v>
      </c>
      <c r="R804" s="8">
        <f t="shared" si="48"/>
        <v>0</v>
      </c>
      <c r="S804">
        <v>8651.4599999999991</v>
      </c>
      <c r="T804">
        <v>5254.62</v>
      </c>
      <c r="U804">
        <v>3396.84</v>
      </c>
      <c r="V804" t="s">
        <v>2502</v>
      </c>
      <c r="W804" t="s">
        <v>103</v>
      </c>
      <c r="X804" t="str">
        <f t="shared" si="51"/>
        <v>EXCLUDE: Failed payment</v>
      </c>
      <c r="Y804" t="str">
        <f t="shared" si="49"/>
        <v>Exclude</v>
      </c>
    </row>
    <row r="805" spans="1:25">
      <c r="A805" t="s">
        <v>2503</v>
      </c>
      <c r="B805" s="3">
        <v>45635</v>
      </c>
      <c r="C805" s="3">
        <v>45639</v>
      </c>
      <c r="D805" s="6">
        <f t="shared" si="50"/>
        <v>4</v>
      </c>
      <c r="E805" t="s">
        <v>2504</v>
      </c>
      <c r="F805" t="s">
        <v>141</v>
      </c>
      <c r="G805" s="5" t="s">
        <v>24</v>
      </c>
      <c r="H805" t="s">
        <v>2806</v>
      </c>
      <c r="I805" t="s">
        <v>229</v>
      </c>
      <c r="J805" t="s">
        <v>230</v>
      </c>
      <c r="K805" t="s">
        <v>28</v>
      </c>
      <c r="L805" t="s">
        <v>91</v>
      </c>
      <c r="M805" t="s">
        <v>2505</v>
      </c>
      <c r="N805" t="s">
        <v>50</v>
      </c>
      <c r="O805">
        <v>1</v>
      </c>
      <c r="P805">
        <v>4306.6499999999996</v>
      </c>
      <c r="Q805" s="6">
        <v>0</v>
      </c>
      <c r="R805" s="8">
        <f t="shared" si="48"/>
        <v>0</v>
      </c>
      <c r="S805">
        <v>4306.6499999999996</v>
      </c>
      <c r="T805">
        <v>2568.8200000000002</v>
      </c>
      <c r="U805">
        <v>1737.83</v>
      </c>
      <c r="V805" t="s">
        <v>32</v>
      </c>
      <c r="W805" t="s">
        <v>33</v>
      </c>
      <c r="X805" t="str">
        <f t="shared" si="51"/>
        <v/>
      </c>
      <c r="Y805" t="str">
        <f t="shared" si="49"/>
        <v>Exclude</v>
      </c>
    </row>
    <row r="806" spans="1:25">
      <c r="A806" t="s">
        <v>2506</v>
      </c>
      <c r="B806" s="3">
        <v>45910</v>
      </c>
      <c r="C806" s="3">
        <v>45918</v>
      </c>
      <c r="D806" s="6">
        <f t="shared" si="50"/>
        <v>8</v>
      </c>
      <c r="E806" t="s">
        <v>2507</v>
      </c>
      <c r="F806" t="s">
        <v>118</v>
      </c>
      <c r="G806" s="5" t="s">
        <v>95</v>
      </c>
      <c r="H806" t="s">
        <v>54</v>
      </c>
      <c r="I806" t="s">
        <v>55</v>
      </c>
      <c r="J806" t="s">
        <v>56</v>
      </c>
      <c r="K806" t="s">
        <v>41</v>
      </c>
      <c r="L806" t="s">
        <v>57</v>
      </c>
      <c r="M806" t="s">
        <v>2508</v>
      </c>
      <c r="N806" t="s">
        <v>59</v>
      </c>
      <c r="O806">
        <v>1</v>
      </c>
      <c r="P806">
        <v>2050.62</v>
      </c>
      <c r="Q806" s="6">
        <v>0.05</v>
      </c>
      <c r="R806" s="8">
        <f t="shared" si="48"/>
        <v>0.05</v>
      </c>
      <c r="S806">
        <v>1948.09</v>
      </c>
      <c r="T806">
        <v>1507.08</v>
      </c>
      <c r="U806">
        <v>441.01</v>
      </c>
      <c r="V806" t="s">
        <v>32</v>
      </c>
      <c r="W806" t="s">
        <v>33</v>
      </c>
      <c r="X806" t="str">
        <f t="shared" si="51"/>
        <v/>
      </c>
      <c r="Y806" t="str">
        <f t="shared" si="49"/>
        <v>Exclude</v>
      </c>
    </row>
    <row r="807" spans="1:25">
      <c r="A807" t="s">
        <v>2509</v>
      </c>
      <c r="B807" s="3">
        <v>45753</v>
      </c>
      <c r="C807" s="3">
        <v>45754</v>
      </c>
      <c r="D807" s="6">
        <f t="shared" si="50"/>
        <v>1</v>
      </c>
      <c r="E807" t="s">
        <v>2373</v>
      </c>
      <c r="F807" t="s">
        <v>114</v>
      </c>
      <c r="G807" s="5" t="s">
        <v>95</v>
      </c>
      <c r="H807" t="s">
        <v>38</v>
      </c>
      <c r="I807" t="s">
        <v>166</v>
      </c>
      <c r="J807" t="s">
        <v>167</v>
      </c>
      <c r="K807" t="s">
        <v>28</v>
      </c>
      <c r="L807" t="s">
        <v>153</v>
      </c>
      <c r="M807" t="s">
        <v>2510</v>
      </c>
      <c r="N807" t="s">
        <v>31</v>
      </c>
      <c r="O807">
        <v>2</v>
      </c>
      <c r="P807">
        <v>2030.06</v>
      </c>
      <c r="Q807" s="6">
        <v>0.25</v>
      </c>
      <c r="R807" s="8">
        <f t="shared" si="48"/>
        <v>0.25</v>
      </c>
      <c r="S807">
        <v>3045.09</v>
      </c>
      <c r="T807">
        <v>2601.09</v>
      </c>
      <c r="U807">
        <v>444</v>
      </c>
      <c r="V807" t="s">
        <v>32</v>
      </c>
      <c r="W807" t="s">
        <v>33</v>
      </c>
      <c r="X807" t="str">
        <f t="shared" si="51"/>
        <v/>
      </c>
      <c r="Y807" t="str">
        <f t="shared" si="49"/>
        <v>Exclude</v>
      </c>
    </row>
    <row r="808" spans="1:25">
      <c r="A808" t="s">
        <v>2511</v>
      </c>
      <c r="B808" s="3">
        <v>45605</v>
      </c>
      <c r="C808" s="3">
        <v>45611</v>
      </c>
      <c r="D808" s="6">
        <f t="shared" si="50"/>
        <v>6</v>
      </c>
      <c r="E808" t="s">
        <v>2512</v>
      </c>
      <c r="F808" t="s">
        <v>47</v>
      </c>
      <c r="G808" s="5" t="s">
        <v>95</v>
      </c>
      <c r="H808" t="s">
        <v>25</v>
      </c>
      <c r="I808" t="s">
        <v>26</v>
      </c>
      <c r="J808" t="s">
        <v>27</v>
      </c>
      <c r="K808" t="s">
        <v>74</v>
      </c>
      <c r="L808" t="s">
        <v>80</v>
      </c>
      <c r="M808" t="s">
        <v>2513</v>
      </c>
      <c r="N808" t="s">
        <v>59</v>
      </c>
      <c r="O808">
        <v>1</v>
      </c>
      <c r="P808">
        <v>3665.97</v>
      </c>
      <c r="Q808" s="6">
        <v>0.2</v>
      </c>
      <c r="R808" s="8">
        <f t="shared" si="48"/>
        <v>0.2</v>
      </c>
      <c r="S808">
        <v>2932.78</v>
      </c>
      <c r="T808">
        <v>1900.35</v>
      </c>
      <c r="U808">
        <v>1032.43</v>
      </c>
      <c r="V808" t="s">
        <v>155</v>
      </c>
      <c r="W808" t="s">
        <v>68</v>
      </c>
      <c r="X808" t="str">
        <f t="shared" si="51"/>
        <v>EXCLUDE: Cancelled order; EXCLUDE: Failed payment</v>
      </c>
      <c r="Y808" t="str">
        <f t="shared" si="49"/>
        <v>Exclude</v>
      </c>
    </row>
    <row r="809" spans="1:25">
      <c r="A809" t="s">
        <v>2514</v>
      </c>
      <c r="B809" s="3">
        <v>45695</v>
      </c>
      <c r="C809" s="3">
        <v>45871</v>
      </c>
      <c r="D809" s="6">
        <f t="shared" si="50"/>
        <v>176</v>
      </c>
      <c r="E809" t="s">
        <v>2515</v>
      </c>
      <c r="F809" t="s">
        <v>23</v>
      </c>
      <c r="G809" s="5" t="s">
        <v>37</v>
      </c>
      <c r="H809" t="s">
        <v>54</v>
      </c>
      <c r="I809" t="s">
        <v>55</v>
      </c>
      <c r="J809" t="s">
        <v>56</v>
      </c>
      <c r="K809" t="s">
        <v>28</v>
      </c>
      <c r="L809" t="s">
        <v>91</v>
      </c>
      <c r="M809" t="s">
        <v>2516</v>
      </c>
      <c r="N809" t="s">
        <v>2517</v>
      </c>
      <c r="O809">
        <v>2</v>
      </c>
      <c r="P809">
        <v>2432.98</v>
      </c>
      <c r="Q809" s="6">
        <v>0.1</v>
      </c>
      <c r="R809" s="8">
        <f t="shared" si="48"/>
        <v>0.1</v>
      </c>
      <c r="S809">
        <v>4379.3599999999997</v>
      </c>
      <c r="T809">
        <v>3723.93</v>
      </c>
      <c r="U809">
        <v>655.43</v>
      </c>
      <c r="V809" t="s">
        <v>32</v>
      </c>
      <c r="W809" t="s">
        <v>33</v>
      </c>
      <c r="X809" t="str">
        <f t="shared" si="51"/>
        <v/>
      </c>
      <c r="Y809" t="str">
        <f t="shared" si="49"/>
        <v>Exclude</v>
      </c>
    </row>
    <row r="810" spans="1:25">
      <c r="A810" t="s">
        <v>2518</v>
      </c>
      <c r="B810" s="3">
        <v>45900</v>
      </c>
      <c r="C810" s="3">
        <v>45897</v>
      </c>
      <c r="D810" s="6">
        <f t="shared" si="50"/>
        <v>-3</v>
      </c>
      <c r="E810" t="s">
        <v>2519</v>
      </c>
      <c r="F810" t="s">
        <v>128</v>
      </c>
      <c r="G810" s="5" t="s">
        <v>37</v>
      </c>
      <c r="H810" t="s">
        <v>54</v>
      </c>
      <c r="I810" t="s">
        <v>248</v>
      </c>
      <c r="J810" t="s">
        <v>249</v>
      </c>
      <c r="K810" t="s">
        <v>41</v>
      </c>
      <c r="L810" t="s">
        <v>57</v>
      </c>
      <c r="M810" t="s">
        <v>2520</v>
      </c>
      <c r="N810" t="s">
        <v>50</v>
      </c>
      <c r="O810">
        <v>7</v>
      </c>
      <c r="P810">
        <v>977.28</v>
      </c>
      <c r="Q810" s="6">
        <v>0.2</v>
      </c>
      <c r="R810" s="8">
        <f t="shared" si="48"/>
        <v>0.2</v>
      </c>
      <c r="S810">
        <v>5472.77</v>
      </c>
      <c r="T810">
        <v>4477.33</v>
      </c>
      <c r="U810">
        <v>995.44</v>
      </c>
      <c r="V810" t="s">
        <v>32</v>
      </c>
      <c r="W810" t="s">
        <v>33</v>
      </c>
      <c r="X810" t="str">
        <f t="shared" si="51"/>
        <v>INVALID: Ship date before order date</v>
      </c>
      <c r="Y810" t="str">
        <f t="shared" si="49"/>
        <v>Exclude</v>
      </c>
    </row>
    <row r="811" spans="1:25">
      <c r="A811" t="s">
        <v>2521</v>
      </c>
      <c r="B811" s="3">
        <v>45833</v>
      </c>
      <c r="C811" s="3">
        <v>45833</v>
      </c>
      <c r="D811" s="6">
        <f t="shared" si="50"/>
        <v>0</v>
      </c>
      <c r="E811" t="s">
        <v>2522</v>
      </c>
      <c r="F811" t="s">
        <v>53</v>
      </c>
      <c r="G811" s="5" t="s">
        <v>37</v>
      </c>
      <c r="H811" t="s">
        <v>2806</v>
      </c>
      <c r="I811" t="s">
        <v>122</v>
      </c>
      <c r="J811" t="s">
        <v>123</v>
      </c>
      <c r="K811" t="s">
        <v>28</v>
      </c>
      <c r="L811" t="s">
        <v>153</v>
      </c>
      <c r="M811" t="s">
        <v>2523</v>
      </c>
      <c r="N811" t="s">
        <v>31</v>
      </c>
      <c r="O811">
        <v>6</v>
      </c>
      <c r="P811">
        <v>1366.13</v>
      </c>
      <c r="Q811" s="6">
        <v>0.1</v>
      </c>
      <c r="R811" s="8">
        <f t="shared" si="48"/>
        <v>0.1</v>
      </c>
      <c r="S811">
        <v>7377.1</v>
      </c>
      <c r="T811">
        <v>5085.21</v>
      </c>
      <c r="U811">
        <v>2291.89</v>
      </c>
      <c r="V811" t="s">
        <v>32</v>
      </c>
      <c r="W811" t="s">
        <v>33</v>
      </c>
      <c r="X811" t="str">
        <f t="shared" si="51"/>
        <v/>
      </c>
      <c r="Y811" t="str">
        <f t="shared" si="49"/>
        <v>Exclude</v>
      </c>
    </row>
    <row r="812" spans="1:25">
      <c r="A812" t="s">
        <v>2524</v>
      </c>
      <c r="B812" s="3">
        <v>45355</v>
      </c>
      <c r="C812" s="3">
        <v>45390</v>
      </c>
      <c r="D812" s="6">
        <f t="shared" si="50"/>
        <v>35</v>
      </c>
      <c r="E812" t="s">
        <v>1682</v>
      </c>
      <c r="F812" t="s">
        <v>265</v>
      </c>
      <c r="G812" s="5" t="s">
        <v>95</v>
      </c>
      <c r="H812" t="s">
        <v>63</v>
      </c>
      <c r="I812" t="s">
        <v>180</v>
      </c>
      <c r="J812" t="s">
        <v>181</v>
      </c>
      <c r="K812" t="s">
        <v>74</v>
      </c>
      <c r="L812" t="s">
        <v>80</v>
      </c>
      <c r="M812" t="s">
        <v>2525</v>
      </c>
      <c r="N812" t="s">
        <v>50</v>
      </c>
      <c r="O812">
        <v>1</v>
      </c>
      <c r="P812">
        <v>3151.85</v>
      </c>
      <c r="Q812" s="6">
        <v>0.25</v>
      </c>
      <c r="R812" s="8">
        <f t="shared" si="48"/>
        <v>0.25</v>
      </c>
      <c r="S812">
        <v>2363.89</v>
      </c>
      <c r="T812">
        <v>1471.51</v>
      </c>
      <c r="U812">
        <v>892.38</v>
      </c>
      <c r="V812" t="s">
        <v>32</v>
      </c>
      <c r="W812" t="s">
        <v>33</v>
      </c>
      <c r="X812" t="str">
        <f t="shared" si="51"/>
        <v/>
      </c>
      <c r="Y812" t="str">
        <f t="shared" si="49"/>
        <v>Exclude</v>
      </c>
    </row>
    <row r="813" spans="1:25">
      <c r="A813" t="s">
        <v>2526</v>
      </c>
      <c r="B813" s="3">
        <v>45638</v>
      </c>
      <c r="C813" s="3">
        <v>45645</v>
      </c>
      <c r="D813" s="6">
        <f t="shared" si="50"/>
        <v>7</v>
      </c>
      <c r="E813" t="s">
        <v>2527</v>
      </c>
      <c r="F813" t="s">
        <v>141</v>
      </c>
      <c r="G813" s="5" t="s">
        <v>95</v>
      </c>
      <c r="H813" t="s">
        <v>25</v>
      </c>
      <c r="I813" t="s">
        <v>237</v>
      </c>
      <c r="J813" t="s">
        <v>238</v>
      </c>
      <c r="K813" t="s">
        <v>74</v>
      </c>
      <c r="L813" t="s">
        <v>75</v>
      </c>
      <c r="M813" t="s">
        <v>2528</v>
      </c>
      <c r="N813" t="s">
        <v>50</v>
      </c>
      <c r="O813">
        <v>2</v>
      </c>
      <c r="P813">
        <v>1610.75</v>
      </c>
      <c r="Q813" s="6">
        <v>0.2</v>
      </c>
      <c r="R813" s="8">
        <f t="shared" si="48"/>
        <v>0.2</v>
      </c>
      <c r="S813">
        <v>2577.1999999999998</v>
      </c>
      <c r="T813">
        <v>1475.87</v>
      </c>
      <c r="U813">
        <v>1101.33</v>
      </c>
      <c r="V813" t="s">
        <v>32</v>
      </c>
      <c r="W813" t="s">
        <v>33</v>
      </c>
      <c r="X813" t="str">
        <f t="shared" si="51"/>
        <v/>
      </c>
      <c r="Y813" t="str">
        <f t="shared" si="49"/>
        <v>Exclude</v>
      </c>
    </row>
    <row r="814" spans="1:25">
      <c r="A814" t="s">
        <v>2529</v>
      </c>
      <c r="B814" s="3">
        <v>45458</v>
      </c>
      <c r="C814" s="3">
        <v>45463</v>
      </c>
      <c r="D814" s="6">
        <f t="shared" si="50"/>
        <v>5</v>
      </c>
      <c r="E814" t="s">
        <v>2530</v>
      </c>
      <c r="F814" t="s">
        <v>132</v>
      </c>
      <c r="G814" s="5" t="s">
        <v>37</v>
      </c>
      <c r="H814" t="s">
        <v>38</v>
      </c>
      <c r="I814" t="s">
        <v>229</v>
      </c>
      <c r="J814" t="s">
        <v>230</v>
      </c>
      <c r="K814" t="s">
        <v>41</v>
      </c>
      <c r="L814" t="s">
        <v>42</v>
      </c>
      <c r="M814" t="s">
        <v>2531</v>
      </c>
      <c r="N814" t="s">
        <v>50</v>
      </c>
      <c r="O814">
        <v>8</v>
      </c>
      <c r="P814">
        <v>2228.4699999999998</v>
      </c>
      <c r="Q814" s="6">
        <v>0</v>
      </c>
      <c r="R814" s="8">
        <f t="shared" si="48"/>
        <v>0</v>
      </c>
      <c r="S814">
        <v>17827.759999999998</v>
      </c>
      <c r="T814">
        <v>14122.13</v>
      </c>
      <c r="U814">
        <v>3705.63</v>
      </c>
      <c r="V814" t="s">
        <v>32</v>
      </c>
      <c r="W814" t="s">
        <v>33</v>
      </c>
      <c r="X814" t="str">
        <f t="shared" si="51"/>
        <v/>
      </c>
      <c r="Y814" t="str">
        <f t="shared" si="49"/>
        <v>Exclude</v>
      </c>
    </row>
    <row r="815" spans="1:25">
      <c r="A815" t="s">
        <v>2532</v>
      </c>
      <c r="B815" s="3">
        <v>45812</v>
      </c>
      <c r="C815" s="3">
        <v>45934</v>
      </c>
      <c r="D815" s="6">
        <f t="shared" si="50"/>
        <v>122</v>
      </c>
      <c r="E815" t="s">
        <v>2533</v>
      </c>
      <c r="F815" t="s">
        <v>141</v>
      </c>
      <c r="G815" s="5" t="s">
        <v>24</v>
      </c>
      <c r="H815" t="s">
        <v>38</v>
      </c>
      <c r="I815" t="s">
        <v>39</v>
      </c>
      <c r="J815" t="s">
        <v>40</v>
      </c>
      <c r="K815" t="s">
        <v>41</v>
      </c>
      <c r="L815" t="s">
        <v>158</v>
      </c>
      <c r="M815" t="s">
        <v>1131</v>
      </c>
      <c r="N815" t="s">
        <v>59</v>
      </c>
      <c r="O815">
        <v>2</v>
      </c>
      <c r="P815">
        <v>1337.67</v>
      </c>
      <c r="Q815" s="6">
        <v>0</v>
      </c>
      <c r="R815" s="8">
        <f t="shared" si="48"/>
        <v>0</v>
      </c>
      <c r="S815">
        <v>2675.34</v>
      </c>
      <c r="T815">
        <v>1595.87</v>
      </c>
      <c r="U815">
        <v>1079.47</v>
      </c>
      <c r="V815" t="s">
        <v>32</v>
      </c>
      <c r="W815" t="s">
        <v>33</v>
      </c>
      <c r="X815" t="str">
        <f t="shared" si="51"/>
        <v/>
      </c>
      <c r="Y815" t="str">
        <f t="shared" si="49"/>
        <v>Exclude</v>
      </c>
    </row>
    <row r="816" spans="1:25">
      <c r="A816" t="s">
        <v>2534</v>
      </c>
      <c r="B816" s="3">
        <v>45875</v>
      </c>
      <c r="C816" s="3">
        <v>45969</v>
      </c>
      <c r="D816" s="6">
        <f t="shared" si="50"/>
        <v>94</v>
      </c>
      <c r="E816" t="s">
        <v>2535</v>
      </c>
      <c r="F816" t="s">
        <v>53</v>
      </c>
      <c r="G816" s="5" t="s">
        <v>24</v>
      </c>
      <c r="H816" t="s">
        <v>63</v>
      </c>
      <c r="I816" t="s">
        <v>72</v>
      </c>
      <c r="J816" t="s">
        <v>73</v>
      </c>
      <c r="K816" t="s">
        <v>28</v>
      </c>
      <c r="L816" t="s">
        <v>91</v>
      </c>
      <c r="M816" t="s">
        <v>2536</v>
      </c>
      <c r="N816" t="s">
        <v>50</v>
      </c>
      <c r="O816">
        <v>2</v>
      </c>
      <c r="P816">
        <v>2375.94</v>
      </c>
      <c r="Q816" s="6">
        <v>0.25</v>
      </c>
      <c r="R816" s="8">
        <f t="shared" si="48"/>
        <v>0.25</v>
      </c>
      <c r="S816">
        <v>3563.91</v>
      </c>
      <c r="T816">
        <v>2639.7</v>
      </c>
      <c r="U816">
        <v>924.21</v>
      </c>
      <c r="V816" t="s">
        <v>32</v>
      </c>
      <c r="W816" t="s">
        <v>33</v>
      </c>
      <c r="X816" t="str">
        <f t="shared" si="51"/>
        <v/>
      </c>
      <c r="Y816" t="str">
        <f t="shared" si="49"/>
        <v>Exclude</v>
      </c>
    </row>
    <row r="817" spans="1:25">
      <c r="A817" t="s">
        <v>2537</v>
      </c>
      <c r="B817" s="3">
        <v>45295</v>
      </c>
      <c r="C817" s="3">
        <v>45508</v>
      </c>
      <c r="D817" s="6">
        <f t="shared" si="50"/>
        <v>213</v>
      </c>
      <c r="E817" t="s">
        <v>2538</v>
      </c>
      <c r="F817" t="s">
        <v>162</v>
      </c>
      <c r="G817" s="5" t="s">
        <v>24</v>
      </c>
      <c r="H817" t="s">
        <v>38</v>
      </c>
      <c r="I817" t="s">
        <v>39</v>
      </c>
      <c r="J817" t="s">
        <v>40</v>
      </c>
      <c r="K817" t="s">
        <v>74</v>
      </c>
      <c r="L817" t="s">
        <v>275</v>
      </c>
      <c r="M817" t="s">
        <v>2539</v>
      </c>
      <c r="N817" t="s">
        <v>59</v>
      </c>
      <c r="O817">
        <v>7</v>
      </c>
      <c r="P817">
        <v>715.81</v>
      </c>
      <c r="Q817" s="6">
        <v>0.15</v>
      </c>
      <c r="R817" s="8">
        <f t="shared" si="48"/>
        <v>0.15</v>
      </c>
      <c r="S817">
        <v>4259.07</v>
      </c>
      <c r="T817">
        <v>3130.32</v>
      </c>
      <c r="U817">
        <v>1128.75</v>
      </c>
      <c r="V817" t="s">
        <v>111</v>
      </c>
      <c r="W817" t="s">
        <v>68</v>
      </c>
      <c r="X817" t="str">
        <f t="shared" si="51"/>
        <v>EXCLUDE: Cancelled order</v>
      </c>
      <c r="Y817" t="str">
        <f t="shared" si="49"/>
        <v>Exclude</v>
      </c>
    </row>
    <row r="818" spans="1:25">
      <c r="A818" t="s">
        <v>2540</v>
      </c>
      <c r="B818" s="3">
        <v>45623</v>
      </c>
      <c r="C818" s="3">
        <v>45626</v>
      </c>
      <c r="D818" s="6">
        <f t="shared" si="50"/>
        <v>3</v>
      </c>
      <c r="E818" t="s">
        <v>2541</v>
      </c>
      <c r="F818" t="s">
        <v>118</v>
      </c>
      <c r="G818" s="5" t="s">
        <v>37</v>
      </c>
      <c r="H818" t="s">
        <v>38</v>
      </c>
      <c r="I818" t="s">
        <v>229</v>
      </c>
      <c r="J818" t="s">
        <v>230</v>
      </c>
      <c r="K818" t="s">
        <v>41</v>
      </c>
      <c r="L818" t="s">
        <v>57</v>
      </c>
      <c r="M818" t="s">
        <v>2542</v>
      </c>
      <c r="N818" t="s">
        <v>50</v>
      </c>
      <c r="O818">
        <v>1</v>
      </c>
      <c r="P818">
        <v>874.3</v>
      </c>
      <c r="Q818" s="6">
        <v>0.1</v>
      </c>
      <c r="R818" s="8">
        <f t="shared" si="48"/>
        <v>0.1</v>
      </c>
      <c r="S818">
        <v>786.87</v>
      </c>
      <c r="T818">
        <v>498.5</v>
      </c>
      <c r="U818">
        <v>288.37</v>
      </c>
      <c r="V818" t="s">
        <v>32</v>
      </c>
      <c r="W818" t="s">
        <v>33</v>
      </c>
      <c r="X818" t="str">
        <f t="shared" si="51"/>
        <v/>
      </c>
      <c r="Y818" t="str">
        <f t="shared" si="49"/>
        <v>Exclude</v>
      </c>
    </row>
    <row r="819" spans="1:25">
      <c r="A819" t="s">
        <v>2543</v>
      </c>
      <c r="B819" s="3">
        <v>45752</v>
      </c>
      <c r="C819" s="3">
        <v>45781</v>
      </c>
      <c r="D819" s="6">
        <f t="shared" si="50"/>
        <v>29</v>
      </c>
      <c r="E819" t="s">
        <v>2544</v>
      </c>
      <c r="F819" t="s">
        <v>132</v>
      </c>
      <c r="G819" s="5" t="s">
        <v>24</v>
      </c>
      <c r="H819" t="s">
        <v>38</v>
      </c>
      <c r="I819" t="s">
        <v>145</v>
      </c>
      <c r="J819" t="s">
        <v>146</v>
      </c>
      <c r="K819" t="s">
        <v>28</v>
      </c>
      <c r="L819" t="s">
        <v>153</v>
      </c>
      <c r="M819" t="s">
        <v>2545</v>
      </c>
      <c r="N819" t="s">
        <v>59</v>
      </c>
      <c r="O819">
        <v>6</v>
      </c>
      <c r="P819">
        <v>1829.69</v>
      </c>
      <c r="Q819" s="6">
        <v>0.25</v>
      </c>
      <c r="R819" s="8">
        <f t="shared" si="48"/>
        <v>0.25</v>
      </c>
      <c r="S819">
        <v>8233.6</v>
      </c>
      <c r="T819">
        <v>4713.79</v>
      </c>
      <c r="U819">
        <v>3519.81</v>
      </c>
      <c r="V819" t="s">
        <v>32</v>
      </c>
      <c r="W819" t="s">
        <v>33</v>
      </c>
      <c r="X819" t="str">
        <f t="shared" si="51"/>
        <v/>
      </c>
      <c r="Y819" t="str">
        <f t="shared" si="49"/>
        <v>Exclude</v>
      </c>
    </row>
    <row r="820" spans="1:25">
      <c r="A820" t="s">
        <v>2546</v>
      </c>
      <c r="B820" s="3">
        <v>45564</v>
      </c>
      <c r="C820" s="3">
        <v>45570</v>
      </c>
      <c r="D820" s="6">
        <f t="shared" si="50"/>
        <v>6</v>
      </c>
      <c r="E820" t="s">
        <v>2547</v>
      </c>
      <c r="F820" t="s">
        <v>114</v>
      </c>
      <c r="G820" s="5" t="s">
        <v>37</v>
      </c>
      <c r="H820" t="s">
        <v>63</v>
      </c>
      <c r="I820" t="s">
        <v>64</v>
      </c>
      <c r="J820" t="s">
        <v>65</v>
      </c>
      <c r="K820" t="s">
        <v>28</v>
      </c>
      <c r="L820" t="s">
        <v>91</v>
      </c>
      <c r="M820" t="s">
        <v>2548</v>
      </c>
      <c r="N820" t="s">
        <v>50</v>
      </c>
      <c r="O820">
        <v>8</v>
      </c>
      <c r="P820">
        <v>1981.04</v>
      </c>
      <c r="Q820" s="6">
        <v>-0.14000000000000001</v>
      </c>
      <c r="R820" s="8">
        <f t="shared" si="48"/>
        <v>-0.14000000000000001</v>
      </c>
      <c r="S820">
        <v>12678.66</v>
      </c>
      <c r="T820">
        <v>10088.65</v>
      </c>
      <c r="U820">
        <v>2590.0100000000002</v>
      </c>
      <c r="V820" t="s">
        <v>32</v>
      </c>
      <c r="W820" t="s">
        <v>33</v>
      </c>
      <c r="X820" t="str">
        <f t="shared" si="51"/>
        <v>INVALID: Negative discount</v>
      </c>
      <c r="Y820" t="str">
        <f t="shared" si="49"/>
        <v>Exclude</v>
      </c>
    </row>
    <row r="821" spans="1:25">
      <c r="A821" t="s">
        <v>2549</v>
      </c>
      <c r="B821" s="3">
        <v>45504</v>
      </c>
      <c r="C821" s="3">
        <v>45504</v>
      </c>
      <c r="D821" s="6">
        <f t="shared" si="50"/>
        <v>0</v>
      </c>
      <c r="E821" t="s">
        <v>2550</v>
      </c>
      <c r="F821" t="s">
        <v>23</v>
      </c>
      <c r="G821" s="5" t="s">
        <v>95</v>
      </c>
      <c r="H821" t="s">
        <v>54</v>
      </c>
      <c r="I821" t="s">
        <v>185</v>
      </c>
      <c r="J821" t="s">
        <v>186</v>
      </c>
      <c r="K821" t="s">
        <v>74</v>
      </c>
      <c r="L821" t="s">
        <v>2551</v>
      </c>
      <c r="M821" t="s">
        <v>2552</v>
      </c>
      <c r="N821" t="s">
        <v>59</v>
      </c>
      <c r="O821">
        <v>8</v>
      </c>
      <c r="P821">
        <v>4246.01</v>
      </c>
      <c r="Q821" s="6">
        <v>0</v>
      </c>
      <c r="R821" s="8">
        <f t="shared" si="48"/>
        <v>0</v>
      </c>
      <c r="S821">
        <v>33968.080000000002</v>
      </c>
      <c r="T821">
        <v>26902.44</v>
      </c>
      <c r="U821">
        <v>7065.64</v>
      </c>
      <c r="V821" t="s">
        <v>155</v>
      </c>
      <c r="W821" t="s">
        <v>68</v>
      </c>
      <c r="X821" t="str">
        <f t="shared" si="51"/>
        <v>EXCLUDE: Cancelled order; EXCLUDE: Failed payment</v>
      </c>
      <c r="Y821" t="str">
        <f t="shared" si="49"/>
        <v>Exclude</v>
      </c>
    </row>
    <row r="822" spans="1:25">
      <c r="A822" t="s">
        <v>2553</v>
      </c>
      <c r="B822" s="3">
        <v>45694</v>
      </c>
      <c r="C822" s="3">
        <v>45698</v>
      </c>
      <c r="D822" s="6">
        <f t="shared" si="50"/>
        <v>4</v>
      </c>
      <c r="E822" t="s">
        <v>2554</v>
      </c>
      <c r="F822" t="s">
        <v>62</v>
      </c>
      <c r="G822" s="5" t="s">
        <v>95</v>
      </c>
      <c r="H822" t="s">
        <v>25</v>
      </c>
      <c r="I822" t="s">
        <v>136</v>
      </c>
      <c r="J822" t="s">
        <v>137</v>
      </c>
      <c r="K822" t="s">
        <v>41</v>
      </c>
      <c r="L822" t="s">
        <v>158</v>
      </c>
      <c r="M822" t="s">
        <v>2555</v>
      </c>
      <c r="N822" t="s">
        <v>59</v>
      </c>
      <c r="O822">
        <v>2</v>
      </c>
      <c r="P822">
        <v>319.57</v>
      </c>
      <c r="Q822" s="6">
        <v>0.2</v>
      </c>
      <c r="R822" s="8">
        <f t="shared" si="48"/>
        <v>0.2</v>
      </c>
      <c r="S822">
        <v>511.31</v>
      </c>
      <c r="T822">
        <v>436.43</v>
      </c>
      <c r="U822">
        <v>74.88</v>
      </c>
      <c r="V822" t="s">
        <v>32</v>
      </c>
      <c r="W822" t="s">
        <v>33</v>
      </c>
      <c r="X822" t="str">
        <f t="shared" si="51"/>
        <v/>
      </c>
      <c r="Y822" t="str">
        <f t="shared" si="49"/>
        <v>Exclude</v>
      </c>
    </row>
    <row r="823" spans="1:25">
      <c r="A823" t="s">
        <v>2556</v>
      </c>
      <c r="B823" s="3">
        <v>45476</v>
      </c>
      <c r="C823" s="3">
        <v>45479</v>
      </c>
      <c r="D823" s="6">
        <f t="shared" si="50"/>
        <v>3</v>
      </c>
      <c r="E823" t="s">
        <v>2557</v>
      </c>
      <c r="F823" t="s">
        <v>128</v>
      </c>
      <c r="G823" s="5" t="s">
        <v>90</v>
      </c>
      <c r="H823" t="s">
        <v>54</v>
      </c>
      <c r="I823" t="s">
        <v>175</v>
      </c>
      <c r="J823" t="s">
        <v>176</v>
      </c>
      <c r="K823" t="s">
        <v>74</v>
      </c>
      <c r="L823" t="s">
        <v>75</v>
      </c>
      <c r="M823" t="s">
        <v>2558</v>
      </c>
      <c r="N823" t="s">
        <v>50</v>
      </c>
      <c r="O823">
        <v>7</v>
      </c>
      <c r="P823">
        <v>1942.49</v>
      </c>
      <c r="Q823" s="6">
        <v>0.2</v>
      </c>
      <c r="R823" s="8">
        <f t="shared" si="48"/>
        <v>0.2</v>
      </c>
      <c r="S823">
        <v>10877.94</v>
      </c>
      <c r="T823">
        <v>9110.14</v>
      </c>
      <c r="U823">
        <v>1767.8</v>
      </c>
      <c r="V823" t="s">
        <v>32</v>
      </c>
      <c r="W823" t="s">
        <v>33</v>
      </c>
      <c r="X823" t="str">
        <f t="shared" si="51"/>
        <v/>
      </c>
      <c r="Y823" t="str">
        <f t="shared" si="49"/>
        <v>Exclude</v>
      </c>
    </row>
    <row r="824" spans="1:25">
      <c r="A824" t="s">
        <v>2559</v>
      </c>
      <c r="B824" s="3">
        <v>45636</v>
      </c>
      <c r="C824" s="3">
        <v>45514</v>
      </c>
      <c r="D824" s="6">
        <f t="shared" si="50"/>
        <v>-122</v>
      </c>
      <c r="E824" t="s">
        <v>2560</v>
      </c>
      <c r="F824" t="s">
        <v>36</v>
      </c>
      <c r="G824" s="5" t="s">
        <v>90</v>
      </c>
      <c r="H824" t="s">
        <v>38</v>
      </c>
      <c r="I824" t="s">
        <v>166</v>
      </c>
      <c r="J824" t="s">
        <v>167</v>
      </c>
      <c r="K824" t="s">
        <v>41</v>
      </c>
      <c r="L824" t="s">
        <v>57</v>
      </c>
      <c r="M824" t="s">
        <v>2561</v>
      </c>
      <c r="N824" t="s">
        <v>31</v>
      </c>
      <c r="O824">
        <v>4</v>
      </c>
      <c r="P824">
        <v>3202.04</v>
      </c>
      <c r="Q824" s="6">
        <v>0.2</v>
      </c>
      <c r="R824" s="8">
        <f t="shared" si="48"/>
        <v>0.2</v>
      </c>
      <c r="S824">
        <v>10246.530000000001</v>
      </c>
      <c r="T824">
        <v>8634.42</v>
      </c>
      <c r="U824">
        <v>1612.11</v>
      </c>
      <c r="V824" t="s">
        <v>111</v>
      </c>
      <c r="W824" t="s">
        <v>103</v>
      </c>
      <c r="X824" t="str">
        <f t="shared" si="51"/>
        <v>INVALID: Ship date before order date</v>
      </c>
      <c r="Y824" t="str">
        <f t="shared" si="49"/>
        <v>Exclude</v>
      </c>
    </row>
    <row r="825" spans="1:25">
      <c r="A825" t="s">
        <v>2562</v>
      </c>
      <c r="B825" s="3">
        <v>45663</v>
      </c>
      <c r="C825" s="3">
        <v>45992</v>
      </c>
      <c r="D825" s="6">
        <f t="shared" si="50"/>
        <v>329</v>
      </c>
      <c r="E825" t="s">
        <v>2563</v>
      </c>
      <c r="F825" t="s">
        <v>36</v>
      </c>
      <c r="G825" s="5" t="s">
        <v>95</v>
      </c>
      <c r="H825" t="s">
        <v>63</v>
      </c>
      <c r="I825" t="s">
        <v>190</v>
      </c>
      <c r="J825" t="s">
        <v>191</v>
      </c>
      <c r="K825" t="s">
        <v>28</v>
      </c>
      <c r="L825" t="s">
        <v>29</v>
      </c>
      <c r="M825" t="s">
        <v>2564</v>
      </c>
      <c r="N825" t="s">
        <v>44</v>
      </c>
      <c r="O825">
        <v>3</v>
      </c>
      <c r="P825">
        <v>668.33</v>
      </c>
      <c r="Q825" s="6">
        <v>0.15</v>
      </c>
      <c r="R825" s="8">
        <f t="shared" si="48"/>
        <v>0.15</v>
      </c>
      <c r="S825">
        <v>1704.24</v>
      </c>
      <c r="T825">
        <v>957.55</v>
      </c>
      <c r="U825">
        <v>746.69</v>
      </c>
      <c r="V825" t="s">
        <v>32</v>
      </c>
      <c r="W825" t="s">
        <v>33</v>
      </c>
      <c r="X825" t="str">
        <f t="shared" si="51"/>
        <v/>
      </c>
      <c r="Y825" t="str">
        <f t="shared" si="49"/>
        <v>Exclude</v>
      </c>
    </row>
    <row r="826" spans="1:25">
      <c r="A826" t="s">
        <v>2565</v>
      </c>
      <c r="B826" s="3">
        <v>45737</v>
      </c>
      <c r="C826" s="3">
        <v>45738</v>
      </c>
      <c r="D826" s="6">
        <f t="shared" si="50"/>
        <v>1</v>
      </c>
      <c r="E826" t="s">
        <v>2566</v>
      </c>
      <c r="F826" t="s">
        <v>114</v>
      </c>
      <c r="G826" s="5" t="s">
        <v>24</v>
      </c>
      <c r="H826" t="s">
        <v>63</v>
      </c>
      <c r="I826" t="s">
        <v>190</v>
      </c>
      <c r="J826" t="s">
        <v>191</v>
      </c>
      <c r="K826" t="s">
        <v>28</v>
      </c>
      <c r="L826" t="s">
        <v>29</v>
      </c>
      <c r="M826" t="s">
        <v>2567</v>
      </c>
      <c r="N826" t="s">
        <v>50</v>
      </c>
      <c r="O826">
        <v>8</v>
      </c>
      <c r="P826">
        <v>4436.74</v>
      </c>
      <c r="Q826" s="6">
        <v>0.05</v>
      </c>
      <c r="R826" s="8">
        <f t="shared" si="48"/>
        <v>0.05</v>
      </c>
      <c r="S826">
        <v>33719.22</v>
      </c>
      <c r="T826">
        <v>28924.43</v>
      </c>
      <c r="U826">
        <v>4794.79</v>
      </c>
      <c r="V826" t="s">
        <v>32</v>
      </c>
      <c r="W826" t="s">
        <v>33</v>
      </c>
      <c r="X826" t="str">
        <f t="shared" si="51"/>
        <v/>
      </c>
      <c r="Y826" t="str">
        <f t="shared" si="49"/>
        <v>Exclude</v>
      </c>
    </row>
    <row r="827" spans="1:25">
      <c r="A827" t="s">
        <v>2568</v>
      </c>
      <c r="B827" s="3">
        <v>45763</v>
      </c>
      <c r="C827" s="3">
        <v>45764</v>
      </c>
      <c r="D827" s="6">
        <f t="shared" si="50"/>
        <v>1</v>
      </c>
      <c r="E827" t="s">
        <v>2569</v>
      </c>
      <c r="F827" t="s">
        <v>71</v>
      </c>
      <c r="G827" s="5" t="s">
        <v>37</v>
      </c>
      <c r="H827" t="s">
        <v>25</v>
      </c>
      <c r="I827" t="s">
        <v>136</v>
      </c>
      <c r="J827" t="s">
        <v>137</v>
      </c>
      <c r="K827" t="s">
        <v>74</v>
      </c>
      <c r="L827" t="s">
        <v>275</v>
      </c>
      <c r="M827" t="s">
        <v>2570</v>
      </c>
      <c r="N827" t="s">
        <v>50</v>
      </c>
      <c r="O827">
        <v>1</v>
      </c>
      <c r="P827">
        <v>2720.17</v>
      </c>
      <c r="Q827" s="6">
        <v>0</v>
      </c>
      <c r="R827" s="8">
        <f t="shared" si="48"/>
        <v>0</v>
      </c>
      <c r="S827">
        <v>2720.17</v>
      </c>
      <c r="T827">
        <v>1834.23</v>
      </c>
      <c r="U827">
        <v>885.94</v>
      </c>
      <c r="V827" t="s">
        <v>32</v>
      </c>
      <c r="W827" t="s">
        <v>33</v>
      </c>
      <c r="X827" t="str">
        <f t="shared" si="51"/>
        <v/>
      </c>
      <c r="Y827" t="str">
        <f t="shared" si="49"/>
        <v>Exclude</v>
      </c>
    </row>
    <row r="828" spans="1:25">
      <c r="A828" t="s">
        <v>2571</v>
      </c>
      <c r="B828" s="3">
        <v>45879</v>
      </c>
      <c r="C828" s="3">
        <v>45883</v>
      </c>
      <c r="D828" s="6">
        <f t="shared" si="50"/>
        <v>4</v>
      </c>
      <c r="E828" t="s">
        <v>2572</v>
      </c>
      <c r="F828" t="s">
        <v>89</v>
      </c>
      <c r="G828" s="5" t="s">
        <v>24</v>
      </c>
      <c r="H828" t="s">
        <v>63</v>
      </c>
      <c r="I828" t="s">
        <v>26</v>
      </c>
      <c r="J828" t="s">
        <v>109</v>
      </c>
      <c r="K828" t="s">
        <v>74</v>
      </c>
      <c r="L828" t="s">
        <v>75</v>
      </c>
      <c r="M828" t="s">
        <v>2573</v>
      </c>
      <c r="N828" t="s">
        <v>59</v>
      </c>
      <c r="O828">
        <v>5</v>
      </c>
      <c r="P828">
        <v>2190.14</v>
      </c>
      <c r="Q828" s="6">
        <v>0.25</v>
      </c>
      <c r="R828" s="8">
        <f t="shared" si="48"/>
        <v>0.25</v>
      </c>
      <c r="S828">
        <v>8213.02</v>
      </c>
      <c r="T828">
        <v>5569.3</v>
      </c>
      <c r="U828">
        <v>2643.72</v>
      </c>
      <c r="V828" t="s">
        <v>32</v>
      </c>
      <c r="W828" t="s">
        <v>33</v>
      </c>
      <c r="X828" t="str">
        <f t="shared" si="51"/>
        <v/>
      </c>
      <c r="Y828" t="str">
        <f t="shared" si="49"/>
        <v>Exclude</v>
      </c>
    </row>
    <row r="829" spans="1:25">
      <c r="A829" t="s">
        <v>2574</v>
      </c>
      <c r="B829" s="3">
        <v>45620</v>
      </c>
      <c r="C829" s="3">
        <v>45627</v>
      </c>
      <c r="D829" s="6">
        <f t="shared" si="50"/>
        <v>7</v>
      </c>
      <c r="E829" t="s">
        <v>2575</v>
      </c>
      <c r="F829" t="s">
        <v>114</v>
      </c>
      <c r="G829" s="5" t="s">
        <v>95</v>
      </c>
      <c r="H829" t="s">
        <v>54</v>
      </c>
      <c r="I829" t="s">
        <v>248</v>
      </c>
      <c r="J829" t="s">
        <v>249</v>
      </c>
      <c r="K829" t="s">
        <v>28</v>
      </c>
      <c r="L829" t="s">
        <v>29</v>
      </c>
      <c r="M829" t="s">
        <v>2576</v>
      </c>
      <c r="N829" t="s">
        <v>44</v>
      </c>
      <c r="O829">
        <v>1</v>
      </c>
      <c r="P829">
        <v>844.89</v>
      </c>
      <c r="Q829" s="6">
        <v>0.25</v>
      </c>
      <c r="R829" s="8">
        <f t="shared" si="48"/>
        <v>0.25</v>
      </c>
      <c r="S829">
        <v>633.66999999999996</v>
      </c>
      <c r="T829">
        <v>520.47</v>
      </c>
      <c r="U829">
        <v>113.2</v>
      </c>
      <c r="V829" t="s">
        <v>32</v>
      </c>
      <c r="W829" t="s">
        <v>68</v>
      </c>
      <c r="X829" t="str">
        <f t="shared" si="51"/>
        <v>EXCLUDE: Cancelled order</v>
      </c>
      <c r="Y829" t="str">
        <f t="shared" si="49"/>
        <v>Exclude</v>
      </c>
    </row>
    <row r="830" spans="1:25">
      <c r="A830" t="s">
        <v>2577</v>
      </c>
      <c r="B830" s="3">
        <v>45940</v>
      </c>
      <c r="C830" s="3">
        <v>45941</v>
      </c>
      <c r="D830" s="6">
        <f t="shared" si="50"/>
        <v>1</v>
      </c>
      <c r="E830" t="s">
        <v>2578</v>
      </c>
      <c r="F830" t="s">
        <v>23</v>
      </c>
      <c r="G830" s="5" t="s">
        <v>90</v>
      </c>
      <c r="H830" t="s">
        <v>38</v>
      </c>
      <c r="I830" t="s">
        <v>39</v>
      </c>
      <c r="J830" t="s">
        <v>40</v>
      </c>
      <c r="K830" t="s">
        <v>41</v>
      </c>
      <c r="L830" t="s">
        <v>66</v>
      </c>
      <c r="M830" t="s">
        <v>2579</v>
      </c>
      <c r="N830" t="s">
        <v>31</v>
      </c>
      <c r="O830">
        <v>7</v>
      </c>
      <c r="P830">
        <v>3791.96</v>
      </c>
      <c r="Q830" s="6">
        <v>0.05</v>
      </c>
      <c r="R830" s="8">
        <f t="shared" si="48"/>
        <v>0.05</v>
      </c>
      <c r="S830">
        <v>25216.53</v>
      </c>
      <c r="T830">
        <v>14216.94</v>
      </c>
      <c r="U830">
        <v>10999.59</v>
      </c>
      <c r="V830" t="s">
        <v>155</v>
      </c>
      <c r="W830" t="s">
        <v>68</v>
      </c>
      <c r="X830" t="str">
        <f t="shared" si="51"/>
        <v>EXCLUDE: Cancelled order; EXCLUDE: Failed payment</v>
      </c>
      <c r="Y830" t="str">
        <f t="shared" si="49"/>
        <v>Exclude</v>
      </c>
    </row>
    <row r="831" spans="1:25">
      <c r="A831" t="s">
        <v>2580</v>
      </c>
      <c r="B831" s="3">
        <v>45348</v>
      </c>
      <c r="C831" s="3">
        <v>45350</v>
      </c>
      <c r="D831" s="6">
        <f t="shared" si="50"/>
        <v>2</v>
      </c>
      <c r="E831" t="s">
        <v>2581</v>
      </c>
      <c r="F831" t="s">
        <v>89</v>
      </c>
      <c r="G831" s="5" t="s">
        <v>37</v>
      </c>
      <c r="H831" t="s">
        <v>63</v>
      </c>
      <c r="I831" t="s">
        <v>190</v>
      </c>
      <c r="J831" t="s">
        <v>191</v>
      </c>
      <c r="K831" t="s">
        <v>41</v>
      </c>
      <c r="L831" t="s">
        <v>57</v>
      </c>
      <c r="M831" t="s">
        <v>2582</v>
      </c>
      <c r="N831" t="s">
        <v>31</v>
      </c>
      <c r="O831">
        <v>7</v>
      </c>
      <c r="P831">
        <v>1035.1400000000001</v>
      </c>
      <c r="Q831" s="6">
        <v>0.1</v>
      </c>
      <c r="R831" s="8">
        <f t="shared" si="48"/>
        <v>0.1</v>
      </c>
      <c r="S831">
        <v>6521.38</v>
      </c>
      <c r="T831">
        <v>4511.1000000000004</v>
      </c>
      <c r="U831">
        <v>2010.28</v>
      </c>
      <c r="V831" t="s">
        <v>32</v>
      </c>
      <c r="W831" t="s">
        <v>33</v>
      </c>
      <c r="X831" t="str">
        <f t="shared" si="51"/>
        <v/>
      </c>
      <c r="Y831" t="str">
        <f t="shared" si="49"/>
        <v>Exclude</v>
      </c>
    </row>
    <row r="832" spans="1:25">
      <c r="A832" t="s">
        <v>2583</v>
      </c>
      <c r="B832" s="3">
        <v>45853</v>
      </c>
      <c r="C832" s="3">
        <v>45856</v>
      </c>
      <c r="D832" s="6">
        <f t="shared" si="50"/>
        <v>3</v>
      </c>
      <c r="E832" t="s">
        <v>2584</v>
      </c>
      <c r="F832" t="s">
        <v>89</v>
      </c>
      <c r="G832" s="5" t="s">
        <v>37</v>
      </c>
      <c r="H832" t="s">
        <v>2806</v>
      </c>
      <c r="I832" t="s">
        <v>248</v>
      </c>
      <c r="J832" t="s">
        <v>249</v>
      </c>
      <c r="K832" t="s">
        <v>74</v>
      </c>
      <c r="L832" t="s">
        <v>275</v>
      </c>
      <c r="M832" t="s">
        <v>2585</v>
      </c>
      <c r="N832" t="s">
        <v>50</v>
      </c>
      <c r="O832">
        <v>6</v>
      </c>
      <c r="P832">
        <v>2382.88</v>
      </c>
      <c r="Q832" s="6">
        <v>0.1</v>
      </c>
      <c r="R832" s="8">
        <f t="shared" si="48"/>
        <v>0.1</v>
      </c>
      <c r="S832">
        <v>12867.55</v>
      </c>
      <c r="T832">
        <v>10068.94</v>
      </c>
      <c r="U832">
        <v>2798.61</v>
      </c>
      <c r="V832" t="s">
        <v>32</v>
      </c>
      <c r="W832" t="s">
        <v>33</v>
      </c>
      <c r="X832" t="str">
        <f t="shared" si="51"/>
        <v/>
      </c>
      <c r="Y832" t="str">
        <f t="shared" si="49"/>
        <v>Exclude</v>
      </c>
    </row>
    <row r="833" spans="1:25">
      <c r="A833" t="s">
        <v>2586</v>
      </c>
      <c r="B833" s="3">
        <v>45720</v>
      </c>
      <c r="C833" s="3">
        <v>45750</v>
      </c>
      <c r="D833" s="6">
        <f t="shared" si="50"/>
        <v>30</v>
      </c>
      <c r="E833" t="s">
        <v>2587</v>
      </c>
      <c r="F833" t="s">
        <v>162</v>
      </c>
      <c r="G833" s="5" t="s">
        <v>95</v>
      </c>
      <c r="H833" t="s">
        <v>2806</v>
      </c>
      <c r="I833" t="s">
        <v>237</v>
      </c>
      <c r="J833" t="s">
        <v>238</v>
      </c>
      <c r="K833" t="s">
        <v>41</v>
      </c>
      <c r="L833" t="s">
        <v>66</v>
      </c>
      <c r="M833" t="s">
        <v>2588</v>
      </c>
      <c r="N833" t="s">
        <v>50</v>
      </c>
      <c r="O833">
        <v>9</v>
      </c>
      <c r="P833">
        <v>3462.7</v>
      </c>
      <c r="Q833" s="6">
        <v>0.15</v>
      </c>
      <c r="R833" s="8">
        <f t="shared" si="48"/>
        <v>0.15</v>
      </c>
      <c r="S833">
        <v>26489.65</v>
      </c>
      <c r="T833">
        <v>15818.46</v>
      </c>
      <c r="U833">
        <v>10671.19</v>
      </c>
      <c r="V833" t="s">
        <v>155</v>
      </c>
      <c r="W833" t="s">
        <v>103</v>
      </c>
      <c r="X833" t="str">
        <f t="shared" si="51"/>
        <v>EXCLUDE: Failed payment</v>
      </c>
      <c r="Y833" t="str">
        <f t="shared" si="49"/>
        <v>Exclude</v>
      </c>
    </row>
    <row r="834" spans="1:25">
      <c r="A834" t="s">
        <v>2589</v>
      </c>
      <c r="B834" s="3">
        <v>45803</v>
      </c>
      <c r="C834" s="3">
        <v>45805</v>
      </c>
      <c r="D834" s="6">
        <f t="shared" si="50"/>
        <v>2</v>
      </c>
      <c r="E834" t="s">
        <v>2590</v>
      </c>
      <c r="F834" t="s">
        <v>265</v>
      </c>
      <c r="G834" s="5" t="s">
        <v>37</v>
      </c>
      <c r="H834" t="s">
        <v>54</v>
      </c>
      <c r="I834" t="s">
        <v>84</v>
      </c>
      <c r="J834" t="s">
        <v>85</v>
      </c>
      <c r="K834" t="s">
        <v>74</v>
      </c>
      <c r="L834" t="s">
        <v>171</v>
      </c>
      <c r="M834" t="s">
        <v>2591</v>
      </c>
      <c r="N834" t="s">
        <v>31</v>
      </c>
      <c r="O834">
        <v>9</v>
      </c>
      <c r="P834">
        <v>4302.0200000000004</v>
      </c>
      <c r="Q834" s="6">
        <v>0.05</v>
      </c>
      <c r="R834" s="8">
        <f t="shared" ref="R834:R897" si="52">IF(ISBLANK(Q834),IF(AND(ISNUMBER(O834),O834&gt;0,ISNUMBER(P834),ISNUMBER(S834),ISNUMBER(T834),ISNUMBER(U834)),0,""),Q834)</f>
        <v>0.05</v>
      </c>
      <c r="S834">
        <v>36782.269999999997</v>
      </c>
      <c r="T834">
        <v>25902.81</v>
      </c>
      <c r="U834">
        <v>10879.46</v>
      </c>
      <c r="V834" t="s">
        <v>32</v>
      </c>
      <c r="W834" t="s">
        <v>33</v>
      </c>
      <c r="X834" t="str">
        <f t="shared" si="51"/>
        <v/>
      </c>
      <c r="Y834" t="str">
        <f t="shared" ref="Y834:Y897" si="53">IF(AND(U834="Completed",T834="Paid",ISERROR(SEARCH("INVALID",W834))),"Include","Exclude")</f>
        <v>Exclude</v>
      </c>
    </row>
    <row r="835" spans="1:25">
      <c r="A835" t="s">
        <v>2592</v>
      </c>
      <c r="B835" s="3">
        <v>45447</v>
      </c>
      <c r="C835" s="3">
        <v>45388</v>
      </c>
      <c r="D835" s="6">
        <f t="shared" ref="D835:D898" si="54">IF(OR(B835="",C835=""),"",C835-B835)</f>
        <v>-59</v>
      </c>
      <c r="E835" t="s">
        <v>2593</v>
      </c>
      <c r="F835" t="s">
        <v>118</v>
      </c>
      <c r="G835" s="5" t="s">
        <v>95</v>
      </c>
      <c r="H835" t="s">
        <v>38</v>
      </c>
      <c r="I835" t="s">
        <v>99</v>
      </c>
      <c r="J835" t="s">
        <v>100</v>
      </c>
      <c r="K835" t="s">
        <v>41</v>
      </c>
      <c r="L835" t="s">
        <v>158</v>
      </c>
      <c r="M835" t="s">
        <v>2594</v>
      </c>
      <c r="N835" t="s">
        <v>50</v>
      </c>
      <c r="O835">
        <v>6</v>
      </c>
      <c r="P835">
        <v>3949.4</v>
      </c>
      <c r="Q835" s="6">
        <v>0</v>
      </c>
      <c r="R835" s="8">
        <f t="shared" si="52"/>
        <v>0</v>
      </c>
      <c r="S835">
        <v>23696.400000000001</v>
      </c>
      <c r="T835">
        <v>18109.77</v>
      </c>
      <c r="U835">
        <v>5586.63</v>
      </c>
      <c r="V835" t="s">
        <v>32</v>
      </c>
      <c r="W835" t="s">
        <v>33</v>
      </c>
      <c r="X835" t="str">
        <f t="shared" ref="X835:X898" si="55">_xlfn.TEXTJOIN("; ",TRUE,IF(R835&lt;0,"INVALID: Negative discount",""),IF(R835&gt;50%,"INVALID: Discount above range",""),IF(D835&lt;0,"INVALID: Ship date before order date",""),IF(W835="Cancelled","EXCLUDE: Cancelled order",""),IF(V835="Failed","EXCLUDE: Failed payment",""),IF(V835="Refunded","REFUND: Summarize separately",""))</f>
        <v>INVALID: Ship date before order date</v>
      </c>
      <c r="Y835" t="str">
        <f t="shared" si="53"/>
        <v>Exclude</v>
      </c>
    </row>
    <row r="836" spans="1:25">
      <c r="A836" t="s">
        <v>2595</v>
      </c>
      <c r="B836" s="3">
        <v>45583</v>
      </c>
      <c r="C836" s="3">
        <v>45587</v>
      </c>
      <c r="D836" s="6">
        <f t="shared" si="54"/>
        <v>4</v>
      </c>
      <c r="E836" t="s">
        <v>2596</v>
      </c>
      <c r="F836" t="s">
        <v>128</v>
      </c>
      <c r="G836" s="5" t="s">
        <v>95</v>
      </c>
      <c r="H836" t="s">
        <v>54</v>
      </c>
      <c r="I836" t="s">
        <v>55</v>
      </c>
      <c r="J836" t="s">
        <v>56</v>
      </c>
      <c r="K836" t="s">
        <v>28</v>
      </c>
      <c r="L836" t="s">
        <v>48</v>
      </c>
      <c r="M836" t="s">
        <v>2597</v>
      </c>
      <c r="N836" t="s">
        <v>50</v>
      </c>
      <c r="O836">
        <v>6</v>
      </c>
      <c r="P836">
        <v>674.61</v>
      </c>
      <c r="Q836" s="6">
        <v>0</v>
      </c>
      <c r="R836" s="8">
        <f t="shared" si="52"/>
        <v>0</v>
      </c>
      <c r="S836">
        <v>4047.66</v>
      </c>
      <c r="T836">
        <v>3078.93</v>
      </c>
      <c r="U836">
        <v>1279.79</v>
      </c>
      <c r="V836" t="s">
        <v>32</v>
      </c>
      <c r="W836" t="s">
        <v>33</v>
      </c>
      <c r="X836" t="str">
        <f t="shared" si="55"/>
        <v/>
      </c>
      <c r="Y836" t="str">
        <f t="shared" si="53"/>
        <v>Exclude</v>
      </c>
    </row>
    <row r="837" spans="1:25">
      <c r="A837" t="s">
        <v>2598</v>
      </c>
      <c r="B837" s="3">
        <v>45926</v>
      </c>
      <c r="C837" s="3">
        <v>45934</v>
      </c>
      <c r="D837" s="6">
        <f t="shared" si="54"/>
        <v>8</v>
      </c>
      <c r="E837" t="s">
        <v>2599</v>
      </c>
      <c r="F837" t="s">
        <v>114</v>
      </c>
      <c r="G837" s="5" t="s">
        <v>37</v>
      </c>
      <c r="H837" t="s">
        <v>38</v>
      </c>
      <c r="I837" t="s">
        <v>166</v>
      </c>
      <c r="J837" t="s">
        <v>167</v>
      </c>
      <c r="K837" t="s">
        <v>74</v>
      </c>
      <c r="L837" t="s">
        <v>171</v>
      </c>
      <c r="M837" t="s">
        <v>2600</v>
      </c>
      <c r="N837" t="s">
        <v>31</v>
      </c>
      <c r="O837">
        <v>7</v>
      </c>
      <c r="P837">
        <v>1509.59</v>
      </c>
      <c r="Q837" s="6">
        <v>0.05</v>
      </c>
      <c r="R837" s="8">
        <f t="shared" si="52"/>
        <v>0.05</v>
      </c>
      <c r="S837">
        <v>10038.77</v>
      </c>
      <c r="T837">
        <v>5673.1</v>
      </c>
      <c r="U837">
        <v>4365.67</v>
      </c>
      <c r="V837" t="s">
        <v>32</v>
      </c>
      <c r="W837" t="s">
        <v>33</v>
      </c>
      <c r="X837" t="str">
        <f t="shared" si="55"/>
        <v/>
      </c>
      <c r="Y837" t="str">
        <f t="shared" si="53"/>
        <v>Exclude</v>
      </c>
    </row>
    <row r="838" spans="1:25">
      <c r="A838" t="s">
        <v>2601</v>
      </c>
      <c r="B838" s="3">
        <v>45641</v>
      </c>
      <c r="C838" s="3">
        <v>45644</v>
      </c>
      <c r="D838" s="6">
        <f t="shared" si="54"/>
        <v>3</v>
      </c>
      <c r="E838" t="s">
        <v>2602</v>
      </c>
      <c r="F838" t="s">
        <v>47</v>
      </c>
      <c r="G838" s="5" t="s">
        <v>37</v>
      </c>
      <c r="H838" t="s">
        <v>25</v>
      </c>
      <c r="I838" t="s">
        <v>26</v>
      </c>
      <c r="J838" t="s">
        <v>27</v>
      </c>
      <c r="K838" t="s">
        <v>28</v>
      </c>
      <c r="L838" t="s">
        <v>91</v>
      </c>
      <c r="M838" t="s">
        <v>2603</v>
      </c>
      <c r="N838" t="s">
        <v>31</v>
      </c>
      <c r="O838">
        <v>2</v>
      </c>
      <c r="P838">
        <v>537.11</v>
      </c>
      <c r="Q838" s="6">
        <v>0</v>
      </c>
      <c r="R838" s="8">
        <f t="shared" si="52"/>
        <v>0</v>
      </c>
      <c r="S838">
        <v>1074.22</v>
      </c>
      <c r="T838">
        <v>850.86</v>
      </c>
      <c r="U838">
        <v>223.36</v>
      </c>
      <c r="V838" t="s">
        <v>32</v>
      </c>
      <c r="W838" t="s">
        <v>33</v>
      </c>
      <c r="X838" t="str">
        <f t="shared" si="55"/>
        <v/>
      </c>
      <c r="Y838" t="str">
        <f t="shared" si="53"/>
        <v>Exclude</v>
      </c>
    </row>
    <row r="839" spans="1:25">
      <c r="A839" t="s">
        <v>2604</v>
      </c>
      <c r="B839" s="3">
        <v>45927</v>
      </c>
      <c r="C839" s="3">
        <v>45928</v>
      </c>
      <c r="D839" s="6">
        <f t="shared" si="54"/>
        <v>1</v>
      </c>
      <c r="E839" t="s">
        <v>2605</v>
      </c>
      <c r="F839" t="s">
        <v>23</v>
      </c>
      <c r="G839" s="5" t="s">
        <v>95</v>
      </c>
      <c r="H839" t="s">
        <v>63</v>
      </c>
      <c r="I839" t="s">
        <v>64</v>
      </c>
      <c r="J839" t="s">
        <v>65</v>
      </c>
      <c r="K839" t="s">
        <v>28</v>
      </c>
      <c r="L839" t="s">
        <v>29</v>
      </c>
      <c r="M839" t="s">
        <v>2606</v>
      </c>
      <c r="N839" t="s">
        <v>50</v>
      </c>
      <c r="O839">
        <v>3</v>
      </c>
      <c r="P839">
        <v>4177.63</v>
      </c>
      <c r="Q839" s="6">
        <v>0.25</v>
      </c>
      <c r="R839" s="8">
        <f t="shared" si="52"/>
        <v>0.25</v>
      </c>
      <c r="S839">
        <v>9399.67</v>
      </c>
      <c r="T839">
        <v>6540.37</v>
      </c>
      <c r="U839">
        <v>2859.3</v>
      </c>
      <c r="V839" t="s">
        <v>32</v>
      </c>
      <c r="W839" t="s">
        <v>33</v>
      </c>
      <c r="X839" t="str">
        <f t="shared" si="55"/>
        <v/>
      </c>
      <c r="Y839" t="str">
        <f t="shared" si="53"/>
        <v>Exclude</v>
      </c>
    </row>
    <row r="840" spans="1:25">
      <c r="A840" t="s">
        <v>2607</v>
      </c>
      <c r="B840" s="3">
        <v>45720</v>
      </c>
      <c r="C840" s="3">
        <v>45842</v>
      </c>
      <c r="D840" s="6">
        <f t="shared" si="54"/>
        <v>122</v>
      </c>
      <c r="E840" t="s">
        <v>2608</v>
      </c>
      <c r="F840" t="s">
        <v>62</v>
      </c>
      <c r="G840" s="5" t="s">
        <v>37</v>
      </c>
      <c r="H840" t="s">
        <v>63</v>
      </c>
      <c r="I840" t="s">
        <v>190</v>
      </c>
      <c r="J840" t="s">
        <v>191</v>
      </c>
      <c r="K840" t="s">
        <v>28</v>
      </c>
      <c r="L840" t="s">
        <v>29</v>
      </c>
      <c r="M840" t="s">
        <v>2609</v>
      </c>
      <c r="N840" t="s">
        <v>44</v>
      </c>
      <c r="O840">
        <v>1</v>
      </c>
      <c r="P840">
        <v>1470.57</v>
      </c>
      <c r="Q840" s="6">
        <v>0</v>
      </c>
      <c r="R840" s="8">
        <f t="shared" si="52"/>
        <v>0</v>
      </c>
      <c r="S840">
        <v>1470.57</v>
      </c>
      <c r="T840">
        <v>834.02</v>
      </c>
      <c r="U840">
        <v>636.54999999999995</v>
      </c>
      <c r="V840" t="s">
        <v>32</v>
      </c>
      <c r="W840" t="s">
        <v>103</v>
      </c>
      <c r="X840" t="str">
        <f t="shared" si="55"/>
        <v/>
      </c>
      <c r="Y840" t="str">
        <f t="shared" si="53"/>
        <v>Exclude</v>
      </c>
    </row>
    <row r="841" spans="1:25">
      <c r="A841" t="s">
        <v>2610</v>
      </c>
      <c r="B841" s="3">
        <v>45555</v>
      </c>
      <c r="C841" s="3">
        <v>45557</v>
      </c>
      <c r="D841" s="6">
        <f t="shared" si="54"/>
        <v>2</v>
      </c>
      <c r="E841" t="s">
        <v>2611</v>
      </c>
      <c r="F841" t="s">
        <v>141</v>
      </c>
      <c r="G841" s="5" t="s">
        <v>95</v>
      </c>
      <c r="H841" t="s">
        <v>38</v>
      </c>
      <c r="I841" t="s">
        <v>39</v>
      </c>
      <c r="J841" t="s">
        <v>40</v>
      </c>
      <c r="K841" t="s">
        <v>74</v>
      </c>
      <c r="L841" t="s">
        <v>171</v>
      </c>
      <c r="M841" t="s">
        <v>2612</v>
      </c>
      <c r="N841" t="s">
        <v>59</v>
      </c>
      <c r="O841">
        <v>8</v>
      </c>
      <c r="P841">
        <v>531.42999999999995</v>
      </c>
      <c r="Q841" s="6">
        <v>0.1</v>
      </c>
      <c r="R841" s="8">
        <f t="shared" si="52"/>
        <v>0.1</v>
      </c>
      <c r="S841">
        <v>3826.3</v>
      </c>
      <c r="T841">
        <v>2194.12</v>
      </c>
      <c r="U841">
        <v>1632.18</v>
      </c>
      <c r="V841" t="s">
        <v>32</v>
      </c>
      <c r="W841" t="s">
        <v>33</v>
      </c>
      <c r="X841" t="str">
        <f t="shared" si="55"/>
        <v/>
      </c>
      <c r="Y841" t="str">
        <f t="shared" si="53"/>
        <v>Exclude</v>
      </c>
    </row>
    <row r="842" spans="1:25">
      <c r="A842" t="s">
        <v>2613</v>
      </c>
      <c r="B842" s="3">
        <v>45919</v>
      </c>
      <c r="C842" s="3">
        <v>45919</v>
      </c>
      <c r="D842" s="6">
        <f t="shared" si="54"/>
        <v>0</v>
      </c>
      <c r="E842" t="s">
        <v>2614</v>
      </c>
      <c r="F842" t="s">
        <v>79</v>
      </c>
      <c r="G842" s="5" t="s">
        <v>95</v>
      </c>
      <c r="H842" t="s">
        <v>25</v>
      </c>
      <c r="I842" t="s">
        <v>351</v>
      </c>
      <c r="J842" t="s">
        <v>352</v>
      </c>
      <c r="K842" t="s">
        <v>41</v>
      </c>
      <c r="L842" t="s">
        <v>66</v>
      </c>
      <c r="M842" t="s">
        <v>2615</v>
      </c>
      <c r="N842" t="s">
        <v>44</v>
      </c>
      <c r="O842">
        <v>4</v>
      </c>
      <c r="P842">
        <v>1584.11</v>
      </c>
      <c r="Q842" s="6">
        <v>0</v>
      </c>
      <c r="R842" s="8">
        <f t="shared" si="52"/>
        <v>0</v>
      </c>
      <c r="S842">
        <v>6336.44</v>
      </c>
      <c r="T842">
        <v>4680.68</v>
      </c>
      <c r="U842">
        <v>1655.76</v>
      </c>
      <c r="V842" t="s">
        <v>32</v>
      </c>
      <c r="W842" t="s">
        <v>33</v>
      </c>
      <c r="X842" t="str">
        <f t="shared" si="55"/>
        <v/>
      </c>
      <c r="Y842" t="str">
        <f t="shared" si="53"/>
        <v>Exclude</v>
      </c>
    </row>
    <row r="843" spans="1:25">
      <c r="A843" t="s">
        <v>2616</v>
      </c>
      <c r="B843" s="3">
        <v>45694</v>
      </c>
      <c r="C843" s="3">
        <v>45993</v>
      </c>
      <c r="D843" s="6">
        <f t="shared" si="54"/>
        <v>299</v>
      </c>
      <c r="E843" t="s">
        <v>2617</v>
      </c>
      <c r="F843" t="s">
        <v>62</v>
      </c>
      <c r="G843" s="5" t="s">
        <v>37</v>
      </c>
      <c r="H843" t="s">
        <v>38</v>
      </c>
      <c r="I843" t="s">
        <v>145</v>
      </c>
      <c r="J843" t="s">
        <v>146</v>
      </c>
      <c r="K843" t="s">
        <v>28</v>
      </c>
      <c r="L843" t="s">
        <v>48</v>
      </c>
      <c r="M843" t="s">
        <v>2618</v>
      </c>
      <c r="N843" t="s">
        <v>59</v>
      </c>
      <c r="O843">
        <v>9</v>
      </c>
      <c r="P843">
        <v>3237.16</v>
      </c>
      <c r="Q843" s="6">
        <v>0.25</v>
      </c>
      <c r="R843" s="8">
        <f t="shared" si="52"/>
        <v>0.25</v>
      </c>
      <c r="S843">
        <v>21850.83</v>
      </c>
      <c r="T843">
        <v>16600.13</v>
      </c>
      <c r="U843">
        <v>5250.7</v>
      </c>
      <c r="V843" t="s">
        <v>32</v>
      </c>
      <c r="W843" t="s">
        <v>33</v>
      </c>
      <c r="X843" t="str">
        <f t="shared" si="55"/>
        <v/>
      </c>
      <c r="Y843" t="str">
        <f t="shared" si="53"/>
        <v>Exclude</v>
      </c>
    </row>
    <row r="844" spans="1:25">
      <c r="A844" t="s">
        <v>2619</v>
      </c>
      <c r="B844" s="3">
        <v>45382</v>
      </c>
      <c r="C844" s="3">
        <v>45381</v>
      </c>
      <c r="D844" s="6">
        <f t="shared" si="54"/>
        <v>-1</v>
      </c>
      <c r="E844" t="s">
        <v>2620</v>
      </c>
      <c r="F844" t="s">
        <v>265</v>
      </c>
      <c r="G844" s="5" t="s">
        <v>24</v>
      </c>
      <c r="H844" t="s">
        <v>25</v>
      </c>
      <c r="I844" t="s">
        <v>237</v>
      </c>
      <c r="J844" t="s">
        <v>238</v>
      </c>
      <c r="K844" t="s">
        <v>74</v>
      </c>
      <c r="L844" t="s">
        <v>275</v>
      </c>
      <c r="M844" t="s">
        <v>2621</v>
      </c>
      <c r="N844" t="s">
        <v>50</v>
      </c>
      <c r="O844">
        <v>4</v>
      </c>
      <c r="P844">
        <v>2192.08</v>
      </c>
      <c r="Q844" s="6">
        <v>0.15</v>
      </c>
      <c r="R844" s="8">
        <f t="shared" si="52"/>
        <v>0.15</v>
      </c>
      <c r="S844">
        <v>7453.07</v>
      </c>
      <c r="T844">
        <v>5133.78</v>
      </c>
      <c r="U844">
        <v>2319.29</v>
      </c>
      <c r="V844" t="s">
        <v>32</v>
      </c>
      <c r="W844" t="s">
        <v>103</v>
      </c>
      <c r="X844" t="str">
        <f t="shared" si="55"/>
        <v>INVALID: Ship date before order date</v>
      </c>
      <c r="Y844" t="str">
        <f t="shared" si="53"/>
        <v>Exclude</v>
      </c>
    </row>
    <row r="845" spans="1:25">
      <c r="A845" t="s">
        <v>2622</v>
      </c>
      <c r="B845" s="3">
        <v>45856</v>
      </c>
      <c r="C845" s="3">
        <v>45863</v>
      </c>
      <c r="D845" s="6">
        <f t="shared" si="54"/>
        <v>7</v>
      </c>
      <c r="E845" t="s">
        <v>2623</v>
      </c>
      <c r="F845" t="s">
        <v>114</v>
      </c>
      <c r="G845" s="5" t="s">
        <v>37</v>
      </c>
      <c r="H845" t="s">
        <v>25</v>
      </c>
      <c r="I845" t="s">
        <v>136</v>
      </c>
      <c r="J845" t="s">
        <v>137</v>
      </c>
      <c r="K845" t="s">
        <v>74</v>
      </c>
      <c r="L845" t="s">
        <v>171</v>
      </c>
      <c r="M845" t="s">
        <v>2624</v>
      </c>
      <c r="N845" t="s">
        <v>50</v>
      </c>
      <c r="O845">
        <v>9</v>
      </c>
      <c r="P845">
        <v>3989.52</v>
      </c>
      <c r="Q845" s="6">
        <v>-0.02</v>
      </c>
      <c r="R845" s="8">
        <f t="shared" si="52"/>
        <v>-0.02</v>
      </c>
      <c r="S845">
        <v>35905.68</v>
      </c>
      <c r="T845">
        <v>23916.1</v>
      </c>
      <c r="U845">
        <v>11989.58</v>
      </c>
      <c r="V845" t="s">
        <v>32</v>
      </c>
      <c r="W845" t="s">
        <v>33</v>
      </c>
      <c r="X845" t="str">
        <f t="shared" si="55"/>
        <v>INVALID: Negative discount</v>
      </c>
      <c r="Y845" t="str">
        <f t="shared" si="53"/>
        <v>Exclude</v>
      </c>
    </row>
    <row r="846" spans="1:25">
      <c r="A846" t="s">
        <v>2625</v>
      </c>
      <c r="B846" s="3">
        <v>45677</v>
      </c>
      <c r="C846" s="3">
        <v>45682</v>
      </c>
      <c r="D846" s="6">
        <f t="shared" si="54"/>
        <v>5</v>
      </c>
      <c r="E846" t="s">
        <v>2626</v>
      </c>
      <c r="F846" t="s">
        <v>89</v>
      </c>
      <c r="G846" s="5" t="s">
        <v>95</v>
      </c>
      <c r="H846" t="s">
        <v>63</v>
      </c>
      <c r="I846" t="s">
        <v>190</v>
      </c>
      <c r="J846" t="s">
        <v>191</v>
      </c>
      <c r="K846" t="s">
        <v>28</v>
      </c>
      <c r="L846" t="s">
        <v>48</v>
      </c>
      <c r="M846" t="s">
        <v>2627</v>
      </c>
      <c r="N846" t="s">
        <v>50</v>
      </c>
      <c r="O846">
        <v>1</v>
      </c>
      <c r="P846">
        <v>3515.15</v>
      </c>
      <c r="Q846" s="6">
        <v>0</v>
      </c>
      <c r="R846" s="8">
        <f t="shared" si="52"/>
        <v>0</v>
      </c>
      <c r="S846">
        <v>3515.15</v>
      </c>
      <c r="T846">
        <v>2216.34</v>
      </c>
      <c r="U846">
        <v>1298.81</v>
      </c>
      <c r="V846" t="s">
        <v>32</v>
      </c>
      <c r="W846" t="s">
        <v>33</v>
      </c>
      <c r="X846" t="str">
        <f t="shared" si="55"/>
        <v/>
      </c>
      <c r="Y846" t="str">
        <f t="shared" si="53"/>
        <v>Exclude</v>
      </c>
    </row>
    <row r="847" spans="1:25">
      <c r="A847" t="s">
        <v>2628</v>
      </c>
      <c r="B847" s="3">
        <v>45345</v>
      </c>
      <c r="C847" s="3">
        <v>45349</v>
      </c>
      <c r="D847" s="6">
        <f t="shared" si="54"/>
        <v>4</v>
      </c>
      <c r="E847" t="s">
        <v>595</v>
      </c>
      <c r="F847" t="s">
        <v>23</v>
      </c>
      <c r="G847" s="5" t="s">
        <v>24</v>
      </c>
      <c r="H847" t="s">
        <v>38</v>
      </c>
      <c r="I847" t="s">
        <v>39</v>
      </c>
      <c r="J847" t="s">
        <v>40</v>
      </c>
      <c r="K847" t="s">
        <v>41</v>
      </c>
      <c r="L847" t="s">
        <v>42</v>
      </c>
      <c r="M847" t="s">
        <v>2629</v>
      </c>
      <c r="N847" t="s">
        <v>50</v>
      </c>
      <c r="O847">
        <v>9</v>
      </c>
      <c r="P847">
        <v>3616.23</v>
      </c>
      <c r="Q847" s="6">
        <v>0.25</v>
      </c>
      <c r="R847" s="8">
        <f t="shared" si="52"/>
        <v>0.25</v>
      </c>
      <c r="S847">
        <v>24409.55</v>
      </c>
      <c r="T847">
        <v>17157.580000000002</v>
      </c>
      <c r="U847">
        <v>7251.97</v>
      </c>
      <c r="V847" t="s">
        <v>111</v>
      </c>
      <c r="W847" t="s">
        <v>103</v>
      </c>
      <c r="X847" t="str">
        <f t="shared" si="55"/>
        <v/>
      </c>
      <c r="Y847" t="str">
        <f t="shared" si="53"/>
        <v>Exclude</v>
      </c>
    </row>
    <row r="848" spans="1:25">
      <c r="A848" t="s">
        <v>2630</v>
      </c>
      <c r="B848" s="3">
        <v>45396</v>
      </c>
      <c r="C848" s="3">
        <v>45404</v>
      </c>
      <c r="D848" s="6">
        <f t="shared" si="54"/>
        <v>8</v>
      </c>
      <c r="E848" t="s">
        <v>2631</v>
      </c>
      <c r="F848" t="s">
        <v>114</v>
      </c>
      <c r="G848" s="5" t="s">
        <v>37</v>
      </c>
      <c r="H848" t="s">
        <v>63</v>
      </c>
      <c r="I848" t="s">
        <v>180</v>
      </c>
      <c r="J848" t="s">
        <v>181</v>
      </c>
      <c r="K848" t="s">
        <v>41</v>
      </c>
      <c r="L848" t="s">
        <v>158</v>
      </c>
      <c r="M848" t="s">
        <v>2632</v>
      </c>
      <c r="N848" t="s">
        <v>59</v>
      </c>
      <c r="O848">
        <v>2</v>
      </c>
      <c r="P848">
        <v>3977.52</v>
      </c>
      <c r="Q848" s="6">
        <v>0</v>
      </c>
      <c r="R848" s="8">
        <f t="shared" si="52"/>
        <v>0</v>
      </c>
      <c r="S848">
        <v>7955.04</v>
      </c>
      <c r="T848">
        <v>5580.68</v>
      </c>
      <c r="U848">
        <v>2374.36</v>
      </c>
      <c r="V848" t="s">
        <v>111</v>
      </c>
      <c r="W848" t="s">
        <v>103</v>
      </c>
      <c r="X848" t="str">
        <f t="shared" si="55"/>
        <v/>
      </c>
      <c r="Y848" t="str">
        <f t="shared" si="53"/>
        <v>Exclude</v>
      </c>
    </row>
    <row r="849" spans="1:25">
      <c r="A849" t="s">
        <v>2633</v>
      </c>
      <c r="B849" s="3">
        <v>45797</v>
      </c>
      <c r="C849" s="3">
        <v>45799</v>
      </c>
      <c r="D849" s="6">
        <f t="shared" si="54"/>
        <v>2</v>
      </c>
      <c r="E849" t="s">
        <v>2634</v>
      </c>
      <c r="F849" t="s">
        <v>162</v>
      </c>
      <c r="G849" s="5" t="s">
        <v>95</v>
      </c>
      <c r="H849" t="s">
        <v>38</v>
      </c>
      <c r="I849" t="s">
        <v>39</v>
      </c>
      <c r="J849" t="s">
        <v>40</v>
      </c>
      <c r="K849" t="s">
        <v>41</v>
      </c>
      <c r="L849" t="s">
        <v>42</v>
      </c>
      <c r="M849" t="s">
        <v>2635</v>
      </c>
      <c r="N849" t="s">
        <v>31</v>
      </c>
      <c r="O849">
        <v>2</v>
      </c>
      <c r="P849">
        <v>210.08</v>
      </c>
      <c r="Q849" s="6">
        <v>0.2</v>
      </c>
      <c r="R849" s="8">
        <f t="shared" si="52"/>
        <v>0.2</v>
      </c>
      <c r="S849">
        <v>336.13</v>
      </c>
      <c r="T849">
        <v>242.19</v>
      </c>
      <c r="U849">
        <v>93.94</v>
      </c>
      <c r="V849" t="s">
        <v>32</v>
      </c>
      <c r="W849" t="s">
        <v>33</v>
      </c>
      <c r="X849" t="str">
        <f t="shared" si="55"/>
        <v/>
      </c>
      <c r="Y849" t="str">
        <f t="shared" si="53"/>
        <v>Exclude</v>
      </c>
    </row>
    <row r="850" spans="1:25">
      <c r="A850" t="s">
        <v>2636</v>
      </c>
      <c r="B850" s="3">
        <v>45804</v>
      </c>
      <c r="C850" s="3">
        <v>45806</v>
      </c>
      <c r="D850" s="6">
        <f t="shared" si="54"/>
        <v>2</v>
      </c>
      <c r="E850" t="s">
        <v>2637</v>
      </c>
      <c r="F850" t="s">
        <v>118</v>
      </c>
      <c r="G850" s="5" t="s">
        <v>95</v>
      </c>
      <c r="H850" t="s">
        <v>54</v>
      </c>
      <c r="I850" t="s">
        <v>248</v>
      </c>
      <c r="J850" t="s">
        <v>249</v>
      </c>
      <c r="K850" t="s">
        <v>41</v>
      </c>
      <c r="L850" t="s">
        <v>57</v>
      </c>
      <c r="M850" t="s">
        <v>2638</v>
      </c>
      <c r="N850" t="s">
        <v>31</v>
      </c>
      <c r="O850">
        <v>1</v>
      </c>
      <c r="P850">
        <v>1744.35</v>
      </c>
      <c r="Q850" s="6">
        <v>0.25</v>
      </c>
      <c r="R850" s="8">
        <f t="shared" si="52"/>
        <v>0.25</v>
      </c>
      <c r="S850">
        <v>1308.26</v>
      </c>
      <c r="T850">
        <v>1083.56</v>
      </c>
      <c r="U850">
        <v>224.7</v>
      </c>
      <c r="V850" t="s">
        <v>32</v>
      </c>
      <c r="W850" t="s">
        <v>33</v>
      </c>
      <c r="X850" t="str">
        <f t="shared" si="55"/>
        <v/>
      </c>
      <c r="Y850" t="str">
        <f t="shared" si="53"/>
        <v>Exclude</v>
      </c>
    </row>
    <row r="851" spans="1:25">
      <c r="A851" t="s">
        <v>2639</v>
      </c>
      <c r="B851" s="3">
        <v>45357</v>
      </c>
      <c r="C851" s="3">
        <v>45363</v>
      </c>
      <c r="D851" s="6">
        <f t="shared" si="54"/>
        <v>6</v>
      </c>
      <c r="E851" t="s">
        <v>2640</v>
      </c>
      <c r="F851" t="s">
        <v>47</v>
      </c>
      <c r="G851" s="5" t="s">
        <v>95</v>
      </c>
      <c r="H851" t="s">
        <v>63</v>
      </c>
      <c r="I851" t="s">
        <v>180</v>
      </c>
      <c r="J851" t="s">
        <v>181</v>
      </c>
      <c r="K851" t="s">
        <v>41</v>
      </c>
      <c r="L851" t="s">
        <v>158</v>
      </c>
      <c r="M851" t="s">
        <v>2641</v>
      </c>
      <c r="N851" t="s">
        <v>59</v>
      </c>
      <c r="O851">
        <v>3</v>
      </c>
      <c r="P851">
        <v>679.63</v>
      </c>
      <c r="Q851" s="6">
        <v>0.2</v>
      </c>
      <c r="R851" s="8">
        <f t="shared" si="52"/>
        <v>0.2</v>
      </c>
      <c r="S851">
        <v>1631.11</v>
      </c>
      <c r="T851">
        <v>898.73</v>
      </c>
      <c r="U851">
        <v>396.58</v>
      </c>
      <c r="V851" t="s">
        <v>32</v>
      </c>
      <c r="W851" t="s">
        <v>33</v>
      </c>
      <c r="X851" t="str">
        <f t="shared" si="55"/>
        <v/>
      </c>
      <c r="Y851" t="str">
        <f t="shared" si="53"/>
        <v>Exclude</v>
      </c>
    </row>
    <row r="852" spans="1:25">
      <c r="A852" t="s">
        <v>2642</v>
      </c>
      <c r="B852" s="3">
        <v>45473</v>
      </c>
      <c r="C852" s="3">
        <v>45358</v>
      </c>
      <c r="D852" s="6">
        <f t="shared" si="54"/>
        <v>-115</v>
      </c>
      <c r="E852" t="s">
        <v>2643</v>
      </c>
      <c r="F852" t="s">
        <v>114</v>
      </c>
      <c r="G852" s="5" t="s">
        <v>95</v>
      </c>
      <c r="H852" t="s">
        <v>38</v>
      </c>
      <c r="I852" t="s">
        <v>99</v>
      </c>
      <c r="J852" t="s">
        <v>100</v>
      </c>
      <c r="K852" t="s">
        <v>28</v>
      </c>
      <c r="L852" t="s">
        <v>29</v>
      </c>
      <c r="M852" t="s">
        <v>2644</v>
      </c>
      <c r="N852" t="s">
        <v>50</v>
      </c>
      <c r="O852">
        <v>6</v>
      </c>
      <c r="P852">
        <v>1211.01</v>
      </c>
      <c r="Q852" s="6">
        <v>0</v>
      </c>
      <c r="R852" s="8">
        <f t="shared" si="52"/>
        <v>0</v>
      </c>
      <c r="S852">
        <v>7266.06</v>
      </c>
      <c r="T852">
        <v>6216.89</v>
      </c>
      <c r="U852">
        <v>1049.17</v>
      </c>
      <c r="V852" t="s">
        <v>32</v>
      </c>
      <c r="W852" t="s">
        <v>33</v>
      </c>
      <c r="X852" t="str">
        <f t="shared" si="55"/>
        <v>INVALID: Ship date before order date</v>
      </c>
      <c r="Y852" t="str">
        <f t="shared" si="53"/>
        <v>Exclude</v>
      </c>
    </row>
    <row r="853" spans="1:25">
      <c r="A853" t="s">
        <v>2645</v>
      </c>
      <c r="B853" s="3">
        <v>45377</v>
      </c>
      <c r="C853" s="3">
        <v>45295</v>
      </c>
      <c r="D853" s="6">
        <f t="shared" si="54"/>
        <v>-82</v>
      </c>
      <c r="E853" t="s">
        <v>2646</v>
      </c>
      <c r="F853" t="s">
        <v>23</v>
      </c>
      <c r="G853" s="5" t="s">
        <v>37</v>
      </c>
      <c r="H853" t="s">
        <v>63</v>
      </c>
      <c r="I853" t="s">
        <v>180</v>
      </c>
      <c r="J853" t="s">
        <v>181</v>
      </c>
      <c r="K853" t="s">
        <v>74</v>
      </c>
      <c r="L853" t="s">
        <v>75</v>
      </c>
      <c r="M853" t="s">
        <v>2647</v>
      </c>
      <c r="N853" t="s">
        <v>50</v>
      </c>
      <c r="O853">
        <v>2</v>
      </c>
      <c r="P853">
        <v>1161.3</v>
      </c>
      <c r="Q853" s="6">
        <v>0.2</v>
      </c>
      <c r="R853" s="8">
        <f t="shared" si="52"/>
        <v>0.2</v>
      </c>
      <c r="S853">
        <v>1858.08</v>
      </c>
      <c r="T853">
        <v>1590.75</v>
      </c>
      <c r="U853">
        <v>267.33</v>
      </c>
      <c r="V853" t="s">
        <v>32</v>
      </c>
      <c r="W853" t="s">
        <v>33</v>
      </c>
      <c r="X853" t="str">
        <f t="shared" si="55"/>
        <v>INVALID: Ship date before order date</v>
      </c>
      <c r="Y853" t="str">
        <f t="shared" si="53"/>
        <v>Exclude</v>
      </c>
    </row>
    <row r="854" spans="1:25">
      <c r="A854" t="s">
        <v>2648</v>
      </c>
      <c r="B854" s="3">
        <v>45383</v>
      </c>
      <c r="C854" s="3">
        <v>45390</v>
      </c>
      <c r="D854" s="6">
        <f t="shared" si="54"/>
        <v>7</v>
      </c>
      <c r="E854" t="s">
        <v>2649</v>
      </c>
      <c r="F854" t="s">
        <v>62</v>
      </c>
      <c r="G854" s="5" t="s">
        <v>24</v>
      </c>
      <c r="H854" t="s">
        <v>38</v>
      </c>
      <c r="I854" t="s">
        <v>166</v>
      </c>
      <c r="J854" t="s">
        <v>167</v>
      </c>
      <c r="K854" t="s">
        <v>41</v>
      </c>
      <c r="L854" t="s">
        <v>42</v>
      </c>
      <c r="M854" t="s">
        <v>2650</v>
      </c>
      <c r="N854" t="s">
        <v>31</v>
      </c>
      <c r="O854">
        <v>7</v>
      </c>
      <c r="P854">
        <v>4205.3500000000004</v>
      </c>
      <c r="Q854" s="6">
        <v>0.15</v>
      </c>
      <c r="R854" s="8">
        <f t="shared" si="52"/>
        <v>0.15</v>
      </c>
      <c r="S854">
        <v>25021.83</v>
      </c>
      <c r="T854">
        <v>15544.44</v>
      </c>
      <c r="U854">
        <v>9477.39</v>
      </c>
      <c r="V854" t="s">
        <v>111</v>
      </c>
      <c r="W854" t="s">
        <v>68</v>
      </c>
      <c r="X854" t="str">
        <f t="shared" si="55"/>
        <v>EXCLUDE: Cancelled order</v>
      </c>
      <c r="Y854" t="str">
        <f t="shared" si="53"/>
        <v>Exclude</v>
      </c>
    </row>
    <row r="855" spans="1:25">
      <c r="A855" t="s">
        <v>2651</v>
      </c>
      <c r="B855" s="3">
        <v>45793</v>
      </c>
      <c r="C855" s="3">
        <v>45799</v>
      </c>
      <c r="D855" s="6">
        <f t="shared" si="54"/>
        <v>6</v>
      </c>
      <c r="E855" t="s">
        <v>2652</v>
      </c>
      <c r="F855" t="s">
        <v>53</v>
      </c>
      <c r="G855" s="5" t="s">
        <v>90</v>
      </c>
      <c r="H855" t="s">
        <v>54</v>
      </c>
      <c r="I855" t="s">
        <v>248</v>
      </c>
      <c r="J855" t="s">
        <v>249</v>
      </c>
      <c r="K855" t="s">
        <v>74</v>
      </c>
      <c r="L855" t="s">
        <v>75</v>
      </c>
      <c r="M855" t="s">
        <v>2653</v>
      </c>
      <c r="N855" t="s">
        <v>44</v>
      </c>
      <c r="O855">
        <v>8</v>
      </c>
      <c r="P855">
        <v>579.79999999999995</v>
      </c>
      <c r="Q855" s="6">
        <v>0.2</v>
      </c>
      <c r="R855" s="8">
        <f t="shared" si="52"/>
        <v>0.2</v>
      </c>
      <c r="S855">
        <v>3710.72</v>
      </c>
      <c r="T855">
        <v>3115.29</v>
      </c>
      <c r="U855">
        <v>595.42999999999995</v>
      </c>
      <c r="V855" t="s">
        <v>32</v>
      </c>
      <c r="W855" t="s">
        <v>33</v>
      </c>
      <c r="X855" t="str">
        <f t="shared" si="55"/>
        <v/>
      </c>
      <c r="Y855" t="str">
        <f t="shared" si="53"/>
        <v>Exclude</v>
      </c>
    </row>
    <row r="856" spans="1:25">
      <c r="A856" t="s">
        <v>2654</v>
      </c>
      <c r="B856" s="3">
        <v>45741</v>
      </c>
      <c r="C856" s="3">
        <v>45692</v>
      </c>
      <c r="D856" s="6">
        <f t="shared" si="54"/>
        <v>-49</v>
      </c>
      <c r="E856" t="s">
        <v>2655</v>
      </c>
      <c r="F856" t="s">
        <v>114</v>
      </c>
      <c r="G856" s="5" t="s">
        <v>24</v>
      </c>
      <c r="H856" t="s">
        <v>54</v>
      </c>
      <c r="I856" t="s">
        <v>175</v>
      </c>
      <c r="J856" t="s">
        <v>176</v>
      </c>
      <c r="K856" t="s">
        <v>41</v>
      </c>
      <c r="L856" t="s">
        <v>158</v>
      </c>
      <c r="M856" t="s">
        <v>2656</v>
      </c>
      <c r="N856" t="s">
        <v>31</v>
      </c>
      <c r="O856">
        <v>4</v>
      </c>
      <c r="P856">
        <v>2233.64</v>
      </c>
      <c r="Q856" s="6">
        <v>0.05</v>
      </c>
      <c r="R856" s="8">
        <f t="shared" si="52"/>
        <v>0.05</v>
      </c>
      <c r="S856">
        <v>8487.83</v>
      </c>
      <c r="T856">
        <v>5245.72</v>
      </c>
      <c r="U856">
        <v>3242.11</v>
      </c>
      <c r="V856" t="s">
        <v>32</v>
      </c>
      <c r="W856" t="s">
        <v>33</v>
      </c>
      <c r="X856" t="str">
        <f t="shared" si="55"/>
        <v>INVALID: Ship date before order date</v>
      </c>
      <c r="Y856" t="str">
        <f t="shared" si="53"/>
        <v>Exclude</v>
      </c>
    </row>
    <row r="857" spans="1:25">
      <c r="A857" t="s">
        <v>2657</v>
      </c>
      <c r="B857" s="3">
        <v>45498</v>
      </c>
      <c r="C857" s="3">
        <v>45330</v>
      </c>
      <c r="D857" s="6">
        <f t="shared" si="54"/>
        <v>-168</v>
      </c>
      <c r="E857" t="s">
        <v>1130</v>
      </c>
      <c r="F857" t="s">
        <v>118</v>
      </c>
      <c r="G857" s="5" t="s">
        <v>24</v>
      </c>
      <c r="H857" t="s">
        <v>25</v>
      </c>
      <c r="I857" t="s">
        <v>26</v>
      </c>
      <c r="J857" t="s">
        <v>27</v>
      </c>
      <c r="K857" t="s">
        <v>28</v>
      </c>
      <c r="L857" t="s">
        <v>2658</v>
      </c>
      <c r="M857" t="s">
        <v>2659</v>
      </c>
      <c r="N857" t="s">
        <v>31</v>
      </c>
      <c r="O857">
        <v>2</v>
      </c>
      <c r="P857">
        <v>2073.5300000000002</v>
      </c>
      <c r="Q857" s="6">
        <v>0.25</v>
      </c>
      <c r="R857" s="8">
        <f t="shared" si="52"/>
        <v>0.25</v>
      </c>
      <c r="S857">
        <v>3110.3</v>
      </c>
      <c r="T857">
        <v>2101.0300000000002</v>
      </c>
      <c r="U857">
        <v>1009.27</v>
      </c>
      <c r="V857" t="s">
        <v>32</v>
      </c>
      <c r="W857" t="s">
        <v>33</v>
      </c>
      <c r="X857" t="str">
        <f t="shared" si="55"/>
        <v>INVALID: Ship date before order date</v>
      </c>
      <c r="Y857" t="str">
        <f t="shared" si="53"/>
        <v>Exclude</v>
      </c>
    </row>
    <row r="858" spans="1:25">
      <c r="A858" t="s">
        <v>2660</v>
      </c>
      <c r="B858" s="3">
        <v>45455</v>
      </c>
      <c r="C858" s="3">
        <v>45462</v>
      </c>
      <c r="D858" s="6">
        <f t="shared" si="54"/>
        <v>7</v>
      </c>
      <c r="E858" t="s">
        <v>1310</v>
      </c>
      <c r="F858" t="s">
        <v>141</v>
      </c>
      <c r="G858" s="5" t="s">
        <v>95</v>
      </c>
      <c r="H858" t="s">
        <v>54</v>
      </c>
      <c r="I858" t="s">
        <v>248</v>
      </c>
      <c r="J858" t="s">
        <v>249</v>
      </c>
      <c r="K858" t="s">
        <v>28</v>
      </c>
      <c r="L858" t="s">
        <v>124</v>
      </c>
      <c r="M858" t="s">
        <v>2661</v>
      </c>
      <c r="N858" t="s">
        <v>59</v>
      </c>
      <c r="O858">
        <v>4</v>
      </c>
      <c r="P858">
        <v>395.1</v>
      </c>
      <c r="Q858" s="6">
        <v>-0.16</v>
      </c>
      <c r="R858" s="8">
        <f t="shared" si="52"/>
        <v>-0.16</v>
      </c>
      <c r="S858">
        <v>1185.3</v>
      </c>
      <c r="T858">
        <v>966.55</v>
      </c>
      <c r="U858">
        <v>218.75</v>
      </c>
      <c r="V858" t="s">
        <v>155</v>
      </c>
      <c r="W858" t="s">
        <v>68</v>
      </c>
      <c r="X858" t="str">
        <f t="shared" si="55"/>
        <v>INVALID: Negative discount; EXCLUDE: Cancelled order; EXCLUDE: Failed payment</v>
      </c>
      <c r="Y858" t="str">
        <f t="shared" si="53"/>
        <v>Exclude</v>
      </c>
    </row>
    <row r="859" spans="1:25">
      <c r="A859" t="s">
        <v>2662</v>
      </c>
      <c r="B859" s="3">
        <v>45447</v>
      </c>
      <c r="C859" s="3">
        <v>45447</v>
      </c>
      <c r="D859" s="6">
        <f t="shared" si="54"/>
        <v>0</v>
      </c>
      <c r="E859" t="s">
        <v>2165</v>
      </c>
      <c r="F859" t="s">
        <v>132</v>
      </c>
      <c r="G859" s="5" t="s">
        <v>95</v>
      </c>
      <c r="H859" t="s">
        <v>54</v>
      </c>
      <c r="I859" t="s">
        <v>185</v>
      </c>
      <c r="J859" t="s">
        <v>186</v>
      </c>
      <c r="K859" t="s">
        <v>28</v>
      </c>
      <c r="L859" t="s">
        <v>124</v>
      </c>
      <c r="M859" t="s">
        <v>2663</v>
      </c>
      <c r="N859" t="s">
        <v>50</v>
      </c>
      <c r="O859">
        <v>6</v>
      </c>
      <c r="P859">
        <v>2708.97</v>
      </c>
      <c r="Q859" s="6">
        <v>0.25</v>
      </c>
      <c r="R859" s="8">
        <f t="shared" si="52"/>
        <v>0.25</v>
      </c>
      <c r="S859">
        <v>12190.36</v>
      </c>
      <c r="T859">
        <v>10176.99</v>
      </c>
      <c r="U859">
        <v>2013.37</v>
      </c>
      <c r="V859" t="s">
        <v>32</v>
      </c>
      <c r="W859" t="s">
        <v>33</v>
      </c>
      <c r="X859" t="str">
        <f t="shared" si="55"/>
        <v/>
      </c>
      <c r="Y859" t="str">
        <f t="shared" si="53"/>
        <v>Exclude</v>
      </c>
    </row>
    <row r="860" spans="1:25">
      <c r="A860" t="s">
        <v>2664</v>
      </c>
      <c r="B860" s="3">
        <v>45327</v>
      </c>
      <c r="C860" s="3">
        <v>45540</v>
      </c>
      <c r="D860" s="6">
        <f t="shared" si="54"/>
        <v>213</v>
      </c>
      <c r="E860" t="s">
        <v>2665</v>
      </c>
      <c r="F860" t="s">
        <v>53</v>
      </c>
      <c r="G860" s="5" t="s">
        <v>24</v>
      </c>
      <c r="H860" t="s">
        <v>38</v>
      </c>
      <c r="I860" t="s">
        <v>39</v>
      </c>
      <c r="J860" t="s">
        <v>40</v>
      </c>
      <c r="K860" t="s">
        <v>74</v>
      </c>
      <c r="L860" t="s">
        <v>75</v>
      </c>
      <c r="M860" t="s">
        <v>2666</v>
      </c>
      <c r="N860" t="s">
        <v>31</v>
      </c>
      <c r="O860">
        <v>4</v>
      </c>
      <c r="P860">
        <v>2904.86</v>
      </c>
      <c r="Q860" s="6">
        <v>0</v>
      </c>
      <c r="R860" s="8">
        <f t="shared" si="52"/>
        <v>0</v>
      </c>
      <c r="S860">
        <v>11619.44</v>
      </c>
      <c r="T860">
        <v>7184.32</v>
      </c>
      <c r="U860">
        <v>4494.6400000000003</v>
      </c>
      <c r="V860" t="s">
        <v>32</v>
      </c>
      <c r="W860" t="s">
        <v>33</v>
      </c>
      <c r="X860" t="str">
        <f t="shared" si="55"/>
        <v/>
      </c>
      <c r="Y860" t="str">
        <f t="shared" si="53"/>
        <v>Exclude</v>
      </c>
    </row>
    <row r="861" spans="1:25">
      <c r="A861" t="s">
        <v>2667</v>
      </c>
      <c r="B861" s="3">
        <v>45592</v>
      </c>
      <c r="C861" s="3">
        <v>45302</v>
      </c>
      <c r="D861" s="6">
        <f t="shared" si="54"/>
        <v>-290</v>
      </c>
      <c r="E861" t="s">
        <v>2668</v>
      </c>
      <c r="F861" t="s">
        <v>89</v>
      </c>
      <c r="G861" s="5" t="s">
        <v>90</v>
      </c>
      <c r="H861" t="s">
        <v>54</v>
      </c>
      <c r="I861" t="s">
        <v>248</v>
      </c>
      <c r="J861" t="s">
        <v>249</v>
      </c>
      <c r="K861" t="s">
        <v>74</v>
      </c>
      <c r="L861" t="s">
        <v>171</v>
      </c>
      <c r="M861" t="s">
        <v>2669</v>
      </c>
      <c r="N861" t="s">
        <v>59</v>
      </c>
      <c r="O861">
        <v>6</v>
      </c>
      <c r="P861">
        <v>4399.2</v>
      </c>
      <c r="Q861" s="6">
        <v>0.05</v>
      </c>
      <c r="R861" s="8">
        <f t="shared" si="52"/>
        <v>0.05</v>
      </c>
      <c r="S861">
        <v>25075.439999999999</v>
      </c>
      <c r="T861">
        <v>16282.74</v>
      </c>
      <c r="U861">
        <v>8792.7000000000007</v>
      </c>
      <c r="V861" t="s">
        <v>32</v>
      </c>
      <c r="W861" t="s">
        <v>33</v>
      </c>
      <c r="X861" t="str">
        <f t="shared" si="55"/>
        <v>INVALID: Ship date before order date</v>
      </c>
      <c r="Y861" t="str">
        <f t="shared" si="53"/>
        <v>Exclude</v>
      </c>
    </row>
    <row r="862" spans="1:25">
      <c r="A862" t="s">
        <v>2670</v>
      </c>
      <c r="B862" s="3">
        <v>45324</v>
      </c>
      <c r="C862" s="3">
        <v>45384</v>
      </c>
      <c r="D862" s="6">
        <f t="shared" si="54"/>
        <v>60</v>
      </c>
      <c r="E862" t="s">
        <v>2671</v>
      </c>
      <c r="F862" t="s">
        <v>71</v>
      </c>
      <c r="G862" s="5" t="s">
        <v>95</v>
      </c>
      <c r="H862" t="s">
        <v>25</v>
      </c>
      <c r="I862" t="s">
        <v>136</v>
      </c>
      <c r="J862" t="s">
        <v>137</v>
      </c>
      <c r="K862" t="s">
        <v>28</v>
      </c>
      <c r="L862" t="s">
        <v>124</v>
      </c>
      <c r="M862" t="s">
        <v>2672</v>
      </c>
      <c r="N862" t="s">
        <v>31</v>
      </c>
      <c r="O862">
        <v>1</v>
      </c>
      <c r="P862">
        <v>4397.32</v>
      </c>
      <c r="Q862" s="6">
        <v>0.05</v>
      </c>
      <c r="R862" s="8">
        <f t="shared" si="52"/>
        <v>0.05</v>
      </c>
      <c r="S862">
        <v>4177.45</v>
      </c>
      <c r="T862">
        <v>2299.5</v>
      </c>
      <c r="U862">
        <v>1877.95</v>
      </c>
      <c r="V862" t="s">
        <v>32</v>
      </c>
      <c r="W862" t="s">
        <v>33</v>
      </c>
      <c r="X862" t="str">
        <f t="shared" si="55"/>
        <v/>
      </c>
      <c r="Y862" t="str">
        <f t="shared" si="53"/>
        <v>Exclude</v>
      </c>
    </row>
    <row r="863" spans="1:25">
      <c r="A863" t="s">
        <v>2673</v>
      </c>
      <c r="B863" s="3">
        <v>45724</v>
      </c>
      <c r="C863" s="3">
        <v>45903</v>
      </c>
      <c r="D863" s="6">
        <f t="shared" si="54"/>
        <v>179</v>
      </c>
      <c r="E863" t="s">
        <v>2674</v>
      </c>
      <c r="F863" t="s">
        <v>114</v>
      </c>
      <c r="G863" s="5" t="s">
        <v>95</v>
      </c>
      <c r="H863" t="s">
        <v>25</v>
      </c>
      <c r="I863" t="s">
        <v>351</v>
      </c>
      <c r="J863" t="s">
        <v>352</v>
      </c>
      <c r="K863" t="s">
        <v>41</v>
      </c>
      <c r="L863" t="s">
        <v>57</v>
      </c>
      <c r="M863" t="s">
        <v>2675</v>
      </c>
      <c r="N863" t="s">
        <v>44</v>
      </c>
      <c r="O863">
        <v>4</v>
      </c>
      <c r="P863">
        <v>3405.68</v>
      </c>
      <c r="Q863" s="6">
        <v>0.2</v>
      </c>
      <c r="R863" s="8">
        <f t="shared" si="52"/>
        <v>0.2</v>
      </c>
      <c r="S863">
        <v>10898.18</v>
      </c>
      <c r="T863">
        <v>6231.41</v>
      </c>
      <c r="U863">
        <v>4666.7700000000004</v>
      </c>
      <c r="V863" t="s">
        <v>32</v>
      </c>
      <c r="W863" t="s">
        <v>33</v>
      </c>
      <c r="X863" t="str">
        <f t="shared" si="55"/>
        <v/>
      </c>
      <c r="Y863" t="str">
        <f t="shared" si="53"/>
        <v>Exclude</v>
      </c>
    </row>
    <row r="864" spans="1:25">
      <c r="A864" t="s">
        <v>2676</v>
      </c>
      <c r="B864" s="3">
        <v>45742</v>
      </c>
      <c r="C864" s="3">
        <v>45747</v>
      </c>
      <c r="D864" s="6">
        <f t="shared" si="54"/>
        <v>5</v>
      </c>
      <c r="E864" t="s">
        <v>2677</v>
      </c>
      <c r="F864" t="s">
        <v>114</v>
      </c>
      <c r="G864" s="5" t="s">
        <v>37</v>
      </c>
      <c r="H864" t="s">
        <v>38</v>
      </c>
      <c r="I864" t="s">
        <v>229</v>
      </c>
      <c r="J864" t="s">
        <v>230</v>
      </c>
      <c r="K864" t="s">
        <v>28</v>
      </c>
      <c r="L864" t="s">
        <v>153</v>
      </c>
      <c r="M864" t="s">
        <v>2678</v>
      </c>
      <c r="N864" t="s">
        <v>50</v>
      </c>
      <c r="O864">
        <v>5</v>
      </c>
      <c r="P864">
        <v>1395.14</v>
      </c>
      <c r="Q864" s="6">
        <v>0</v>
      </c>
      <c r="R864" s="8">
        <f t="shared" si="52"/>
        <v>0</v>
      </c>
      <c r="S864">
        <v>6975.7</v>
      </c>
      <c r="T864">
        <v>4797.88</v>
      </c>
      <c r="U864">
        <v>2177.8200000000002</v>
      </c>
      <c r="V864" t="s">
        <v>32</v>
      </c>
      <c r="W864" t="s">
        <v>68</v>
      </c>
      <c r="X864" t="str">
        <f t="shared" si="55"/>
        <v>EXCLUDE: Cancelled order</v>
      </c>
      <c r="Y864" t="str">
        <f t="shared" si="53"/>
        <v>Exclude</v>
      </c>
    </row>
    <row r="865" spans="1:25">
      <c r="A865" t="s">
        <v>2679</v>
      </c>
      <c r="B865" s="3">
        <v>45817</v>
      </c>
      <c r="C865" s="3">
        <v>45878</v>
      </c>
      <c r="D865" s="6">
        <f t="shared" si="54"/>
        <v>61</v>
      </c>
      <c r="E865" t="s">
        <v>2680</v>
      </c>
      <c r="F865" t="s">
        <v>128</v>
      </c>
      <c r="G865" s="5" t="s">
        <v>95</v>
      </c>
      <c r="H865" t="s">
        <v>63</v>
      </c>
      <c r="I865" t="s">
        <v>72</v>
      </c>
      <c r="J865" t="s">
        <v>73</v>
      </c>
      <c r="K865" t="s">
        <v>41</v>
      </c>
      <c r="L865" t="s">
        <v>57</v>
      </c>
      <c r="M865" t="s">
        <v>2681</v>
      </c>
      <c r="N865" t="s">
        <v>44</v>
      </c>
      <c r="O865">
        <v>3</v>
      </c>
      <c r="P865">
        <v>2937.23</v>
      </c>
      <c r="Q865" s="6">
        <v>0</v>
      </c>
      <c r="R865" s="8">
        <f t="shared" si="52"/>
        <v>0</v>
      </c>
      <c r="S865">
        <v>8811.69</v>
      </c>
      <c r="T865">
        <v>6765.91</v>
      </c>
      <c r="U865">
        <v>2045.78</v>
      </c>
      <c r="V865" t="s">
        <v>32</v>
      </c>
      <c r="W865" t="s">
        <v>33</v>
      </c>
      <c r="X865" t="str">
        <f t="shared" si="55"/>
        <v/>
      </c>
      <c r="Y865" t="str">
        <f t="shared" si="53"/>
        <v>Exclude</v>
      </c>
    </row>
    <row r="866" spans="1:25">
      <c r="A866" t="s">
        <v>2682</v>
      </c>
      <c r="B866" s="3">
        <v>45902</v>
      </c>
      <c r="C866" s="3">
        <v>45905</v>
      </c>
      <c r="D866" s="6">
        <f t="shared" si="54"/>
        <v>3</v>
      </c>
      <c r="E866" t="s">
        <v>2683</v>
      </c>
      <c r="F866" t="s">
        <v>71</v>
      </c>
      <c r="G866" s="5" t="s">
        <v>24</v>
      </c>
      <c r="H866" t="s">
        <v>54</v>
      </c>
      <c r="I866" t="s">
        <v>248</v>
      </c>
      <c r="J866" t="s">
        <v>249</v>
      </c>
      <c r="K866" t="s">
        <v>74</v>
      </c>
      <c r="L866" t="s">
        <v>171</v>
      </c>
      <c r="M866" t="s">
        <v>2684</v>
      </c>
      <c r="N866" t="s">
        <v>50</v>
      </c>
      <c r="O866">
        <v>5</v>
      </c>
      <c r="P866">
        <v>3406.87</v>
      </c>
      <c r="Q866" s="6">
        <v>0</v>
      </c>
      <c r="R866" s="8">
        <f t="shared" si="52"/>
        <v>0</v>
      </c>
      <c r="S866">
        <v>17034.349999999999</v>
      </c>
      <c r="T866">
        <v>14631.36</v>
      </c>
      <c r="U866">
        <v>2402.9899999999998</v>
      </c>
      <c r="V866" t="s">
        <v>32</v>
      </c>
      <c r="W866" t="s">
        <v>33</v>
      </c>
      <c r="X866" t="str">
        <f t="shared" si="55"/>
        <v/>
      </c>
      <c r="Y866" t="str">
        <f t="shared" si="53"/>
        <v>Exclude</v>
      </c>
    </row>
    <row r="867" spans="1:25">
      <c r="A867" t="s">
        <v>2685</v>
      </c>
      <c r="B867" s="3">
        <v>45694</v>
      </c>
      <c r="C867" s="3">
        <v>45702</v>
      </c>
      <c r="D867" s="6">
        <f t="shared" si="54"/>
        <v>8</v>
      </c>
      <c r="E867" t="s">
        <v>2686</v>
      </c>
      <c r="F867" t="s">
        <v>265</v>
      </c>
      <c r="G867" s="5" t="s">
        <v>24</v>
      </c>
      <c r="H867" t="s">
        <v>63</v>
      </c>
      <c r="I867" t="s">
        <v>64</v>
      </c>
      <c r="J867" t="s">
        <v>65</v>
      </c>
      <c r="K867" t="s">
        <v>28</v>
      </c>
      <c r="L867" t="s">
        <v>91</v>
      </c>
      <c r="M867" t="s">
        <v>2687</v>
      </c>
      <c r="N867" t="s">
        <v>31</v>
      </c>
      <c r="O867">
        <v>2</v>
      </c>
      <c r="P867">
        <v>3992.04</v>
      </c>
      <c r="Q867" s="6">
        <v>0</v>
      </c>
      <c r="R867" s="8">
        <f t="shared" si="52"/>
        <v>0</v>
      </c>
      <c r="S867">
        <v>7984.08</v>
      </c>
      <c r="T867">
        <v>5658.05</v>
      </c>
      <c r="U867">
        <v>2326.0300000000002</v>
      </c>
      <c r="V867" t="s">
        <v>32</v>
      </c>
      <c r="W867" t="s">
        <v>33</v>
      </c>
      <c r="X867" t="str">
        <f t="shared" si="55"/>
        <v/>
      </c>
      <c r="Y867" t="str">
        <f t="shared" si="53"/>
        <v>Exclude</v>
      </c>
    </row>
    <row r="868" spans="1:25">
      <c r="A868" t="s">
        <v>2688</v>
      </c>
      <c r="B868" s="3">
        <v>45714</v>
      </c>
      <c r="C868" s="3">
        <v>45811</v>
      </c>
      <c r="D868" s="6">
        <f t="shared" si="54"/>
        <v>97</v>
      </c>
      <c r="E868" t="s">
        <v>2689</v>
      </c>
      <c r="F868" t="s">
        <v>114</v>
      </c>
      <c r="G868" s="5" t="s">
        <v>24</v>
      </c>
      <c r="H868" t="s">
        <v>38</v>
      </c>
      <c r="I868" t="s">
        <v>145</v>
      </c>
      <c r="J868" t="s">
        <v>146</v>
      </c>
      <c r="K868" t="s">
        <v>41</v>
      </c>
      <c r="L868" t="s">
        <v>158</v>
      </c>
      <c r="M868" t="s">
        <v>2690</v>
      </c>
      <c r="N868" t="s">
        <v>50</v>
      </c>
      <c r="O868">
        <v>9</v>
      </c>
      <c r="P868">
        <v>3043.37</v>
      </c>
      <c r="Q868" s="6">
        <v>0.2</v>
      </c>
      <c r="R868" s="8">
        <f t="shared" si="52"/>
        <v>0.2</v>
      </c>
      <c r="S868">
        <v>21912.26</v>
      </c>
      <c r="T868">
        <v>16367.78</v>
      </c>
      <c r="U868">
        <v>5544.48</v>
      </c>
      <c r="V868" t="s">
        <v>111</v>
      </c>
      <c r="W868" t="s">
        <v>68</v>
      </c>
      <c r="X868" t="str">
        <f t="shared" si="55"/>
        <v>EXCLUDE: Cancelled order</v>
      </c>
      <c r="Y868" t="str">
        <f t="shared" si="53"/>
        <v>Exclude</v>
      </c>
    </row>
    <row r="869" spans="1:25">
      <c r="A869" t="s">
        <v>2691</v>
      </c>
      <c r="B869" s="3">
        <v>45617</v>
      </c>
      <c r="C869" s="3">
        <v>45618</v>
      </c>
      <c r="D869" s="6">
        <f t="shared" si="54"/>
        <v>1</v>
      </c>
      <c r="E869" t="s">
        <v>2692</v>
      </c>
      <c r="F869" t="s">
        <v>118</v>
      </c>
      <c r="G869" s="5" t="s">
        <v>95</v>
      </c>
      <c r="H869" t="s">
        <v>54</v>
      </c>
      <c r="I869" t="s">
        <v>84</v>
      </c>
      <c r="J869" t="s">
        <v>85</v>
      </c>
      <c r="K869" t="s">
        <v>74</v>
      </c>
      <c r="L869" t="s">
        <v>75</v>
      </c>
      <c r="M869" t="s">
        <v>2693</v>
      </c>
      <c r="N869" t="s">
        <v>44</v>
      </c>
      <c r="O869">
        <v>6</v>
      </c>
      <c r="P869">
        <v>1043.49</v>
      </c>
      <c r="Q869" s="6">
        <v>0.25</v>
      </c>
      <c r="R869" s="8">
        <f t="shared" si="52"/>
        <v>0.25</v>
      </c>
      <c r="S869">
        <v>4695.7</v>
      </c>
      <c r="T869">
        <v>3871.69</v>
      </c>
      <c r="U869">
        <v>824.01</v>
      </c>
      <c r="V869" t="s">
        <v>155</v>
      </c>
      <c r="W869" t="s">
        <v>68</v>
      </c>
      <c r="X869" t="str">
        <f t="shared" si="55"/>
        <v>EXCLUDE: Cancelled order; EXCLUDE: Failed payment</v>
      </c>
      <c r="Y869" t="str">
        <f t="shared" si="53"/>
        <v>Exclude</v>
      </c>
    </row>
    <row r="870" spans="1:25">
      <c r="A870" t="s">
        <v>2694</v>
      </c>
      <c r="B870" s="3">
        <v>45758</v>
      </c>
      <c r="C870" s="3">
        <v>45762</v>
      </c>
      <c r="D870" s="6">
        <f t="shared" si="54"/>
        <v>4</v>
      </c>
      <c r="E870" t="s">
        <v>2695</v>
      </c>
      <c r="F870" t="s">
        <v>71</v>
      </c>
      <c r="G870" s="5" t="s">
        <v>95</v>
      </c>
      <c r="H870" t="s">
        <v>54</v>
      </c>
      <c r="I870" t="s">
        <v>175</v>
      </c>
      <c r="J870" t="s">
        <v>176</v>
      </c>
      <c r="K870" t="s">
        <v>28</v>
      </c>
      <c r="L870" t="s">
        <v>124</v>
      </c>
      <c r="M870" t="s">
        <v>2696</v>
      </c>
      <c r="N870" t="s">
        <v>44</v>
      </c>
      <c r="O870">
        <v>9</v>
      </c>
      <c r="P870">
        <v>224.94</v>
      </c>
      <c r="Q870" s="6">
        <v>0.05</v>
      </c>
      <c r="R870" s="8">
        <f t="shared" si="52"/>
        <v>0.05</v>
      </c>
      <c r="S870">
        <v>1923.24</v>
      </c>
      <c r="T870">
        <v>1093.6600000000001</v>
      </c>
      <c r="U870">
        <v>829.58</v>
      </c>
      <c r="V870" t="s">
        <v>32</v>
      </c>
      <c r="W870" t="s">
        <v>33</v>
      </c>
      <c r="X870" t="str">
        <f t="shared" si="55"/>
        <v/>
      </c>
      <c r="Y870" t="str">
        <f t="shared" si="53"/>
        <v>Exclude</v>
      </c>
    </row>
    <row r="871" spans="1:25">
      <c r="A871" t="s">
        <v>2697</v>
      </c>
      <c r="B871" s="3">
        <v>45811</v>
      </c>
      <c r="C871" s="3">
        <v>45723</v>
      </c>
      <c r="D871" s="6">
        <f t="shared" si="54"/>
        <v>-88</v>
      </c>
      <c r="E871" t="s">
        <v>2698</v>
      </c>
      <c r="F871" t="s">
        <v>141</v>
      </c>
      <c r="G871" s="5" t="s">
        <v>95</v>
      </c>
      <c r="H871" t="s">
        <v>2806</v>
      </c>
      <c r="I871" t="s">
        <v>351</v>
      </c>
      <c r="J871" t="s">
        <v>352</v>
      </c>
      <c r="K871" t="s">
        <v>41</v>
      </c>
      <c r="L871" t="s">
        <v>66</v>
      </c>
      <c r="M871" t="s">
        <v>1155</v>
      </c>
      <c r="N871" t="s">
        <v>44</v>
      </c>
      <c r="O871">
        <v>6</v>
      </c>
      <c r="P871">
        <v>796.65</v>
      </c>
      <c r="Q871" s="6">
        <v>0.1</v>
      </c>
      <c r="R871" s="8">
        <f t="shared" si="52"/>
        <v>0.1</v>
      </c>
      <c r="S871">
        <v>4301.91</v>
      </c>
      <c r="T871">
        <v>2374.4</v>
      </c>
      <c r="U871">
        <v>1927.51</v>
      </c>
      <c r="V871" t="s">
        <v>32</v>
      </c>
      <c r="W871" t="s">
        <v>33</v>
      </c>
      <c r="X871" t="str">
        <f t="shared" si="55"/>
        <v>INVALID: Ship date before order date</v>
      </c>
      <c r="Y871" t="str">
        <f t="shared" si="53"/>
        <v>Exclude</v>
      </c>
    </row>
    <row r="872" spans="1:25">
      <c r="A872" t="s">
        <v>2699</v>
      </c>
      <c r="B872" s="3">
        <v>45814</v>
      </c>
      <c r="C872" s="3">
        <v>45844</v>
      </c>
      <c r="D872" s="6">
        <f t="shared" si="54"/>
        <v>30</v>
      </c>
      <c r="E872" t="s">
        <v>2700</v>
      </c>
      <c r="F872" t="s">
        <v>71</v>
      </c>
      <c r="G872" s="5" t="s">
        <v>90</v>
      </c>
      <c r="H872" t="s">
        <v>63</v>
      </c>
      <c r="I872" t="s">
        <v>190</v>
      </c>
      <c r="J872" t="s">
        <v>191</v>
      </c>
      <c r="K872" t="s">
        <v>41</v>
      </c>
      <c r="L872" t="s">
        <v>42</v>
      </c>
      <c r="M872" t="s">
        <v>2701</v>
      </c>
      <c r="N872" t="s">
        <v>59</v>
      </c>
      <c r="O872">
        <v>9</v>
      </c>
      <c r="P872">
        <v>2932.92</v>
      </c>
      <c r="Q872" s="6">
        <v>0.15</v>
      </c>
      <c r="R872" s="8">
        <f t="shared" si="52"/>
        <v>0.15</v>
      </c>
      <c r="S872">
        <v>22436.84</v>
      </c>
      <c r="T872">
        <v>17454.669999999998</v>
      </c>
      <c r="U872">
        <v>4982.17</v>
      </c>
      <c r="V872" t="s">
        <v>32</v>
      </c>
      <c r="W872" t="s">
        <v>68</v>
      </c>
      <c r="X872" t="str">
        <f t="shared" si="55"/>
        <v>EXCLUDE: Cancelled order</v>
      </c>
      <c r="Y872" t="str">
        <f t="shared" si="53"/>
        <v>Exclude</v>
      </c>
    </row>
    <row r="873" spans="1:25">
      <c r="A873" t="s">
        <v>2702</v>
      </c>
      <c r="B873" s="3">
        <v>45342</v>
      </c>
      <c r="C873" s="3">
        <v>45344</v>
      </c>
      <c r="D873" s="6">
        <f t="shared" si="54"/>
        <v>2</v>
      </c>
      <c r="E873" t="s">
        <v>2572</v>
      </c>
      <c r="F873" t="s">
        <v>79</v>
      </c>
      <c r="G873" s="5" t="s">
        <v>37</v>
      </c>
      <c r="H873" t="s">
        <v>54</v>
      </c>
      <c r="I873" t="s">
        <v>55</v>
      </c>
      <c r="J873" t="s">
        <v>56</v>
      </c>
      <c r="K873" t="s">
        <v>74</v>
      </c>
      <c r="L873" t="s">
        <v>75</v>
      </c>
      <c r="M873" t="s">
        <v>2703</v>
      </c>
      <c r="N873" t="s">
        <v>50</v>
      </c>
      <c r="O873">
        <v>9</v>
      </c>
      <c r="P873">
        <v>2186.23</v>
      </c>
      <c r="Q873" s="6">
        <v>0</v>
      </c>
      <c r="R873" s="8">
        <f t="shared" si="52"/>
        <v>0</v>
      </c>
      <c r="S873">
        <v>19676.07</v>
      </c>
      <c r="T873">
        <v>12458.62</v>
      </c>
      <c r="U873">
        <v>7217.45</v>
      </c>
      <c r="V873" t="s">
        <v>102</v>
      </c>
      <c r="W873" t="s">
        <v>68</v>
      </c>
      <c r="X873" t="str">
        <f t="shared" si="55"/>
        <v>EXCLUDE: Cancelled order; REFUND: Summarize separately</v>
      </c>
      <c r="Y873" t="str">
        <f t="shared" si="53"/>
        <v>Exclude</v>
      </c>
    </row>
    <row r="874" spans="1:25">
      <c r="A874" t="s">
        <v>2704</v>
      </c>
      <c r="B874" s="3">
        <v>45302</v>
      </c>
      <c r="C874" s="3">
        <v>45333</v>
      </c>
      <c r="D874" s="6">
        <f t="shared" si="54"/>
        <v>31</v>
      </c>
      <c r="E874" t="s">
        <v>1976</v>
      </c>
      <c r="F874" t="s">
        <v>23</v>
      </c>
      <c r="G874" s="5" t="s">
        <v>90</v>
      </c>
      <c r="H874" t="s">
        <v>38</v>
      </c>
      <c r="I874" t="s">
        <v>99</v>
      </c>
      <c r="J874" t="s">
        <v>100</v>
      </c>
      <c r="K874" t="s">
        <v>41</v>
      </c>
      <c r="L874" t="s">
        <v>57</v>
      </c>
      <c r="M874" t="s">
        <v>2705</v>
      </c>
      <c r="N874" t="s">
        <v>59</v>
      </c>
      <c r="O874">
        <v>5</v>
      </c>
      <c r="P874">
        <v>2212.02</v>
      </c>
      <c r="Q874" s="6">
        <v>0.2</v>
      </c>
      <c r="R874" s="8">
        <f t="shared" si="52"/>
        <v>0.2</v>
      </c>
      <c r="S874">
        <v>8848.08</v>
      </c>
      <c r="T874">
        <v>5691.56</v>
      </c>
      <c r="U874">
        <v>3156.52</v>
      </c>
      <c r="V874" t="s">
        <v>32</v>
      </c>
      <c r="W874" t="s">
        <v>33</v>
      </c>
      <c r="X874" t="str">
        <f t="shared" si="55"/>
        <v/>
      </c>
      <c r="Y874" t="str">
        <f t="shared" si="53"/>
        <v>Exclude</v>
      </c>
    </row>
    <row r="875" spans="1:25">
      <c r="A875" t="s">
        <v>2706</v>
      </c>
      <c r="B875" s="3">
        <v>45689</v>
      </c>
      <c r="C875" s="3">
        <v>45696</v>
      </c>
      <c r="D875" s="6">
        <f t="shared" si="54"/>
        <v>7</v>
      </c>
      <c r="E875" t="s">
        <v>2707</v>
      </c>
      <c r="F875" t="s">
        <v>89</v>
      </c>
      <c r="G875" s="5" t="s">
        <v>95</v>
      </c>
      <c r="H875" t="s">
        <v>63</v>
      </c>
      <c r="I875" t="s">
        <v>180</v>
      </c>
      <c r="J875" t="s">
        <v>181</v>
      </c>
      <c r="K875" t="s">
        <v>28</v>
      </c>
      <c r="L875" t="s">
        <v>124</v>
      </c>
      <c r="M875" t="s">
        <v>2708</v>
      </c>
      <c r="N875" t="s">
        <v>31</v>
      </c>
      <c r="O875">
        <v>8</v>
      </c>
      <c r="P875">
        <v>623.30999999999995</v>
      </c>
      <c r="Q875" s="6">
        <v>0.1</v>
      </c>
      <c r="R875" s="8">
        <f t="shared" si="52"/>
        <v>0.1</v>
      </c>
      <c r="S875">
        <v>4487.83</v>
      </c>
      <c r="T875">
        <v>2633.78</v>
      </c>
      <c r="U875">
        <v>1854.05</v>
      </c>
      <c r="V875" t="s">
        <v>32</v>
      </c>
      <c r="W875" t="s">
        <v>33</v>
      </c>
      <c r="X875" t="str">
        <f t="shared" si="55"/>
        <v/>
      </c>
      <c r="Y875" t="str">
        <f t="shared" si="53"/>
        <v>Exclude</v>
      </c>
    </row>
    <row r="876" spans="1:25">
      <c r="A876" t="s">
        <v>2709</v>
      </c>
      <c r="B876" s="3">
        <v>45853</v>
      </c>
      <c r="C876" s="3">
        <v>45854</v>
      </c>
      <c r="D876" s="6">
        <f t="shared" si="54"/>
        <v>1</v>
      </c>
      <c r="E876" t="s">
        <v>2710</v>
      </c>
      <c r="F876" t="s">
        <v>71</v>
      </c>
      <c r="G876" s="5" t="s">
        <v>37</v>
      </c>
      <c r="H876" t="s">
        <v>63</v>
      </c>
      <c r="I876" t="s">
        <v>64</v>
      </c>
      <c r="J876" t="s">
        <v>65</v>
      </c>
      <c r="K876" t="s">
        <v>28</v>
      </c>
      <c r="L876" t="s">
        <v>29</v>
      </c>
      <c r="M876" t="s">
        <v>2711</v>
      </c>
      <c r="N876" t="s">
        <v>59</v>
      </c>
      <c r="O876">
        <v>8</v>
      </c>
      <c r="P876">
        <v>3924.88</v>
      </c>
      <c r="Q876" s="6">
        <v>0.05</v>
      </c>
      <c r="R876" s="8">
        <f t="shared" si="52"/>
        <v>0.05</v>
      </c>
      <c r="S876">
        <v>29829.09</v>
      </c>
      <c r="T876">
        <v>20710.18</v>
      </c>
      <c r="U876">
        <v>9118.91</v>
      </c>
      <c r="V876" t="s">
        <v>32</v>
      </c>
      <c r="W876" t="s">
        <v>33</v>
      </c>
      <c r="X876" t="str">
        <f t="shared" si="55"/>
        <v/>
      </c>
      <c r="Y876" t="str">
        <f t="shared" si="53"/>
        <v>Exclude</v>
      </c>
    </row>
    <row r="877" spans="1:25">
      <c r="A877" t="s">
        <v>2712</v>
      </c>
      <c r="B877" s="3">
        <v>45514</v>
      </c>
      <c r="C877" s="3">
        <v>45604</v>
      </c>
      <c r="D877" s="6">
        <f t="shared" si="54"/>
        <v>90</v>
      </c>
      <c r="E877" t="s">
        <v>2713</v>
      </c>
      <c r="F877" t="s">
        <v>36</v>
      </c>
      <c r="G877" s="5" t="s">
        <v>90</v>
      </c>
      <c r="H877" t="s">
        <v>63</v>
      </c>
      <c r="I877" t="s">
        <v>64</v>
      </c>
      <c r="J877" t="s">
        <v>65</v>
      </c>
      <c r="K877" t="s">
        <v>74</v>
      </c>
      <c r="L877" t="s">
        <v>80</v>
      </c>
      <c r="M877" t="s">
        <v>2714</v>
      </c>
      <c r="N877" t="s">
        <v>50</v>
      </c>
      <c r="O877">
        <v>7</v>
      </c>
      <c r="P877">
        <v>3852.62</v>
      </c>
      <c r="Q877" s="6">
        <v>0.2</v>
      </c>
      <c r="R877" s="8">
        <f t="shared" si="52"/>
        <v>0.2</v>
      </c>
      <c r="S877">
        <v>21574.67</v>
      </c>
      <c r="T877">
        <v>14672.83</v>
      </c>
      <c r="U877">
        <v>6901.84</v>
      </c>
      <c r="V877" t="s">
        <v>32</v>
      </c>
      <c r="W877" t="s">
        <v>33</v>
      </c>
      <c r="X877" t="str">
        <f t="shared" si="55"/>
        <v/>
      </c>
      <c r="Y877" t="str">
        <f t="shared" si="53"/>
        <v>Exclude</v>
      </c>
    </row>
    <row r="878" spans="1:25">
      <c r="A878" t="s">
        <v>2715</v>
      </c>
      <c r="B878" s="3">
        <v>45614</v>
      </c>
      <c r="C878" s="3">
        <v>45616</v>
      </c>
      <c r="D878" s="6">
        <f t="shared" si="54"/>
        <v>2</v>
      </c>
      <c r="E878" t="s">
        <v>2716</v>
      </c>
      <c r="F878" t="s">
        <v>114</v>
      </c>
      <c r="G878" s="5" t="s">
        <v>24</v>
      </c>
      <c r="H878" t="s">
        <v>63</v>
      </c>
      <c r="I878" t="s">
        <v>26</v>
      </c>
      <c r="J878" t="s">
        <v>109</v>
      </c>
      <c r="K878" t="s">
        <v>41</v>
      </c>
      <c r="L878" t="s">
        <v>66</v>
      </c>
      <c r="M878" t="s">
        <v>851</v>
      </c>
      <c r="N878" t="s">
        <v>50</v>
      </c>
      <c r="O878">
        <v>6</v>
      </c>
      <c r="P878">
        <v>3790.22</v>
      </c>
      <c r="Q878" s="6">
        <v>0</v>
      </c>
      <c r="R878" s="8">
        <f t="shared" si="52"/>
        <v>0</v>
      </c>
      <c r="S878">
        <v>22741.32</v>
      </c>
      <c r="T878">
        <v>16388.57</v>
      </c>
      <c r="U878">
        <v>6352.75</v>
      </c>
      <c r="V878" t="s">
        <v>32</v>
      </c>
      <c r="W878" t="s">
        <v>33</v>
      </c>
      <c r="X878" t="str">
        <f t="shared" si="55"/>
        <v/>
      </c>
      <c r="Y878" t="str">
        <f t="shared" si="53"/>
        <v>Exclude</v>
      </c>
    </row>
    <row r="879" spans="1:25">
      <c r="A879" t="s">
        <v>2717</v>
      </c>
      <c r="B879" s="3">
        <v>45895</v>
      </c>
      <c r="C879" s="3">
        <v>45725</v>
      </c>
      <c r="D879" s="6">
        <f t="shared" si="54"/>
        <v>-170</v>
      </c>
      <c r="E879" t="s">
        <v>2718</v>
      </c>
      <c r="F879" t="s">
        <v>128</v>
      </c>
      <c r="G879" s="5" t="s">
        <v>24</v>
      </c>
      <c r="H879" t="s">
        <v>63</v>
      </c>
      <c r="I879" t="s">
        <v>26</v>
      </c>
      <c r="J879" t="s">
        <v>109</v>
      </c>
      <c r="K879" t="s">
        <v>28</v>
      </c>
      <c r="L879" t="s">
        <v>124</v>
      </c>
      <c r="M879" t="s">
        <v>2719</v>
      </c>
      <c r="N879" t="s">
        <v>31</v>
      </c>
      <c r="O879">
        <v>6</v>
      </c>
      <c r="P879">
        <v>674.36</v>
      </c>
      <c r="Q879" s="6">
        <v>0.1</v>
      </c>
      <c r="R879" s="8">
        <f t="shared" si="52"/>
        <v>0.1</v>
      </c>
      <c r="S879">
        <v>3641.54</v>
      </c>
      <c r="T879">
        <v>2690.37</v>
      </c>
      <c r="U879">
        <v>951.17</v>
      </c>
      <c r="V879" t="s">
        <v>32</v>
      </c>
      <c r="W879" t="s">
        <v>33</v>
      </c>
      <c r="X879" t="str">
        <f t="shared" si="55"/>
        <v>INVALID: Ship date before order date</v>
      </c>
      <c r="Y879" t="str">
        <f t="shared" si="53"/>
        <v>Exclude</v>
      </c>
    </row>
    <row r="880" spans="1:25">
      <c r="A880" t="s">
        <v>2720</v>
      </c>
      <c r="B880" s="3">
        <v>45313</v>
      </c>
      <c r="C880" s="3">
        <v>45313</v>
      </c>
      <c r="D880" s="6">
        <f t="shared" si="54"/>
        <v>0</v>
      </c>
      <c r="E880" t="s">
        <v>2721</v>
      </c>
      <c r="F880" t="s">
        <v>23</v>
      </c>
      <c r="G880" s="5" t="s">
        <v>90</v>
      </c>
      <c r="H880" t="s">
        <v>38</v>
      </c>
      <c r="I880" t="s">
        <v>99</v>
      </c>
      <c r="J880" t="s">
        <v>100</v>
      </c>
      <c r="K880" t="s">
        <v>28</v>
      </c>
      <c r="L880" t="s">
        <v>29</v>
      </c>
      <c r="M880" t="s">
        <v>2722</v>
      </c>
      <c r="N880" t="s">
        <v>50</v>
      </c>
      <c r="O880">
        <v>8</v>
      </c>
      <c r="P880">
        <v>1557.21</v>
      </c>
      <c r="Q880" s="6">
        <v>0.05</v>
      </c>
      <c r="R880" s="8">
        <f t="shared" si="52"/>
        <v>0.05</v>
      </c>
      <c r="S880">
        <v>11834.8</v>
      </c>
      <c r="T880">
        <v>9322.36</v>
      </c>
      <c r="U880">
        <v>2512.44</v>
      </c>
      <c r="V880" t="s">
        <v>32</v>
      </c>
      <c r="W880" t="s">
        <v>33</v>
      </c>
      <c r="X880" t="str">
        <f t="shared" si="55"/>
        <v/>
      </c>
      <c r="Y880" t="str">
        <f t="shared" si="53"/>
        <v>Exclude</v>
      </c>
    </row>
    <row r="881" spans="1:25">
      <c r="A881" t="s">
        <v>2723</v>
      </c>
      <c r="B881" s="3">
        <v>45896</v>
      </c>
      <c r="C881" s="3">
        <v>45897</v>
      </c>
      <c r="D881" s="6">
        <f t="shared" si="54"/>
        <v>1</v>
      </c>
      <c r="E881" t="s">
        <v>2724</v>
      </c>
      <c r="F881" t="s">
        <v>62</v>
      </c>
      <c r="G881" s="5" t="s">
        <v>95</v>
      </c>
      <c r="H881" t="s">
        <v>25</v>
      </c>
      <c r="I881" t="s">
        <v>136</v>
      </c>
      <c r="J881" t="s">
        <v>137</v>
      </c>
      <c r="K881" t="s">
        <v>28</v>
      </c>
      <c r="L881" t="s">
        <v>48</v>
      </c>
      <c r="M881" t="s">
        <v>2725</v>
      </c>
      <c r="N881" t="s">
        <v>59</v>
      </c>
      <c r="O881">
        <v>6</v>
      </c>
      <c r="P881">
        <v>1182.03</v>
      </c>
      <c r="Q881" s="6">
        <v>0.15</v>
      </c>
      <c r="R881" s="8">
        <f t="shared" si="52"/>
        <v>0.15</v>
      </c>
      <c r="S881">
        <v>6028.35</v>
      </c>
      <c r="T881">
        <v>4433.63</v>
      </c>
      <c r="U881">
        <v>1594.72</v>
      </c>
      <c r="V881" t="s">
        <v>32</v>
      </c>
      <c r="W881" t="s">
        <v>33</v>
      </c>
      <c r="X881" t="str">
        <f t="shared" si="55"/>
        <v/>
      </c>
      <c r="Y881" t="str">
        <f t="shared" si="53"/>
        <v>Exclude</v>
      </c>
    </row>
    <row r="882" spans="1:25">
      <c r="A882" t="s">
        <v>2726</v>
      </c>
      <c r="B882" s="3">
        <v>45359</v>
      </c>
      <c r="C882" s="3">
        <v>45366</v>
      </c>
      <c r="D882" s="6">
        <f t="shared" si="54"/>
        <v>7</v>
      </c>
      <c r="E882" t="s">
        <v>2727</v>
      </c>
      <c r="F882" t="s">
        <v>128</v>
      </c>
      <c r="G882" s="5" t="s">
        <v>37</v>
      </c>
      <c r="H882" t="s">
        <v>2806</v>
      </c>
      <c r="I882" t="s">
        <v>122</v>
      </c>
      <c r="J882" t="s">
        <v>123</v>
      </c>
      <c r="K882" t="s">
        <v>41</v>
      </c>
      <c r="L882" t="s">
        <v>66</v>
      </c>
      <c r="M882" t="s">
        <v>2728</v>
      </c>
      <c r="N882" t="s">
        <v>50</v>
      </c>
      <c r="O882">
        <v>5</v>
      </c>
      <c r="P882">
        <v>3234.77</v>
      </c>
      <c r="Q882" s="6">
        <v>0</v>
      </c>
      <c r="R882" s="8">
        <f t="shared" si="52"/>
        <v>0</v>
      </c>
      <c r="S882">
        <v>16173.85</v>
      </c>
      <c r="T882">
        <v>13636.34</v>
      </c>
      <c r="U882">
        <v>2537.5100000000002</v>
      </c>
      <c r="V882" t="s">
        <v>32</v>
      </c>
      <c r="W882" t="s">
        <v>33</v>
      </c>
      <c r="X882" t="str">
        <f t="shared" si="55"/>
        <v/>
      </c>
      <c r="Y882" t="str">
        <f t="shared" si="53"/>
        <v>Exclude</v>
      </c>
    </row>
    <row r="883" spans="1:25">
      <c r="A883" t="s">
        <v>2729</v>
      </c>
      <c r="B883" s="3">
        <v>45627</v>
      </c>
      <c r="C883" s="3">
        <v>45631</v>
      </c>
      <c r="D883" s="6">
        <f t="shared" si="54"/>
        <v>4</v>
      </c>
      <c r="E883" t="s">
        <v>2730</v>
      </c>
      <c r="F883" t="s">
        <v>62</v>
      </c>
      <c r="G883" s="5" t="s">
        <v>37</v>
      </c>
      <c r="H883" t="s">
        <v>54</v>
      </c>
      <c r="I883" t="s">
        <v>84</v>
      </c>
      <c r="J883" t="s">
        <v>85</v>
      </c>
      <c r="K883" t="s">
        <v>74</v>
      </c>
      <c r="L883" t="s">
        <v>80</v>
      </c>
      <c r="M883" t="s">
        <v>2731</v>
      </c>
      <c r="N883" t="s">
        <v>31</v>
      </c>
      <c r="O883">
        <v>9</v>
      </c>
      <c r="P883">
        <v>3726.75</v>
      </c>
      <c r="Q883" s="6">
        <v>0.25</v>
      </c>
      <c r="R883" s="8">
        <f t="shared" si="52"/>
        <v>0.25</v>
      </c>
      <c r="S883">
        <v>25155.56</v>
      </c>
      <c r="T883">
        <v>17592.689999999999</v>
      </c>
      <c r="U883">
        <v>7562.87</v>
      </c>
      <c r="V883" t="s">
        <v>32</v>
      </c>
      <c r="W883" t="s">
        <v>33</v>
      </c>
      <c r="X883" t="str">
        <f t="shared" si="55"/>
        <v/>
      </c>
      <c r="Y883" t="str">
        <f t="shared" si="53"/>
        <v>Exclude</v>
      </c>
    </row>
    <row r="884" spans="1:25">
      <c r="A884" t="s">
        <v>2732</v>
      </c>
      <c r="B884" s="3">
        <v>45690</v>
      </c>
      <c r="C884" s="3">
        <v>45932</v>
      </c>
      <c r="D884" s="6">
        <f t="shared" si="54"/>
        <v>242</v>
      </c>
      <c r="E884" t="s">
        <v>2733</v>
      </c>
      <c r="F884" t="s">
        <v>132</v>
      </c>
      <c r="G884" s="5" t="s">
        <v>90</v>
      </c>
      <c r="H884" t="s">
        <v>38</v>
      </c>
      <c r="I884" t="s">
        <v>145</v>
      </c>
      <c r="J884" t="s">
        <v>146</v>
      </c>
      <c r="K884" t="s">
        <v>74</v>
      </c>
      <c r="L884" t="s">
        <v>75</v>
      </c>
      <c r="M884" t="s">
        <v>2734</v>
      </c>
      <c r="N884" t="s">
        <v>59</v>
      </c>
      <c r="O884">
        <v>4</v>
      </c>
      <c r="P884">
        <v>1912.45</v>
      </c>
      <c r="Q884" s="6">
        <v>0</v>
      </c>
      <c r="R884" s="8">
        <f t="shared" si="52"/>
        <v>0</v>
      </c>
      <c r="S884">
        <v>7649.8</v>
      </c>
      <c r="T884">
        <v>4894.53</v>
      </c>
      <c r="U884">
        <v>2755.27</v>
      </c>
      <c r="V884" t="s">
        <v>111</v>
      </c>
      <c r="W884" t="s">
        <v>103</v>
      </c>
      <c r="X884" t="str">
        <f t="shared" si="55"/>
        <v/>
      </c>
      <c r="Y884" t="str">
        <f t="shared" si="53"/>
        <v>Exclude</v>
      </c>
    </row>
    <row r="885" spans="1:25">
      <c r="A885" t="s">
        <v>2735</v>
      </c>
      <c r="B885" s="3">
        <v>45775</v>
      </c>
      <c r="C885" s="3">
        <v>45662</v>
      </c>
      <c r="D885" s="6">
        <f t="shared" si="54"/>
        <v>-113</v>
      </c>
      <c r="E885" t="s">
        <v>2736</v>
      </c>
      <c r="F885" t="s">
        <v>128</v>
      </c>
      <c r="G885" s="5" t="s">
        <v>37</v>
      </c>
      <c r="H885" t="s">
        <v>63</v>
      </c>
      <c r="I885" t="s">
        <v>190</v>
      </c>
      <c r="J885" t="s">
        <v>191</v>
      </c>
      <c r="K885" t="s">
        <v>28</v>
      </c>
      <c r="L885" t="s">
        <v>124</v>
      </c>
      <c r="M885" t="s">
        <v>2737</v>
      </c>
      <c r="N885" t="s">
        <v>44</v>
      </c>
      <c r="O885">
        <v>1</v>
      </c>
      <c r="P885">
        <v>1620.87</v>
      </c>
      <c r="Q885" s="6">
        <v>0</v>
      </c>
      <c r="R885" s="8">
        <f t="shared" si="52"/>
        <v>0</v>
      </c>
      <c r="S885">
        <v>1620.87</v>
      </c>
      <c r="T885">
        <v>1103.6099999999999</v>
      </c>
      <c r="U885">
        <v>517.26</v>
      </c>
      <c r="V885" t="s">
        <v>32</v>
      </c>
      <c r="W885" t="s">
        <v>33</v>
      </c>
      <c r="X885" t="str">
        <f t="shared" si="55"/>
        <v>INVALID: Ship date before order date</v>
      </c>
      <c r="Y885" t="str">
        <f t="shared" si="53"/>
        <v>Exclude</v>
      </c>
    </row>
    <row r="886" spans="1:25">
      <c r="A886" t="s">
        <v>2738</v>
      </c>
      <c r="B886" s="3">
        <v>45675</v>
      </c>
      <c r="C886" s="3">
        <v>45682</v>
      </c>
      <c r="D886" s="6">
        <f t="shared" si="54"/>
        <v>7</v>
      </c>
      <c r="E886" t="s">
        <v>2739</v>
      </c>
      <c r="F886" t="s">
        <v>79</v>
      </c>
      <c r="G886" s="5" t="s">
        <v>95</v>
      </c>
      <c r="H886" t="s">
        <v>54</v>
      </c>
      <c r="I886" t="s">
        <v>175</v>
      </c>
      <c r="J886" t="s">
        <v>176</v>
      </c>
      <c r="K886" t="s">
        <v>28</v>
      </c>
      <c r="L886" t="s">
        <v>124</v>
      </c>
      <c r="M886" t="s">
        <v>2740</v>
      </c>
      <c r="N886" t="s">
        <v>44</v>
      </c>
      <c r="O886">
        <v>2</v>
      </c>
      <c r="P886">
        <v>2098.54</v>
      </c>
      <c r="Q886" s="6">
        <v>0.15</v>
      </c>
      <c r="R886" s="8">
        <f t="shared" si="52"/>
        <v>0.15</v>
      </c>
      <c r="S886">
        <v>3567.52</v>
      </c>
      <c r="T886">
        <v>2411.8000000000002</v>
      </c>
      <c r="U886">
        <v>1155.72</v>
      </c>
      <c r="V886" t="s">
        <v>32</v>
      </c>
      <c r="W886" t="s">
        <v>33</v>
      </c>
      <c r="X886" t="str">
        <f t="shared" si="55"/>
        <v/>
      </c>
      <c r="Y886" t="str">
        <f t="shared" si="53"/>
        <v>Exclude</v>
      </c>
    </row>
    <row r="887" spans="1:25">
      <c r="A887" t="s">
        <v>2741</v>
      </c>
      <c r="B887" s="3">
        <v>45296</v>
      </c>
      <c r="C887" s="3">
        <v>45413</v>
      </c>
      <c r="D887" s="6">
        <f t="shared" si="54"/>
        <v>117</v>
      </c>
      <c r="E887" t="s">
        <v>2742</v>
      </c>
      <c r="F887" t="s">
        <v>162</v>
      </c>
      <c r="G887" s="5" t="s">
        <v>24</v>
      </c>
      <c r="H887" t="s">
        <v>25</v>
      </c>
      <c r="I887" t="s">
        <v>26</v>
      </c>
      <c r="J887" t="s">
        <v>27</v>
      </c>
      <c r="K887" t="s">
        <v>41</v>
      </c>
      <c r="L887" t="s">
        <v>42</v>
      </c>
      <c r="M887" t="s">
        <v>2743</v>
      </c>
      <c r="N887" t="s">
        <v>59</v>
      </c>
      <c r="O887">
        <v>1</v>
      </c>
      <c r="P887">
        <v>2167.08</v>
      </c>
      <c r="Q887" s="6">
        <v>0.25</v>
      </c>
      <c r="R887" s="8">
        <f t="shared" si="52"/>
        <v>0.25</v>
      </c>
      <c r="S887">
        <v>1625.31</v>
      </c>
      <c r="T887">
        <v>1157.8900000000001</v>
      </c>
      <c r="U887">
        <v>467.42</v>
      </c>
      <c r="V887" t="s">
        <v>32</v>
      </c>
      <c r="W887" t="s">
        <v>33</v>
      </c>
      <c r="X887" t="str">
        <f t="shared" si="55"/>
        <v/>
      </c>
      <c r="Y887" t="str">
        <f t="shared" si="53"/>
        <v>Exclude</v>
      </c>
    </row>
    <row r="888" spans="1:25">
      <c r="A888" t="s">
        <v>2744</v>
      </c>
      <c r="B888" s="3">
        <v>45773</v>
      </c>
      <c r="C888" s="3">
        <v>45780</v>
      </c>
      <c r="D888" s="6">
        <f t="shared" si="54"/>
        <v>7</v>
      </c>
      <c r="E888" t="s">
        <v>2745</v>
      </c>
      <c r="F888" t="s">
        <v>53</v>
      </c>
      <c r="G888" s="5" t="s">
        <v>95</v>
      </c>
      <c r="H888" t="s">
        <v>54</v>
      </c>
      <c r="I888" t="s">
        <v>248</v>
      </c>
      <c r="J888" t="s">
        <v>249</v>
      </c>
      <c r="K888" t="s">
        <v>74</v>
      </c>
      <c r="L888" t="s">
        <v>75</v>
      </c>
      <c r="M888" t="s">
        <v>2746</v>
      </c>
      <c r="N888" t="s">
        <v>50</v>
      </c>
      <c r="O888">
        <v>7</v>
      </c>
      <c r="P888">
        <v>3989.9</v>
      </c>
      <c r="Q888" s="6">
        <v>0.15</v>
      </c>
      <c r="R888" s="8">
        <f t="shared" si="52"/>
        <v>0.15</v>
      </c>
      <c r="S888">
        <v>23739.9</v>
      </c>
      <c r="T888">
        <v>17716.52</v>
      </c>
      <c r="U888">
        <v>6023.38</v>
      </c>
      <c r="V888" t="s">
        <v>32</v>
      </c>
      <c r="W888" t="s">
        <v>68</v>
      </c>
      <c r="X888" t="str">
        <f t="shared" si="55"/>
        <v>EXCLUDE: Cancelled order</v>
      </c>
      <c r="Y888" t="str">
        <f t="shared" si="53"/>
        <v>Exclude</v>
      </c>
    </row>
    <row r="889" spans="1:25">
      <c r="A889" t="s">
        <v>2747</v>
      </c>
      <c r="B889" s="3">
        <v>45455</v>
      </c>
      <c r="C889" s="3">
        <v>45461</v>
      </c>
      <c r="D889" s="6">
        <f t="shared" si="54"/>
        <v>6</v>
      </c>
      <c r="E889" t="s">
        <v>2748</v>
      </c>
      <c r="F889" t="s">
        <v>128</v>
      </c>
      <c r="G889" s="5" t="s">
        <v>37</v>
      </c>
      <c r="H889" t="s">
        <v>54</v>
      </c>
      <c r="I889" t="s">
        <v>84</v>
      </c>
      <c r="J889" t="s">
        <v>85</v>
      </c>
      <c r="K889" t="s">
        <v>28</v>
      </c>
      <c r="L889" t="s">
        <v>48</v>
      </c>
      <c r="M889" t="s">
        <v>2749</v>
      </c>
      <c r="N889" t="s">
        <v>59</v>
      </c>
      <c r="O889">
        <v>4</v>
      </c>
      <c r="P889">
        <v>4176.13</v>
      </c>
      <c r="Q889" s="6">
        <v>0</v>
      </c>
      <c r="R889" s="8">
        <f t="shared" si="52"/>
        <v>0</v>
      </c>
      <c r="S889">
        <v>16704.52</v>
      </c>
      <c r="T889">
        <v>10158.280000000001</v>
      </c>
      <c r="U889">
        <v>6546.24</v>
      </c>
      <c r="V889" t="s">
        <v>32</v>
      </c>
      <c r="W889" t="s">
        <v>33</v>
      </c>
      <c r="X889" t="str">
        <f t="shared" si="55"/>
        <v/>
      </c>
      <c r="Y889" t="str">
        <f t="shared" si="53"/>
        <v>Exclude</v>
      </c>
    </row>
    <row r="890" spans="1:25">
      <c r="A890" t="s">
        <v>2750</v>
      </c>
      <c r="B890" s="3">
        <v>45875</v>
      </c>
      <c r="C890" s="3">
        <v>45876</v>
      </c>
      <c r="D890" s="6">
        <f t="shared" si="54"/>
        <v>1</v>
      </c>
      <c r="E890" t="s">
        <v>2751</v>
      </c>
      <c r="F890" t="s">
        <v>118</v>
      </c>
      <c r="G890" s="5" t="s">
        <v>37</v>
      </c>
      <c r="H890" t="s">
        <v>63</v>
      </c>
      <c r="I890" t="s">
        <v>64</v>
      </c>
      <c r="J890" t="s">
        <v>65</v>
      </c>
      <c r="K890" t="s">
        <v>28</v>
      </c>
      <c r="L890" t="s">
        <v>48</v>
      </c>
      <c r="M890" t="s">
        <v>2752</v>
      </c>
      <c r="N890" t="s">
        <v>59</v>
      </c>
      <c r="O890">
        <v>4</v>
      </c>
      <c r="P890">
        <v>3523.64</v>
      </c>
      <c r="Q890" s="6">
        <v>0.1</v>
      </c>
      <c r="R890" s="8">
        <f t="shared" si="52"/>
        <v>0.1</v>
      </c>
      <c r="S890">
        <v>12685.1</v>
      </c>
      <c r="T890">
        <v>10779.56</v>
      </c>
      <c r="U890">
        <v>1905.54</v>
      </c>
      <c r="V890" t="s">
        <v>102</v>
      </c>
      <c r="W890" t="s">
        <v>68</v>
      </c>
      <c r="X890" t="str">
        <f t="shared" si="55"/>
        <v>EXCLUDE: Cancelled order; REFUND: Summarize separately</v>
      </c>
      <c r="Y890" t="str">
        <f t="shared" si="53"/>
        <v>Exclude</v>
      </c>
    </row>
    <row r="891" spans="1:25">
      <c r="A891" t="s">
        <v>2753</v>
      </c>
      <c r="B891" s="3">
        <v>45726</v>
      </c>
      <c r="C891" s="3">
        <v>45964</v>
      </c>
      <c r="D891" s="6">
        <f t="shared" si="54"/>
        <v>238</v>
      </c>
      <c r="E891" t="s">
        <v>889</v>
      </c>
      <c r="F891" t="s">
        <v>89</v>
      </c>
      <c r="G891" s="5" t="s">
        <v>95</v>
      </c>
      <c r="H891" t="s">
        <v>63</v>
      </c>
      <c r="I891" t="s">
        <v>72</v>
      </c>
      <c r="J891" t="s">
        <v>73</v>
      </c>
      <c r="K891" t="s">
        <v>28</v>
      </c>
      <c r="L891" t="s">
        <v>124</v>
      </c>
      <c r="M891" t="s">
        <v>2754</v>
      </c>
      <c r="N891" t="s">
        <v>50</v>
      </c>
      <c r="O891">
        <v>2</v>
      </c>
      <c r="P891">
        <v>3922.08</v>
      </c>
      <c r="Q891" s="6">
        <v>0.25</v>
      </c>
      <c r="R891" s="8">
        <f t="shared" si="52"/>
        <v>0.25</v>
      </c>
      <c r="S891">
        <v>5883.12</v>
      </c>
      <c r="T891">
        <v>4647.91</v>
      </c>
      <c r="U891">
        <v>1235.21</v>
      </c>
      <c r="V891" t="s">
        <v>32</v>
      </c>
      <c r="W891" t="s">
        <v>103</v>
      </c>
      <c r="X891" t="str">
        <f t="shared" si="55"/>
        <v/>
      </c>
      <c r="Y891" t="str">
        <f t="shared" si="53"/>
        <v>Exclude</v>
      </c>
    </row>
    <row r="892" spans="1:25">
      <c r="A892" t="s">
        <v>2755</v>
      </c>
      <c r="B892" s="3">
        <v>45427</v>
      </c>
      <c r="C892" s="3">
        <v>45433</v>
      </c>
      <c r="D892" s="6">
        <f t="shared" si="54"/>
        <v>6</v>
      </c>
      <c r="E892" t="s">
        <v>2756</v>
      </c>
      <c r="F892" t="s">
        <v>23</v>
      </c>
      <c r="G892" s="5" t="s">
        <v>24</v>
      </c>
      <c r="H892" t="s">
        <v>63</v>
      </c>
      <c r="I892" t="s">
        <v>190</v>
      </c>
      <c r="J892" t="s">
        <v>191</v>
      </c>
      <c r="K892" t="s">
        <v>28</v>
      </c>
      <c r="L892" t="s">
        <v>124</v>
      </c>
      <c r="M892" t="s">
        <v>2757</v>
      </c>
      <c r="N892" t="s">
        <v>59</v>
      </c>
      <c r="O892">
        <v>6</v>
      </c>
      <c r="P892">
        <v>2909.56</v>
      </c>
      <c r="Q892" s="6">
        <v>0.2</v>
      </c>
      <c r="R892" s="8">
        <f t="shared" si="52"/>
        <v>0.2</v>
      </c>
      <c r="S892">
        <v>13965.89</v>
      </c>
      <c r="T892">
        <v>11646.12</v>
      </c>
      <c r="U892">
        <v>2319.77</v>
      </c>
      <c r="V892" t="s">
        <v>32</v>
      </c>
      <c r="W892" t="s">
        <v>33</v>
      </c>
      <c r="X892" t="str">
        <f t="shared" si="55"/>
        <v/>
      </c>
      <c r="Y892" t="str">
        <f t="shared" si="53"/>
        <v>Exclude</v>
      </c>
    </row>
    <row r="893" spans="1:25">
      <c r="A893" t="s">
        <v>2758</v>
      </c>
      <c r="B893" s="3">
        <v>45573</v>
      </c>
      <c r="C893" s="3">
        <v>45574</v>
      </c>
      <c r="D893" s="6">
        <f t="shared" si="54"/>
        <v>1</v>
      </c>
      <c r="E893" t="s">
        <v>2759</v>
      </c>
      <c r="F893" t="s">
        <v>265</v>
      </c>
      <c r="G893" s="5" t="s">
        <v>90</v>
      </c>
      <c r="H893" t="s">
        <v>54</v>
      </c>
      <c r="I893" t="s">
        <v>248</v>
      </c>
      <c r="J893" t="s">
        <v>249</v>
      </c>
      <c r="K893" t="s">
        <v>74</v>
      </c>
      <c r="L893" t="s">
        <v>275</v>
      </c>
      <c r="M893" t="s">
        <v>2760</v>
      </c>
      <c r="N893" t="s">
        <v>44</v>
      </c>
      <c r="O893">
        <v>5</v>
      </c>
      <c r="P893">
        <v>2407.9699999999998</v>
      </c>
      <c r="Q893" s="6">
        <v>0.1</v>
      </c>
      <c r="R893" s="8">
        <f t="shared" si="52"/>
        <v>0.1</v>
      </c>
      <c r="S893">
        <v>10835.86</v>
      </c>
      <c r="T893">
        <v>6419.92</v>
      </c>
      <c r="U893">
        <v>4415.9399999999996</v>
      </c>
      <c r="V893" t="s">
        <v>155</v>
      </c>
      <c r="W893" t="s">
        <v>68</v>
      </c>
      <c r="X893" t="str">
        <f t="shared" si="55"/>
        <v>EXCLUDE: Cancelled order; EXCLUDE: Failed payment</v>
      </c>
      <c r="Y893" t="str">
        <f t="shared" si="53"/>
        <v>Exclude</v>
      </c>
    </row>
    <row r="894" spans="1:25">
      <c r="A894" t="s">
        <v>2761</v>
      </c>
      <c r="B894" s="3">
        <v>45995</v>
      </c>
      <c r="C894" s="3">
        <v>45765</v>
      </c>
      <c r="D894" s="6">
        <f t="shared" si="54"/>
        <v>-230</v>
      </c>
      <c r="E894" t="s">
        <v>2762</v>
      </c>
      <c r="F894" t="s">
        <v>47</v>
      </c>
      <c r="G894" s="5" t="s">
        <v>37</v>
      </c>
      <c r="H894" t="s">
        <v>38</v>
      </c>
      <c r="I894" t="s">
        <v>229</v>
      </c>
      <c r="J894" t="s">
        <v>230</v>
      </c>
      <c r="K894" t="s">
        <v>74</v>
      </c>
      <c r="L894" t="s">
        <v>80</v>
      </c>
      <c r="M894" t="s">
        <v>2763</v>
      </c>
      <c r="N894" t="s">
        <v>44</v>
      </c>
      <c r="O894">
        <v>1</v>
      </c>
      <c r="P894">
        <v>726.89</v>
      </c>
      <c r="Q894" s="6">
        <v>0.2</v>
      </c>
      <c r="R894" s="8">
        <f t="shared" si="52"/>
        <v>0.2</v>
      </c>
      <c r="S894">
        <v>581.51</v>
      </c>
      <c r="T894">
        <v>423.86</v>
      </c>
      <c r="U894">
        <v>157.65</v>
      </c>
      <c r="V894" t="s">
        <v>32</v>
      </c>
      <c r="W894" t="s">
        <v>33</v>
      </c>
      <c r="X894" t="str">
        <f t="shared" si="55"/>
        <v>INVALID: Ship date before order date</v>
      </c>
      <c r="Y894" t="str">
        <f t="shared" si="53"/>
        <v>Exclude</v>
      </c>
    </row>
    <row r="895" spans="1:25">
      <c r="A895" t="s">
        <v>2764</v>
      </c>
      <c r="B895" s="3">
        <v>45449</v>
      </c>
      <c r="C895" s="3">
        <v>45510</v>
      </c>
      <c r="D895" s="6">
        <f t="shared" si="54"/>
        <v>61</v>
      </c>
      <c r="E895" t="s">
        <v>2765</v>
      </c>
      <c r="F895" t="s">
        <v>128</v>
      </c>
      <c r="G895" s="5" t="s">
        <v>90</v>
      </c>
      <c r="H895" t="s">
        <v>54</v>
      </c>
      <c r="I895" t="s">
        <v>175</v>
      </c>
      <c r="J895" t="s">
        <v>176</v>
      </c>
      <c r="K895" t="s">
        <v>41</v>
      </c>
      <c r="L895" t="s">
        <v>42</v>
      </c>
      <c r="M895" t="s">
        <v>2766</v>
      </c>
      <c r="N895" t="s">
        <v>31</v>
      </c>
      <c r="O895">
        <v>3</v>
      </c>
      <c r="P895">
        <v>395.49</v>
      </c>
      <c r="Q895" s="6">
        <v>0.05</v>
      </c>
      <c r="R895" s="8">
        <f t="shared" si="52"/>
        <v>0.05</v>
      </c>
      <c r="S895">
        <v>1127.1500000000001</v>
      </c>
      <c r="T895">
        <v>845.62</v>
      </c>
      <c r="U895">
        <v>281.52999999999997</v>
      </c>
      <c r="V895" t="s">
        <v>32</v>
      </c>
      <c r="W895" t="s">
        <v>103</v>
      </c>
      <c r="X895" t="str">
        <f t="shared" si="55"/>
        <v/>
      </c>
      <c r="Y895" t="str">
        <f t="shared" si="53"/>
        <v>Exclude</v>
      </c>
    </row>
    <row r="896" spans="1:25">
      <c r="A896" t="s">
        <v>2767</v>
      </c>
      <c r="B896" s="3">
        <v>45344</v>
      </c>
      <c r="C896" s="3">
        <v>45351</v>
      </c>
      <c r="D896" s="6">
        <f t="shared" si="54"/>
        <v>7</v>
      </c>
      <c r="E896" t="s">
        <v>2768</v>
      </c>
      <c r="F896" t="s">
        <v>47</v>
      </c>
      <c r="G896" s="5" t="s">
        <v>95</v>
      </c>
      <c r="H896" t="s">
        <v>54</v>
      </c>
      <c r="I896" t="s">
        <v>55</v>
      </c>
      <c r="J896" t="s">
        <v>56</v>
      </c>
      <c r="K896" t="s">
        <v>41</v>
      </c>
      <c r="L896" t="s">
        <v>42</v>
      </c>
      <c r="M896" t="s">
        <v>2769</v>
      </c>
      <c r="N896" t="s">
        <v>50</v>
      </c>
      <c r="O896">
        <v>6</v>
      </c>
      <c r="P896">
        <v>4254.05</v>
      </c>
      <c r="Q896" s="6">
        <v>0</v>
      </c>
      <c r="R896" s="8">
        <f t="shared" si="52"/>
        <v>0</v>
      </c>
      <c r="S896">
        <v>25524.3</v>
      </c>
      <c r="T896">
        <v>16711.93</v>
      </c>
      <c r="U896">
        <v>8812.3700000000008</v>
      </c>
      <c r="V896" t="s">
        <v>32</v>
      </c>
      <c r="W896" t="s">
        <v>33</v>
      </c>
      <c r="X896" t="str">
        <f t="shared" si="55"/>
        <v/>
      </c>
      <c r="Y896" t="str">
        <f t="shared" si="53"/>
        <v>Exclude</v>
      </c>
    </row>
    <row r="897" spans="1:25">
      <c r="A897" t="s">
        <v>2770</v>
      </c>
      <c r="B897" s="3">
        <v>45601</v>
      </c>
      <c r="C897" s="3">
        <v>45576</v>
      </c>
      <c r="D897" s="6">
        <f t="shared" si="54"/>
        <v>-25</v>
      </c>
      <c r="E897" t="s">
        <v>2771</v>
      </c>
      <c r="F897" t="s">
        <v>53</v>
      </c>
      <c r="G897" s="5" t="s">
        <v>24</v>
      </c>
      <c r="H897" t="s">
        <v>54</v>
      </c>
      <c r="I897" t="s">
        <v>185</v>
      </c>
      <c r="J897" t="s">
        <v>186</v>
      </c>
      <c r="K897" t="s">
        <v>41</v>
      </c>
      <c r="L897" t="s">
        <v>66</v>
      </c>
      <c r="M897" t="s">
        <v>2772</v>
      </c>
      <c r="N897" t="s">
        <v>44</v>
      </c>
      <c r="O897">
        <v>4</v>
      </c>
      <c r="P897">
        <v>711.18</v>
      </c>
      <c r="Q897" s="6">
        <v>0.15</v>
      </c>
      <c r="R897" s="8">
        <f t="shared" si="52"/>
        <v>0.15</v>
      </c>
      <c r="S897">
        <v>2418.0100000000002</v>
      </c>
      <c r="T897">
        <v>1441.89</v>
      </c>
      <c r="U897">
        <v>976.12</v>
      </c>
      <c r="V897" t="s">
        <v>111</v>
      </c>
      <c r="W897" t="s">
        <v>103</v>
      </c>
      <c r="X897" t="str">
        <f t="shared" si="55"/>
        <v>INVALID: Ship date before order date</v>
      </c>
      <c r="Y897" t="str">
        <f t="shared" si="53"/>
        <v>Exclude</v>
      </c>
    </row>
    <row r="898" spans="1:25">
      <c r="A898" t="s">
        <v>2773</v>
      </c>
      <c r="B898" s="3">
        <v>45650</v>
      </c>
      <c r="C898" s="3">
        <v>45651</v>
      </c>
      <c r="D898" s="6">
        <f t="shared" si="54"/>
        <v>1</v>
      </c>
      <c r="E898" t="s">
        <v>2774</v>
      </c>
      <c r="F898" t="s">
        <v>62</v>
      </c>
      <c r="G898" s="5" t="s">
        <v>37</v>
      </c>
      <c r="H898" t="s">
        <v>54</v>
      </c>
      <c r="I898" t="s">
        <v>248</v>
      </c>
      <c r="J898" t="s">
        <v>249</v>
      </c>
      <c r="K898" t="s">
        <v>74</v>
      </c>
      <c r="L898" t="s">
        <v>80</v>
      </c>
      <c r="M898" t="s">
        <v>2775</v>
      </c>
      <c r="N898" t="s">
        <v>31</v>
      </c>
      <c r="O898">
        <v>1</v>
      </c>
      <c r="P898">
        <v>3693.03</v>
      </c>
      <c r="Q898" s="6">
        <v>0.05</v>
      </c>
      <c r="R898" s="8">
        <f t="shared" ref="R898:R914" si="56">IF(ISBLANK(Q898),IF(AND(ISNUMBER(O898),O898&gt;0,ISNUMBER(P898),ISNUMBER(S898),ISNUMBER(T898),ISNUMBER(U898)),0,""),Q898)</f>
        <v>0.05</v>
      </c>
      <c r="S898">
        <v>3508.38</v>
      </c>
      <c r="T898">
        <v>2828.06</v>
      </c>
      <c r="U898">
        <v>680.32</v>
      </c>
      <c r="V898" t="s">
        <v>155</v>
      </c>
      <c r="W898" t="s">
        <v>103</v>
      </c>
      <c r="X898" t="str">
        <f t="shared" si="55"/>
        <v>EXCLUDE: Failed payment</v>
      </c>
      <c r="Y898" t="str">
        <f t="shared" ref="Y898:Y914" si="57">IF(AND(U898="Completed",T898="Paid",ISERROR(SEARCH("INVALID",W898))),"Include","Exclude")</f>
        <v>Exclude</v>
      </c>
    </row>
    <row r="899" spans="1:25">
      <c r="A899" t="s">
        <v>2776</v>
      </c>
      <c r="B899" s="3">
        <v>45776</v>
      </c>
      <c r="C899" s="3">
        <v>45721</v>
      </c>
      <c r="D899" s="6">
        <f t="shared" ref="D899:D914" si="58">IF(OR(B899="",C899=""),"",C899-B899)</f>
        <v>-55</v>
      </c>
      <c r="E899" t="s">
        <v>2139</v>
      </c>
      <c r="F899" t="s">
        <v>141</v>
      </c>
      <c r="G899" s="5" t="s">
        <v>90</v>
      </c>
      <c r="H899" t="s">
        <v>25</v>
      </c>
      <c r="I899" t="s">
        <v>237</v>
      </c>
      <c r="J899" t="s">
        <v>238</v>
      </c>
      <c r="K899" t="s">
        <v>28</v>
      </c>
      <c r="L899" t="s">
        <v>29</v>
      </c>
      <c r="M899" t="s">
        <v>2777</v>
      </c>
      <c r="N899" t="s">
        <v>50</v>
      </c>
      <c r="O899">
        <v>4</v>
      </c>
      <c r="P899">
        <v>1786.65</v>
      </c>
      <c r="Q899" s="6">
        <v>0.05</v>
      </c>
      <c r="R899" s="8">
        <f t="shared" si="56"/>
        <v>0.05</v>
      </c>
      <c r="S899">
        <v>6789.27</v>
      </c>
      <c r="T899">
        <v>5626.43</v>
      </c>
      <c r="U899">
        <v>1162.8399999999999</v>
      </c>
      <c r="V899" t="s">
        <v>32</v>
      </c>
      <c r="W899" t="s">
        <v>33</v>
      </c>
      <c r="X899" t="str">
        <f t="shared" ref="X899:X914" si="59">_xlfn.TEXTJOIN("; ",TRUE,IF(R899&lt;0,"INVALID: Negative discount",""),IF(R899&gt;50%,"INVALID: Discount above range",""),IF(D899&lt;0,"INVALID: Ship date before order date",""),IF(W899="Cancelled","EXCLUDE: Cancelled order",""),IF(V899="Failed","EXCLUDE: Failed payment",""),IF(V899="Refunded","REFUND: Summarize separately",""))</f>
        <v>INVALID: Ship date before order date</v>
      </c>
      <c r="Y899" t="str">
        <f t="shared" si="57"/>
        <v>Exclude</v>
      </c>
    </row>
    <row r="900" spans="1:25">
      <c r="A900" t="s">
        <v>2778</v>
      </c>
      <c r="B900" s="3">
        <v>45445</v>
      </c>
      <c r="C900" s="3">
        <v>45510</v>
      </c>
      <c r="D900" s="6">
        <f t="shared" si="58"/>
        <v>65</v>
      </c>
      <c r="E900" t="s">
        <v>2779</v>
      </c>
      <c r="F900" t="s">
        <v>71</v>
      </c>
      <c r="G900" s="5" t="s">
        <v>24</v>
      </c>
      <c r="H900" t="s">
        <v>25</v>
      </c>
      <c r="I900" t="s">
        <v>351</v>
      </c>
      <c r="J900" t="s">
        <v>352</v>
      </c>
      <c r="K900" t="s">
        <v>41</v>
      </c>
      <c r="L900" t="s">
        <v>42</v>
      </c>
      <c r="M900" t="s">
        <v>2780</v>
      </c>
      <c r="N900" t="s">
        <v>50</v>
      </c>
      <c r="O900">
        <v>4</v>
      </c>
      <c r="P900">
        <v>1536.7</v>
      </c>
      <c r="Q900" s="6">
        <v>0.2</v>
      </c>
      <c r="R900" s="8">
        <f t="shared" si="56"/>
        <v>0.2</v>
      </c>
      <c r="S900">
        <v>4917.4399999999996</v>
      </c>
      <c r="T900">
        <v>3846.77</v>
      </c>
      <c r="U900">
        <v>1070.67</v>
      </c>
      <c r="V900" t="s">
        <v>32</v>
      </c>
      <c r="W900" t="s">
        <v>33</v>
      </c>
      <c r="X900" t="str">
        <f t="shared" si="59"/>
        <v/>
      </c>
      <c r="Y900" t="str">
        <f t="shared" si="57"/>
        <v>Exclude</v>
      </c>
    </row>
    <row r="901" spans="1:25">
      <c r="A901" t="s">
        <v>2781</v>
      </c>
      <c r="B901" s="3">
        <v>45804</v>
      </c>
      <c r="C901" s="3">
        <v>45722</v>
      </c>
      <c r="D901" s="6">
        <f t="shared" si="58"/>
        <v>-82</v>
      </c>
      <c r="E901" t="s">
        <v>2782</v>
      </c>
      <c r="F901" t="s">
        <v>23</v>
      </c>
      <c r="G901" s="5" t="s">
        <v>24</v>
      </c>
      <c r="H901" t="s">
        <v>25</v>
      </c>
      <c r="I901" t="s">
        <v>122</v>
      </c>
      <c r="J901" t="s">
        <v>123</v>
      </c>
      <c r="K901" t="s">
        <v>41</v>
      </c>
      <c r="L901" t="s">
        <v>66</v>
      </c>
      <c r="M901" t="s">
        <v>2783</v>
      </c>
      <c r="N901" t="s">
        <v>50</v>
      </c>
      <c r="O901">
        <v>5</v>
      </c>
      <c r="P901">
        <v>881.08</v>
      </c>
      <c r="Q901" s="6">
        <v>0.25</v>
      </c>
      <c r="R901" s="8">
        <f t="shared" si="56"/>
        <v>0.25</v>
      </c>
      <c r="S901">
        <v>3304.05</v>
      </c>
      <c r="T901">
        <v>2279.41</v>
      </c>
      <c r="U901">
        <v>1024.6400000000001</v>
      </c>
      <c r="V901" t="s">
        <v>155</v>
      </c>
      <c r="W901" t="s">
        <v>68</v>
      </c>
      <c r="X901" t="str">
        <f t="shared" si="59"/>
        <v>INVALID: Ship date before order date; EXCLUDE: Cancelled order; EXCLUDE: Failed payment</v>
      </c>
      <c r="Y901" t="str">
        <f t="shared" si="57"/>
        <v>Exclude</v>
      </c>
    </row>
    <row r="902" spans="1:25">
      <c r="A902" t="s">
        <v>77</v>
      </c>
      <c r="B902" s="3">
        <v>45934</v>
      </c>
      <c r="C902" s="3">
        <v>45763</v>
      </c>
      <c r="D902" s="6">
        <f t="shared" si="58"/>
        <v>-171</v>
      </c>
      <c r="E902" t="s">
        <v>78</v>
      </c>
      <c r="F902" t="s">
        <v>79</v>
      </c>
      <c r="G902" s="5" t="s">
        <v>24</v>
      </c>
      <c r="H902" t="s">
        <v>38</v>
      </c>
      <c r="I902" t="s">
        <v>39</v>
      </c>
      <c r="J902" t="s">
        <v>40</v>
      </c>
      <c r="K902" t="s">
        <v>74</v>
      </c>
      <c r="L902" t="s">
        <v>80</v>
      </c>
      <c r="M902" t="s">
        <v>81</v>
      </c>
      <c r="N902" t="s">
        <v>59</v>
      </c>
      <c r="O902">
        <v>4</v>
      </c>
      <c r="P902">
        <v>1719.87</v>
      </c>
      <c r="Q902" s="6">
        <v>0.15</v>
      </c>
      <c r="R902" s="8">
        <f t="shared" si="56"/>
        <v>0.15</v>
      </c>
      <c r="S902">
        <v>5847.56</v>
      </c>
      <c r="T902">
        <v>4727.25</v>
      </c>
      <c r="U902">
        <v>1120.31</v>
      </c>
      <c r="V902" t="s">
        <v>32</v>
      </c>
      <c r="W902" t="s">
        <v>33</v>
      </c>
      <c r="X902" t="str">
        <f t="shared" si="59"/>
        <v>INVALID: Ship date before order date</v>
      </c>
      <c r="Y902" t="str">
        <f t="shared" si="57"/>
        <v>Exclude</v>
      </c>
    </row>
    <row r="903" spans="1:25">
      <c r="A903" t="s">
        <v>1105</v>
      </c>
      <c r="B903" s="3">
        <v>45630</v>
      </c>
      <c r="C903" s="3">
        <v>45455</v>
      </c>
      <c r="D903" s="6">
        <f t="shared" si="58"/>
        <v>-175</v>
      </c>
      <c r="E903" t="s">
        <v>1106</v>
      </c>
      <c r="F903" t="s">
        <v>132</v>
      </c>
      <c r="G903" s="5" t="s">
        <v>95</v>
      </c>
      <c r="H903" t="s">
        <v>38</v>
      </c>
      <c r="I903" t="s">
        <v>39</v>
      </c>
      <c r="J903" t="s">
        <v>40</v>
      </c>
      <c r="K903" t="s">
        <v>28</v>
      </c>
      <c r="L903" t="s">
        <v>153</v>
      </c>
      <c r="M903" t="s">
        <v>1107</v>
      </c>
      <c r="N903" t="s">
        <v>31</v>
      </c>
      <c r="O903">
        <v>4</v>
      </c>
      <c r="P903">
        <v>2685.66</v>
      </c>
      <c r="Q903" s="6">
        <v>0</v>
      </c>
      <c r="R903" s="8">
        <f t="shared" si="56"/>
        <v>0</v>
      </c>
      <c r="S903">
        <v>10989.89</v>
      </c>
      <c r="T903">
        <v>6477.37</v>
      </c>
      <c r="U903">
        <v>4265.2700000000004</v>
      </c>
      <c r="V903" t="s">
        <v>32</v>
      </c>
      <c r="W903" t="s">
        <v>33</v>
      </c>
      <c r="X903" t="str">
        <f t="shared" si="59"/>
        <v>INVALID: Ship date before order date</v>
      </c>
      <c r="Y903" t="str">
        <f t="shared" si="57"/>
        <v>Exclude</v>
      </c>
    </row>
    <row r="904" spans="1:25">
      <c r="A904" t="s">
        <v>381</v>
      </c>
      <c r="B904" s="3">
        <v>45893</v>
      </c>
      <c r="C904" s="3">
        <v>45898</v>
      </c>
      <c r="D904" s="6">
        <f t="shared" si="58"/>
        <v>5</v>
      </c>
      <c r="E904" t="s">
        <v>382</v>
      </c>
      <c r="F904" t="s">
        <v>128</v>
      </c>
      <c r="G904" s="5" t="s">
        <v>37</v>
      </c>
      <c r="H904" t="s">
        <v>38</v>
      </c>
      <c r="I904" t="s">
        <v>145</v>
      </c>
      <c r="J904" t="s">
        <v>146</v>
      </c>
      <c r="K904" t="s">
        <v>74</v>
      </c>
      <c r="L904" t="s">
        <v>80</v>
      </c>
      <c r="M904" t="s">
        <v>383</v>
      </c>
      <c r="N904" t="s">
        <v>50</v>
      </c>
      <c r="O904">
        <v>3</v>
      </c>
      <c r="P904">
        <v>3703.96</v>
      </c>
      <c r="Q904" s="6">
        <v>0.15</v>
      </c>
      <c r="R904" s="8">
        <f t="shared" si="56"/>
        <v>0.15</v>
      </c>
      <c r="S904">
        <v>9549.44</v>
      </c>
      <c r="T904">
        <v>5586.28</v>
      </c>
      <c r="U904">
        <v>3858.82</v>
      </c>
      <c r="V904" t="s">
        <v>32</v>
      </c>
      <c r="W904" t="s">
        <v>103</v>
      </c>
      <c r="X904" t="str">
        <f t="shared" si="59"/>
        <v/>
      </c>
      <c r="Y904" t="str">
        <f t="shared" si="57"/>
        <v>Exclude</v>
      </c>
    </row>
    <row r="905" spans="1:25">
      <c r="A905" t="s">
        <v>1230</v>
      </c>
      <c r="B905" s="3">
        <v>45760</v>
      </c>
      <c r="C905" s="3">
        <v>45760</v>
      </c>
      <c r="D905" s="6">
        <f t="shared" si="58"/>
        <v>0</v>
      </c>
      <c r="E905" t="s">
        <v>1231</v>
      </c>
      <c r="F905" t="s">
        <v>132</v>
      </c>
      <c r="G905" s="5" t="s">
        <v>37</v>
      </c>
      <c r="H905" t="s">
        <v>25</v>
      </c>
      <c r="I905" t="s">
        <v>136</v>
      </c>
      <c r="J905" t="s">
        <v>137</v>
      </c>
      <c r="K905" t="s">
        <v>28</v>
      </c>
      <c r="L905" t="s">
        <v>124</v>
      </c>
      <c r="M905" t="s">
        <v>1232</v>
      </c>
      <c r="N905" t="s">
        <v>31</v>
      </c>
      <c r="O905">
        <v>9</v>
      </c>
      <c r="P905">
        <v>1118.68</v>
      </c>
      <c r="Q905" s="6">
        <v>0</v>
      </c>
      <c r="R905" s="8">
        <f t="shared" si="56"/>
        <v>0</v>
      </c>
      <c r="S905">
        <v>10348.43</v>
      </c>
      <c r="T905">
        <v>8595.3700000000008</v>
      </c>
      <c r="U905">
        <v>1472.75</v>
      </c>
      <c r="V905" t="s">
        <v>32</v>
      </c>
      <c r="W905" t="s">
        <v>103</v>
      </c>
      <c r="X905" t="str">
        <f t="shared" si="59"/>
        <v/>
      </c>
      <c r="Y905" t="str">
        <f t="shared" si="57"/>
        <v>Exclude</v>
      </c>
    </row>
    <row r="906" spans="1:25">
      <c r="A906" t="s">
        <v>784</v>
      </c>
      <c r="B906" s="3">
        <v>45698</v>
      </c>
      <c r="C906" s="3">
        <v>45879</v>
      </c>
      <c r="D906" s="6">
        <f t="shared" si="58"/>
        <v>181</v>
      </c>
      <c r="E906" t="s">
        <v>785</v>
      </c>
      <c r="F906" t="s">
        <v>47</v>
      </c>
      <c r="G906" s="5" t="s">
        <v>37</v>
      </c>
      <c r="H906" t="s">
        <v>25</v>
      </c>
      <c r="I906" t="s">
        <v>122</v>
      </c>
      <c r="J906" t="s">
        <v>123</v>
      </c>
      <c r="K906" t="s">
        <v>41</v>
      </c>
      <c r="L906" t="s">
        <v>57</v>
      </c>
      <c r="M906" t="s">
        <v>786</v>
      </c>
      <c r="N906" t="s">
        <v>59</v>
      </c>
      <c r="O906">
        <v>4</v>
      </c>
      <c r="P906">
        <v>3944.64</v>
      </c>
      <c r="Q906" s="6">
        <v>0.25</v>
      </c>
      <c r="R906" s="8">
        <f t="shared" si="56"/>
        <v>0.25</v>
      </c>
      <c r="S906">
        <v>12116.89</v>
      </c>
      <c r="T906">
        <v>6682.92</v>
      </c>
      <c r="U906">
        <v>5151</v>
      </c>
      <c r="V906" t="s">
        <v>32</v>
      </c>
      <c r="W906" t="s">
        <v>103</v>
      </c>
      <c r="X906" t="str">
        <f t="shared" si="59"/>
        <v/>
      </c>
      <c r="Y906" t="str">
        <f t="shared" si="57"/>
        <v>Exclude</v>
      </c>
    </row>
    <row r="907" spans="1:25">
      <c r="A907" t="s">
        <v>1055</v>
      </c>
      <c r="B907" s="3">
        <v>45795</v>
      </c>
      <c r="C907" s="3">
        <v>45797</v>
      </c>
      <c r="D907" s="6">
        <f t="shared" si="58"/>
        <v>2</v>
      </c>
      <c r="E907" t="s">
        <v>1056</v>
      </c>
      <c r="F907" t="s">
        <v>47</v>
      </c>
      <c r="G907" s="5" t="s">
        <v>90</v>
      </c>
      <c r="H907" t="s">
        <v>63</v>
      </c>
      <c r="I907" t="s">
        <v>72</v>
      </c>
      <c r="J907" t="s">
        <v>73</v>
      </c>
      <c r="K907" t="s">
        <v>28</v>
      </c>
      <c r="L907" t="s">
        <v>91</v>
      </c>
      <c r="M907" t="s">
        <v>1057</v>
      </c>
      <c r="N907" t="s">
        <v>59</v>
      </c>
      <c r="O907">
        <v>9</v>
      </c>
      <c r="P907">
        <v>847.76</v>
      </c>
      <c r="Q907" s="6">
        <v>0.15</v>
      </c>
      <c r="R907" s="8">
        <f t="shared" si="56"/>
        <v>0.15</v>
      </c>
      <c r="S907">
        <v>6589.37</v>
      </c>
      <c r="T907">
        <v>5376.17</v>
      </c>
      <c r="U907">
        <v>1109.19</v>
      </c>
      <c r="V907" t="s">
        <v>155</v>
      </c>
      <c r="W907" t="s">
        <v>33</v>
      </c>
      <c r="X907" t="str">
        <f t="shared" si="59"/>
        <v>EXCLUDE: Failed payment</v>
      </c>
      <c r="Y907" t="str">
        <f t="shared" si="57"/>
        <v>Exclude</v>
      </c>
    </row>
    <row r="908" spans="1:25">
      <c r="A908" t="s">
        <v>622</v>
      </c>
      <c r="B908" s="3">
        <v>45907</v>
      </c>
      <c r="C908" s="3">
        <v>45915</v>
      </c>
      <c r="D908" s="6">
        <f t="shared" si="58"/>
        <v>8</v>
      </c>
      <c r="E908" t="s">
        <v>623</v>
      </c>
      <c r="F908" t="s">
        <v>141</v>
      </c>
      <c r="G908" s="5" t="s">
        <v>90</v>
      </c>
      <c r="H908" t="s">
        <v>38</v>
      </c>
      <c r="I908" t="s">
        <v>145</v>
      </c>
      <c r="J908" t="s">
        <v>146</v>
      </c>
      <c r="K908" t="s">
        <v>74</v>
      </c>
      <c r="L908" t="s">
        <v>80</v>
      </c>
      <c r="M908" t="s">
        <v>624</v>
      </c>
      <c r="N908" t="s">
        <v>59</v>
      </c>
      <c r="O908">
        <v>3</v>
      </c>
      <c r="P908">
        <v>1711.32</v>
      </c>
      <c r="Q908" s="6">
        <v>0</v>
      </c>
      <c r="R908" s="8">
        <f t="shared" si="56"/>
        <v>0</v>
      </c>
      <c r="S908">
        <v>5206.53</v>
      </c>
      <c r="T908">
        <v>3930</v>
      </c>
      <c r="U908">
        <v>1203.96</v>
      </c>
      <c r="V908" t="s">
        <v>32</v>
      </c>
      <c r="W908" t="s">
        <v>103</v>
      </c>
      <c r="X908" t="str">
        <f t="shared" si="59"/>
        <v/>
      </c>
      <c r="Y908" t="str">
        <f t="shared" si="57"/>
        <v>Exclude</v>
      </c>
    </row>
    <row r="909" spans="1:25">
      <c r="A909" t="s">
        <v>1382</v>
      </c>
      <c r="B909" s="3">
        <v>45342</v>
      </c>
      <c r="C909" s="3">
        <v>45349</v>
      </c>
      <c r="D909" s="6">
        <f t="shared" si="58"/>
        <v>7</v>
      </c>
      <c r="E909" t="s">
        <v>1383</v>
      </c>
      <c r="F909" t="s">
        <v>162</v>
      </c>
      <c r="G909" s="5" t="s">
        <v>24</v>
      </c>
      <c r="H909" t="s">
        <v>54</v>
      </c>
      <c r="I909" t="s">
        <v>185</v>
      </c>
      <c r="J909" t="s">
        <v>186</v>
      </c>
      <c r="K909" t="s">
        <v>74</v>
      </c>
      <c r="L909" t="s">
        <v>75</v>
      </c>
      <c r="M909" t="s">
        <v>1384</v>
      </c>
      <c r="N909" t="s">
        <v>1385</v>
      </c>
      <c r="O909">
        <v>9</v>
      </c>
      <c r="P909">
        <v>3779.31</v>
      </c>
      <c r="Q909" s="6">
        <v>0.2</v>
      </c>
      <c r="R909" s="8">
        <f t="shared" si="56"/>
        <v>0.2</v>
      </c>
      <c r="S909">
        <v>27322.9</v>
      </c>
      <c r="T909">
        <v>17940.43</v>
      </c>
      <c r="U909">
        <v>9270.6</v>
      </c>
      <c r="V909" t="s">
        <v>32</v>
      </c>
      <c r="W909" t="s">
        <v>103</v>
      </c>
      <c r="X909" t="str">
        <f t="shared" si="59"/>
        <v/>
      </c>
      <c r="Y909" t="str">
        <f t="shared" si="57"/>
        <v>Exclude</v>
      </c>
    </row>
    <row r="910" spans="1:25">
      <c r="A910" t="s">
        <v>1825</v>
      </c>
      <c r="B910" s="3">
        <v>45698</v>
      </c>
      <c r="C910" s="3">
        <v>45702</v>
      </c>
      <c r="D910" s="6">
        <f t="shared" si="58"/>
        <v>4</v>
      </c>
      <c r="E910" t="s">
        <v>1826</v>
      </c>
      <c r="F910" t="s">
        <v>114</v>
      </c>
      <c r="G910" s="5" t="s">
        <v>37</v>
      </c>
      <c r="H910" t="s">
        <v>25</v>
      </c>
      <c r="I910" t="s">
        <v>136</v>
      </c>
      <c r="J910" t="s">
        <v>137</v>
      </c>
      <c r="K910" t="s">
        <v>74</v>
      </c>
      <c r="L910" t="s">
        <v>171</v>
      </c>
      <c r="M910" t="s">
        <v>1827</v>
      </c>
      <c r="N910" t="s">
        <v>2806</v>
      </c>
      <c r="O910">
        <v>5</v>
      </c>
      <c r="P910">
        <v>4276.29</v>
      </c>
      <c r="Q910" s="6">
        <v>0</v>
      </c>
      <c r="R910" s="8">
        <f t="shared" si="56"/>
        <v>0</v>
      </c>
      <c r="S910">
        <v>21443.63</v>
      </c>
      <c r="T910">
        <v>13240.21</v>
      </c>
      <c r="U910">
        <v>8141.24</v>
      </c>
      <c r="V910" t="s">
        <v>155</v>
      </c>
      <c r="W910" t="s">
        <v>33</v>
      </c>
      <c r="X910" t="str">
        <f t="shared" si="59"/>
        <v>EXCLUDE: Failed payment</v>
      </c>
      <c r="Y910" t="str">
        <f t="shared" si="57"/>
        <v>Exclude</v>
      </c>
    </row>
    <row r="911" spans="1:25">
      <c r="A911" t="s">
        <v>538</v>
      </c>
      <c r="B911" s="3">
        <v>45381</v>
      </c>
      <c r="C911" s="3">
        <v>45377</v>
      </c>
      <c r="D911" s="6">
        <f t="shared" si="58"/>
        <v>-4</v>
      </c>
      <c r="E911" t="s">
        <v>539</v>
      </c>
      <c r="F911" t="s">
        <v>89</v>
      </c>
      <c r="G911" s="5" t="s">
        <v>95</v>
      </c>
      <c r="H911" t="s">
        <v>25</v>
      </c>
      <c r="I911" t="s">
        <v>26</v>
      </c>
      <c r="J911" t="s">
        <v>27</v>
      </c>
      <c r="K911" t="s">
        <v>74</v>
      </c>
      <c r="L911" t="s">
        <v>171</v>
      </c>
      <c r="M911" t="s">
        <v>540</v>
      </c>
      <c r="N911" t="s">
        <v>31</v>
      </c>
      <c r="O911">
        <v>5</v>
      </c>
      <c r="P911">
        <v>907.54</v>
      </c>
      <c r="Q911" s="6">
        <v>0.15</v>
      </c>
      <c r="R911" s="8">
        <f t="shared" si="56"/>
        <v>0.15</v>
      </c>
      <c r="S911">
        <v>4099.6899999999996</v>
      </c>
      <c r="T911">
        <v>2769.26</v>
      </c>
      <c r="U911">
        <v>1087.78</v>
      </c>
      <c r="V911" t="s">
        <v>32</v>
      </c>
      <c r="W911" t="s">
        <v>103</v>
      </c>
      <c r="X911" t="str">
        <f t="shared" si="59"/>
        <v>INVALID: Ship date before order date</v>
      </c>
      <c r="Y911" t="str">
        <f t="shared" si="57"/>
        <v>Exclude</v>
      </c>
    </row>
    <row r="912" spans="1:25">
      <c r="A912" t="s">
        <v>929</v>
      </c>
      <c r="B912" s="3">
        <v>45522</v>
      </c>
      <c r="C912" s="3">
        <v>45528</v>
      </c>
      <c r="D912" s="6">
        <f t="shared" si="58"/>
        <v>6</v>
      </c>
      <c r="E912" t="s">
        <v>930</v>
      </c>
      <c r="F912" t="s">
        <v>53</v>
      </c>
      <c r="G912" s="5" t="s">
        <v>24</v>
      </c>
      <c r="H912" t="s">
        <v>54</v>
      </c>
      <c r="I912" t="s">
        <v>84</v>
      </c>
      <c r="J912" t="s">
        <v>85</v>
      </c>
      <c r="K912" t="s">
        <v>41</v>
      </c>
      <c r="L912" t="s">
        <v>66</v>
      </c>
      <c r="M912" t="s">
        <v>931</v>
      </c>
      <c r="N912" t="s">
        <v>50</v>
      </c>
      <c r="O912">
        <v>7</v>
      </c>
      <c r="P912">
        <v>557.21</v>
      </c>
      <c r="Q912" s="6">
        <v>0.1</v>
      </c>
      <c r="R912" s="8">
        <f t="shared" si="56"/>
        <v>0.1</v>
      </c>
      <c r="S912">
        <v>3797.79</v>
      </c>
      <c r="T912">
        <v>2191.5</v>
      </c>
      <c r="U912">
        <v>1213.48</v>
      </c>
      <c r="V912" t="s">
        <v>32</v>
      </c>
      <c r="W912" t="s">
        <v>103</v>
      </c>
      <c r="X912" t="str">
        <f t="shared" si="59"/>
        <v/>
      </c>
      <c r="Y912" t="str">
        <f t="shared" si="57"/>
        <v>Exclude</v>
      </c>
    </row>
    <row r="913" spans="1:25">
      <c r="A913" t="s">
        <v>480</v>
      </c>
      <c r="B913" s="3">
        <v>45436</v>
      </c>
      <c r="C913" s="3">
        <v>45437</v>
      </c>
      <c r="D913" s="6">
        <f t="shared" si="58"/>
        <v>1</v>
      </c>
      <c r="E913" t="s">
        <v>481</v>
      </c>
      <c r="F913" t="s">
        <v>132</v>
      </c>
      <c r="G913" s="5" t="s">
        <v>37</v>
      </c>
      <c r="H913" t="s">
        <v>25</v>
      </c>
      <c r="I913" t="s">
        <v>122</v>
      </c>
      <c r="J913" t="s">
        <v>123</v>
      </c>
      <c r="K913" t="s">
        <v>74</v>
      </c>
      <c r="L913" t="s">
        <v>80</v>
      </c>
      <c r="M913" t="s">
        <v>482</v>
      </c>
      <c r="N913" t="s">
        <v>44</v>
      </c>
      <c r="O913">
        <v>1</v>
      </c>
      <c r="P913">
        <v>634.13</v>
      </c>
      <c r="Q913" s="6">
        <v>0</v>
      </c>
      <c r="R913" s="8">
        <f t="shared" si="56"/>
        <v>0</v>
      </c>
      <c r="S913">
        <v>808.67</v>
      </c>
      <c r="T913">
        <v>453.35</v>
      </c>
      <c r="U913">
        <v>180.78</v>
      </c>
      <c r="V913" t="s">
        <v>102</v>
      </c>
      <c r="W913" t="s">
        <v>103</v>
      </c>
      <c r="X913" t="str">
        <f t="shared" si="59"/>
        <v>REFUND: Summarize separately</v>
      </c>
      <c r="Y913" t="str">
        <f t="shared" si="57"/>
        <v>Exclude</v>
      </c>
    </row>
    <row r="914" spans="1:25">
      <c r="A914" t="s">
        <v>1118</v>
      </c>
      <c r="B914" s="3">
        <v>45824</v>
      </c>
      <c r="C914" s="3">
        <v>45826</v>
      </c>
      <c r="D914" s="6">
        <f t="shared" si="58"/>
        <v>2</v>
      </c>
      <c r="E914" t="s">
        <v>1119</v>
      </c>
      <c r="F914" t="s">
        <v>118</v>
      </c>
      <c r="G914" s="5" t="s">
        <v>95</v>
      </c>
      <c r="H914" t="s">
        <v>63</v>
      </c>
      <c r="I914" t="s">
        <v>72</v>
      </c>
      <c r="J914" t="s">
        <v>73</v>
      </c>
      <c r="K914" t="s">
        <v>28</v>
      </c>
      <c r="L914" t="s">
        <v>29</v>
      </c>
      <c r="M914" t="s">
        <v>1120</v>
      </c>
      <c r="N914" t="s">
        <v>50</v>
      </c>
      <c r="O914">
        <v>3</v>
      </c>
      <c r="P914">
        <v>4289.37</v>
      </c>
      <c r="Q914" s="6">
        <v>0.1</v>
      </c>
      <c r="R914" s="8">
        <f t="shared" si="56"/>
        <v>0.1</v>
      </c>
      <c r="S914">
        <v>11778.71</v>
      </c>
      <c r="T914">
        <v>6829.43</v>
      </c>
      <c r="U914">
        <v>4751.87</v>
      </c>
      <c r="V914" t="s">
        <v>32</v>
      </c>
      <c r="W914" t="s">
        <v>103</v>
      </c>
      <c r="X914" t="str">
        <f t="shared" si="59"/>
        <v/>
      </c>
      <c r="Y914" t="str">
        <f t="shared" si="57"/>
        <v>Exclude</v>
      </c>
    </row>
    <row r="915" spans="1:25">
      <c r="G915"/>
    </row>
    <row r="916" spans="1:25">
      <c r="G916"/>
    </row>
    <row r="917" spans="1:25">
      <c r="G917"/>
    </row>
    <row r="918" spans="1:25">
      <c r="G918"/>
    </row>
    <row r="919" spans="1:25">
      <c r="G919"/>
    </row>
    <row r="920" spans="1:25">
      <c r="G920"/>
    </row>
    <row r="921" spans="1:25">
      <c r="G921"/>
    </row>
    <row r="922" spans="1:25">
      <c r="G922"/>
    </row>
    <row r="923" spans="1:25">
      <c r="G923"/>
    </row>
    <row r="924" spans="1:25">
      <c r="G924"/>
    </row>
    <row r="925" spans="1:25">
      <c r="G925"/>
    </row>
    <row r="926" spans="1:25">
      <c r="G926"/>
    </row>
    <row r="927" spans="1:25">
      <c r="G927"/>
    </row>
    <row r="928" spans="1:25">
      <c r="G928"/>
    </row>
    <row r="929" spans="7:7">
      <c r="G929"/>
    </row>
    <row r="930" spans="7:7">
      <c r="G930"/>
    </row>
    <row r="931" spans="7:7">
      <c r="G931"/>
    </row>
    <row r="932" spans="7:7">
      <c r="G932"/>
    </row>
    <row r="933" spans="7:7">
      <c r="G93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2784</v>
      </c>
      <c r="B1" s="1" t="s">
        <v>2785</v>
      </c>
    </row>
    <row r="2" spans="1:2" ht="41.4">
      <c r="A2" s="2" t="s">
        <v>2786</v>
      </c>
      <c r="B2" s="2" t="s">
        <v>2787</v>
      </c>
    </row>
    <row r="3" spans="1:2" ht="27.6">
      <c r="A3" s="2" t="s">
        <v>2788</v>
      </c>
      <c r="B3" s="2" t="s">
        <v>2789</v>
      </c>
    </row>
    <row r="4" spans="1:2" ht="27.6">
      <c r="A4" s="2" t="s">
        <v>2790</v>
      </c>
      <c r="B4" s="2" t="s">
        <v>2789</v>
      </c>
    </row>
    <row r="5" spans="1:2" ht="27.6">
      <c r="A5" s="2" t="s">
        <v>2791</v>
      </c>
      <c r="B5" s="2" t="s">
        <v>2792</v>
      </c>
    </row>
    <row r="6" spans="1:2" ht="41.4">
      <c r="A6" s="2" t="s">
        <v>2793</v>
      </c>
      <c r="B6" s="2" t="s">
        <v>2794</v>
      </c>
    </row>
    <row r="7" spans="1:2" ht="55.2">
      <c r="A7" s="2" t="s">
        <v>2795</v>
      </c>
      <c r="B7" s="2" t="s">
        <v>2796</v>
      </c>
    </row>
    <row r="8" spans="1:2" ht="27.6">
      <c r="A8" s="2" t="s">
        <v>2797</v>
      </c>
      <c r="B8" s="2" t="s">
        <v>2798</v>
      </c>
    </row>
    <row r="9" spans="1:2" ht="41.4">
      <c r="A9" s="2" t="s">
        <v>2799</v>
      </c>
      <c r="B9" s="2" t="s">
        <v>2800</v>
      </c>
    </row>
    <row r="10" spans="1:2" ht="69">
      <c r="A10" s="2" t="s">
        <v>2801</v>
      </c>
      <c r="B10" s="2" t="s">
        <v>2802</v>
      </c>
    </row>
    <row r="11" spans="1:2" ht="41.4">
      <c r="A11" s="2" t="s">
        <v>2803</v>
      </c>
      <c r="B11" s="2" t="s">
        <v>2804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4C53B4-82BE-4AB6-A036-22478C245F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msoni</dc:creator>
  <cp:lastModifiedBy>Devraj Soni</cp:lastModifiedBy>
  <dcterms:created xsi:type="dcterms:W3CDTF">2026-06-28T11:36:48Z</dcterms:created>
  <dcterms:modified xsi:type="dcterms:W3CDTF">2026-06-28T17:26:28Z</dcterms:modified>
</cp:coreProperties>
</file>