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198af440c049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eaned_orders" sheetId="1" r:id="R5be15095c5b44c11"/>
    <x:sheet xmlns:r="http://schemas.openxmlformats.org/officeDocument/2006/relationships" name="quality_summary" sheetId="2" r:id="R202f2d152ab34ff6"/>
    <x:sheet xmlns:r="http://schemas.openxmlformats.org/officeDocument/2006/relationships" name="business_rules" sheetId="3" r:id="R9206ce0a53084d3e"/>
    <x:sheet xmlns:r="http://schemas.openxmlformats.org/officeDocument/2006/relationships" name="Pivot Region" sheetId="4" r:id="Ra5188a4b6af94f2a"/>
    <x:sheet xmlns:r="http://schemas.openxmlformats.org/officeDocument/2006/relationships" name="Pivot Category" sheetId="5" r:id="Rccc9002f78fd4b00"/>
    <x:sheet xmlns:r="http://schemas.openxmlformats.org/officeDocument/2006/relationships" name="Pivot Ship Mode" sheetId="6" r:id="Re860a992ec834f15"/>
    <x:sheet xmlns:r="http://schemas.openxmlformats.org/officeDocument/2006/relationships" name="Pivot Segment" sheetId="7" r:id="R74dba430d75f42e4"/>
    <x:sheet xmlns:r="http://schemas.openxmlformats.org/officeDocument/2006/relationships" name="Pivot Exceptions" sheetId="8" r:id="R09ccdf58463740e6"/>
    <x:sheet xmlns:r="http://schemas.openxmlformats.org/officeDocument/2006/relationships" name="Pivot Monthly" sheetId="9" r:id="R3bae2dca6d1f446c"/>
    <x:sheet xmlns:r="http://schemas.openxmlformats.org/officeDocument/2006/relationships" name="Pivot Index" sheetId="10" r:id="Rd407f97fe71e47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dd-mmm-yyyy"/>
    <x:numFmt numFmtId="201" formatCode="0.00%"/>
    <x:numFmt numFmtId="202" formatCode="#,##0.00"/>
    <x:numFmt numFmtId="203" formatCode="0.0%"/>
    <x:numFmt numFmtId="204" formatCode="0"/>
    <x:numFmt numFmtId="205" formatCode="#,##0"/>
    <x:numFmt numFmtId="206" formatCode="mmm yyyy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7"/>
      <x:color rgb="FFFFFFFF"/>
      <x:name val="Carlito"/>
    </x:font>
    <x:font>
      <x:i/>
      <x:sz val="11"/>
      <x:color rgb="FF475467"/>
      <x:name val="Carlito"/>
    </x:font>
    <x:font>
      <x:b/>
      <x:sz val="19"/>
      <x:color rgb="FFFFFFFF"/>
      <x:name val="Carlito"/>
    </x:font>
    <x:font>
      <x:b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17365D"/>
      </x:patternFill>
    </x:fill>
    <x:fill>
      <x:patternFill patternType="solid">
        <x:fgColor rgb="FFEEF4FA"/>
      </x:patternFill>
    </x:fill>
    <x:fill>
      <x:patternFill patternType="solid">
        <x:fgColor rgb="FFDCE6F1"/>
      </x:patternFill>
    </x:fill>
    <x:fill>
      <x:patternFill patternType="solid">
        <x:fgColor rgb="FFFFF2CC"/>
      </x:patternFill>
    </x:fill>
  </x:fills>
  <x:borders count="4">
    <x:border/>
    <x:border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top style="thin">
        <x:color rgb="FFD0D5DD"/>
      </x:top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2" xfId="0" applyNumberFormat="1" applyFont="1" applyFill="1" applyBorder="1" applyAlignment="1">
      <x:alignment horizontal="center"/>
    </x:xf>
    <x:xf numFmtId="0" fontId="3" fillId="3" borderId="3" xfId="0" applyNumberFormat="1" applyFont="1" applyFill="1" applyBorder="1" applyAlignment="1">
      <x:alignment horizontal="center"/>
    </x:xf>
    <x:xf numFmtId="205" fontId="3" fillId="3" borderId="1" xfId="0" applyNumberFormat="1" applyFont="1" applyFill="1" applyBorder="1" applyAlignment="1">
      <x:alignment horizontal="center"/>
    </x:xf>
    <x:xf numFmtId="205" fontId="3" fillId="3" borderId="2" xfId="0" applyNumberFormat="1" applyFont="1" applyFill="1" applyBorder="1" applyAlignment="1">
      <x:alignment horizontal="center"/>
    </x:xf>
    <x:xf numFmtId="202" fontId="3" fillId="3" borderId="3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/>
    <x:xf numFmtId="202" fontId="0" fillId="0" borderId="2" xfId="0" applyNumberFormat="1" applyFont="1" applyFill="1" applyBorder="1"/>
    <x:xf numFmtId="202" fontId="0" fillId="0" borderId="3" xfId="0" applyNumberFormat="1" applyFont="1" applyFill="1" applyBorder="1"/>
    <x:xf numFmtId="205" fontId="0" fillId="0" borderId="1" xfId="0" applyNumberFormat="1" applyFont="1" applyFill="1" applyBorder="1"/>
    <x:xf numFmtId="205" fontId="0" fillId="0" borderId="2" xfId="0" applyNumberFormat="1" applyFont="1" applyFill="1" applyBorder="1"/>
    <x:xf numFmtId="205" fontId="0" fillId="0" borderId="3" xfId="0" applyNumberFormat="1" applyFont="1" applyFill="1" applyBorder="1"/>
    <x:xf numFmtId="203" fontId="0" fillId="0" borderId="1" xfId="0" applyNumberFormat="1" applyFont="1" applyFill="1" applyBorder="1"/>
    <x:xf numFmtId="203" fontId="0" fillId="0" borderId="2" xfId="0" applyNumberFormat="1" applyFont="1" applyFill="1" applyBorder="1"/>
    <x:xf numFmtId="203" fontId="0" fillId="0" borderId="3" xfId="0" applyNumberFormat="1" applyFont="1" applyFill="1" applyBorder="1"/>
    <x:xf numFmtId="206" fontId="0" fillId="0" borderId="1" xfId="0" applyNumberFormat="1" applyFont="1" applyFill="1" applyBorder="1"/>
    <x:xf numFmtId="206" fontId="0" fillId="0" borderId="2" xfId="0" applyNumberFormat="1" applyFont="1" applyFill="1" applyBorder="1"/>
    <x:xf numFmtId="206" fontId="0" fillId="0" borderId="3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3" fillId="6" borderId="1" xfId="0" applyNumberFormat="1" applyFont="1" applyFill="1" applyBorder="1"/>
    <x:xf numFmtId="0" fontId="3" fillId="6" borderId="2" xfId="0" applyNumberFormat="1" applyFont="1" applyFill="1" applyBorder="1"/>
    <x:xf numFmtId="0" fontId="3" fillId="6" borderId="3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color rgb="FF9C0006"/>
      </x:font>
      <x:fill>
        <x:patternFill>
          <x:bgColor rgb="FFFCE8E6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3130d8fd7247e2" /><Relationship Type="http://schemas.openxmlformats.org/officeDocument/2006/relationships/theme" Target="/xl/theme/theme1.xml" Id="R0d9cc4488f2848af" /><Relationship Type="http://schemas.openxmlformats.org/officeDocument/2006/relationships/sharedStrings" Target="/xl/sharedStrings.xml" Id="R566a7e8a25fe4fb6" /><Relationship Type="http://schemas.openxmlformats.org/officeDocument/2006/relationships/worksheet" Target="/xl/worksheets/sheet1.xml" Id="R5be15095c5b44c11" /><Relationship Type="http://schemas.openxmlformats.org/officeDocument/2006/relationships/worksheet" Target="/xl/worksheets/sheet2.xml" Id="R202f2d152ab34ff6" /><Relationship Type="http://schemas.openxmlformats.org/officeDocument/2006/relationships/worksheet" Target="/xl/worksheets/sheet3.xml" Id="R9206ce0a53084d3e" /><Relationship Type="http://schemas.openxmlformats.org/officeDocument/2006/relationships/worksheet" Target="/xl/worksheets/sheet4.xml" Id="Ra5188a4b6af94f2a" /><Relationship Type="http://schemas.openxmlformats.org/officeDocument/2006/relationships/worksheet" Target="/xl/worksheets/sheet5.xml" Id="Rccc9002f78fd4b00" /><Relationship Type="http://schemas.openxmlformats.org/officeDocument/2006/relationships/worksheet" Target="/xl/worksheets/sheet6.xml" Id="Re860a992ec834f15" /><Relationship Type="http://schemas.openxmlformats.org/officeDocument/2006/relationships/worksheet" Target="/xl/worksheets/sheet7.xml" Id="R74dba430d75f42e4" /><Relationship Type="http://schemas.openxmlformats.org/officeDocument/2006/relationships/worksheet" Target="/xl/worksheets/sheet8.xml" Id="R09ccdf58463740e6" /><Relationship Type="http://schemas.openxmlformats.org/officeDocument/2006/relationships/worksheet" Target="/xl/worksheets/sheet9.xml" Id="R3bae2dca6d1f446c" /><Relationship Type="http://schemas.openxmlformats.org/officeDocument/2006/relationships/worksheet" Target="/xl/worksheets/sheet10.xml" Id="Rd407f97fe71e4730" /></Relationships>
</file>

<file path=xl/tables/table1.xml><?xml version="1.0" encoding="utf-8"?>
<x:table xmlns:x="http://schemas.openxmlformats.org/spreadsheetml/2006/main" id="1" name="CleanedOrdersTable" displayName="CleanedOrdersTable" ref="A1:AE913" headerRowCount="1">
  <x:autoFilter ref="A1:AE913"/>
  <x:tableColumns count="31">
    <x:tableColumn id="1" name="order_id"/>
    <x:tableColumn id="2" name="order_date"/>
    <x:tableColumn id="3" name="ship_date"/>
    <x:tableColumn id="4" name="customer_id"/>
    <x:tableColumn id="5" name="customer_name"/>
    <x:tableColumn id="6" name="segment"/>
    <x:tableColumn id="7" name="region"/>
    <x:tableColumn id="8" name="state"/>
    <x:tableColumn id="9" name="city"/>
    <x:tableColumn id="10" name="category"/>
    <x:tableColumn id="11" name="sub_category"/>
    <x:tableColumn id="12" name="product_name"/>
    <x:tableColumn id="13" name="ship_mode"/>
    <x:tableColumn id="14" name="quantity"/>
    <x:tableColumn id="15" name="unit_price"/>
    <x:tableColumn id="16" name="discount"/>
    <x:tableColumn id="17" name="sales"/>
    <x:tableColumn id="18" name="cost"/>
    <x:tableColumn id="19" name="profit"/>
    <x:tableColumn id="20" name="payment_status"/>
    <x:tableColumn id="21" name="order_status"/>
    <x:tableColumn id="22" name="clean_discount"/>
    <x:tableColumn id="23" name="calculated_sales"/>
    <x:tableColumn id="24" name="calculated_profit"/>
    <x:tableColumn id="25" name="profit_margin"/>
    <x:tableColumn id="26" name="shipping_delay_days"/>
    <x:tableColumn id="27" name="order_month"/>
    <x:tableColumn id="28" name="order_year"/>
    <x:tableColumn id="29" name="data_quality_flag"/>
    <x:tableColumn id="30" name="completed_sales_eligible"/>
    <x:tableColumn id="31" name="refund_flag"/>
  </x:tableColumns>
  <x:tableStyleInfo name="TableStyleMedium2" showRowStripes="1"/>
</x:table>
</file>

<file path=xl/tables/table2.xml><?xml version="1.0" encoding="utf-8"?>
<x:table xmlns:x="http://schemas.openxmlformats.org/spreadsheetml/2006/main" id="2" name="BusinessRulesTable" displayName="BusinessRulesTable" ref="A1:B11" headerRowCount="1">
  <x:tableColumns count="2">
    <x:tableColumn id="1" name="Rule Area"/>
    <x:tableColumn id="2" name="Student-Facing Rule"/>
  </x:tableColumns>
  <x:tableStyleInfo name="TableStyleMedium2" showRowStripes="1"/>
</x:table>
</file>

<file path=xl/tables/table3.xml><?xml version="1.0" encoding="utf-8"?>
<x:table xmlns:x="http://schemas.openxmlformats.org/spreadsheetml/2006/main" id="3" name="PivotRegionTable" displayName="PivotRegionTable" ref="A4:D9" headerRowCount="1">
  <x:autoFilter ref="A4:D9"/>
  <x:tableColumns count="4">
    <x:tableColumn id="1" name="Region"/>
    <x:tableColumn id="2" name="Sales"/>
    <x:tableColumn id="3" name="Profit"/>
    <x:tableColumn id="4" name="Order Count"/>
  </x:tableColumns>
  <x:tableStyleInfo name="TableStyleMedium2" showRowStripes="1"/>
</x:table>
</file>

<file path=xl/tables/table4.xml><?xml version="1.0" encoding="utf-8"?>
<x:table xmlns:x="http://schemas.openxmlformats.org/spreadsheetml/2006/main" id="4" name="PivotCategoryTable" displayName="PivotCategoryTable" ref="A4:E17" headerRowCount="1">
  <x:autoFilter ref="A4:E17"/>
  <x:tableColumns count="5">
    <x:tableColumn id="1" name="Category"/>
    <x:tableColumn id="2" name="Sub-Category"/>
    <x:tableColumn id="3" name="Sales"/>
    <x:tableColumn id="4" name="Profit"/>
    <x:tableColumn id="5" name="Order Count"/>
  </x:tableColumns>
  <x:tableStyleInfo name="TableStyleMedium2" showRowStripes="1"/>
</x:table>
</file>

<file path=xl/tables/table5.xml><?xml version="1.0" encoding="utf-8"?>
<x:table xmlns:x="http://schemas.openxmlformats.org/spreadsheetml/2006/main" id="5" name="PivotShipModeTable" displayName="PivotShipModeTable" ref="A4:B9" headerRowCount="1">
  <x:autoFilter ref="A4:B9"/>
  <x:tableColumns count="2">
    <x:tableColumn id="1" name="Ship Mode"/>
    <x:tableColumn id="2" name="Order Count"/>
  </x:tableColumns>
  <x:tableStyleInfo name="TableStyleMedium2" showRowStripes="1"/>
</x:table>
</file>

<file path=xl/tables/table6.xml><?xml version="1.0" encoding="utf-8"?>
<x:table xmlns:x="http://schemas.openxmlformats.org/spreadsheetml/2006/main" id="6" name="PivotSegmentTable" displayName="PivotSegmentTable" ref="A4:E8" headerRowCount="1">
  <x:autoFilter ref="A4:E8"/>
  <x:tableColumns count="5">
    <x:tableColumn id="1" name="Customer Segment"/>
    <x:tableColumn id="2" name="Sales"/>
    <x:tableColumn id="3" name="Profit"/>
    <x:tableColumn id="4" name="Profit Margin"/>
    <x:tableColumn id="5" name="Order Count"/>
  </x:tableColumns>
  <x:tableStyleInfo name="TableStyleMedium2" showRowStripes="1"/>
</x:table>
</file>

<file path=xl/tables/table7.xml><?xml version="1.0" encoding="utf-8"?>
<x:table xmlns:x="http://schemas.openxmlformats.org/spreadsheetml/2006/main" id="7" name="PivotExceptionsTable" displayName="PivotExceptionsTable" ref="A4:E9" headerRowCount="1">
  <x:autoFilter ref="A4:E9"/>
  <x:tableColumns count="5">
    <x:tableColumn id="1" name="Region"/>
    <x:tableColumn id="2" name="Refunded"/>
    <x:tableColumn id="3" name="Cancelled"/>
    <x:tableColumn id="4" name="Failed"/>
    <x:tableColumn id="5" name="Total Status Events"/>
  </x:tableColumns>
  <x:tableStyleInfo name="TableStyleMedium2" showRowStripes="1"/>
</x:table>
</file>

<file path=xl/tables/table8.xml><?xml version="1.0" encoding="utf-8"?>
<x:table xmlns:x="http://schemas.openxmlformats.org/spreadsheetml/2006/main" id="8" name="PivotMonthlyTable" displayName="PivotMonthlyTable" ref="A4:D26" headerRowCount="1">
  <x:autoFilter ref="A4:D26"/>
  <x:tableColumns count="4">
    <x:tableColumn id="1" name="Month"/>
    <x:tableColumn id="2" name="Sales"/>
    <x:tableColumn id="3" name="Profit"/>
    <x:tableColumn id="4" name="Order 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abe9bdebe14f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75a4854ee445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24ef3fa5c74b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d041f64301d4fc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6c42f2e07c446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bc0cbc8e50a430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7dc2ff9f71a45a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c2f205700914c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6" hidden="0" customWidth="1"/>
    <x:col min="5" max="5" width="20" hidden="0" customWidth="1"/>
    <x:col min="6" max="6" width="18" hidden="0" customWidth="1"/>
    <x:col min="7" max="7" width="14" hidden="0" customWidth="1"/>
    <x:col min="8" max="8" width="14" hidden="0" customWidth="1"/>
    <x:col min="9" max="9" width="18" hidden="0" customWidth="1"/>
    <x:col min="10" max="10" width="16" hidden="0" customWidth="1"/>
    <x:col min="11" max="11" width="18" hidden="0" customWidth="1"/>
    <x:col min="12" max="12" width="18" hidden="0" customWidth="1"/>
    <x:col min="13" max="13" width="28" hidden="0" customWidth="1"/>
    <x:col min="14" max="14" width="18" hidden="0" customWidth="1"/>
    <x:col min="15" max="15" width="12" hidden="0" customWidth="1"/>
    <x:col min="16" max="16" width="12" hidden="0" customWidth="1"/>
    <x:col min="17" max="17" width="14" hidden="0" customWidth="1"/>
    <x:col min="18" max="18" width="14" hidden="0" customWidth="1"/>
    <x:col min="19" max="19" width="14" hidden="0" customWidth="1"/>
    <x:col min="20" max="20" width="16" hidden="0" customWidth="1"/>
    <x:col min="21" max="21" width="16" hidden="0" customWidth="1"/>
    <x:col min="22" max="22" width="16" hidden="0" customWidth="1"/>
    <x:col min="23" max="23" width="18" hidden="0" customWidth="1"/>
    <x:col min="24" max="24" width="18" hidden="0" customWidth="1"/>
    <x:col min="25" max="25" width="14" hidden="0" customWidth="1"/>
    <x:col min="26" max="26" width="18" hidden="0" customWidth="1"/>
    <x:col min="27" max="27" width="14" hidden="0" customWidth="1"/>
    <x:col min="28" max="28" width="12" hidden="0" customWidth="1"/>
    <x:col min="29" max="29" width="48" hidden="0" customWidth="1"/>
    <x:col min="30" max="30" width="22" hidden="0" customWidth="1"/>
    <x:col min="31" max="31" width="16" hidden="0" customWidth="1"/>
  </x:cols>
  <x:sheetData>
    <x:row r="1" ht="32" customHeight="1">
      <x:c r="A1" s="4" t="str">
        <x:v>order_id</x:v>
      </x:c>
      <x:c r="B1" s="4" t="str">
        <x:v>order_date</x:v>
      </x:c>
      <x:c r="C1" s="4" t="str">
        <x:v>ship_date</x:v>
      </x:c>
      <x:c r="D1" s="4" t="str">
        <x:v>customer_id</x:v>
      </x:c>
      <x:c r="E1" s="4" t="str">
        <x:v>customer_name</x:v>
      </x:c>
      <x:c r="F1" s="4" t="str">
        <x:v>segment</x:v>
      </x:c>
      <x:c r="G1" s="4" t="str">
        <x:v>region</x:v>
      </x:c>
      <x:c r="H1" s="4" t="str">
        <x:v>state</x:v>
      </x:c>
      <x:c r="I1" s="4" t="str">
        <x:v>city</x:v>
      </x:c>
      <x:c r="J1" s="4" t="str">
        <x:v>category</x:v>
      </x:c>
      <x:c r="K1" s="4" t="str">
        <x:v>sub_category</x:v>
      </x:c>
      <x:c r="L1" s="4" t="str">
        <x:v>product_name</x:v>
      </x:c>
      <x:c r="M1" s="4" t="str">
        <x:v>ship_mode</x:v>
      </x:c>
      <x:c r="N1" s="4" t="str">
        <x:v>quantity</x:v>
      </x:c>
      <x:c r="O1" s="4" t="str">
        <x:v>unit_price</x:v>
      </x:c>
      <x:c r="P1" s="4" t="str">
        <x:v>discount</x:v>
      </x:c>
      <x:c r="Q1" s="4" t="str">
        <x:v>sales</x:v>
      </x:c>
      <x:c r="R1" s="4" t="str">
        <x:v>cost</x:v>
      </x:c>
      <x:c r="S1" s="4" t="str">
        <x:v>profit</x:v>
      </x:c>
      <x:c r="T1" s="4" t="str">
        <x:v>payment_status</x:v>
      </x:c>
      <x:c r="U1" s="4" t="str">
        <x:v>order_status</x:v>
      </x:c>
      <x:c r="V1" s="4" t="str">
        <x:v>clean_discount</x:v>
      </x:c>
      <x:c r="W1" s="4" t="str">
        <x:v>calculated_sales</x:v>
      </x:c>
      <x:c r="X1" s="4" t="str">
        <x:v>calculated_profit</x:v>
      </x:c>
      <x:c r="Y1" s="4" t="str">
        <x:v>profit_margin</x:v>
      </x:c>
      <x:c r="Z1" s="4" t="str">
        <x:v>shipping_delay_days</x:v>
      </x:c>
      <x:c r="AA1" s="4" t="str">
        <x:v>order_month</x:v>
      </x:c>
      <x:c r="AB1" s="4" t="str">
        <x:v>order_year</x:v>
      </x:c>
      <x:c r="AC1" s="4" t="str">
        <x:v>data_quality_flag</x:v>
      </x:c>
      <x:c r="AD1" s="4" t="str">
        <x:v>completed_sales_eligible</x:v>
      </x:c>
      <x:c r="AE1" s="4" t="str">
        <x:v>refund_flag</x:v>
      </x:c>
    </x:row>
    <x:row r="2">
      <x:c r="A2" t="str">
        <x:v>ORD-2024-10001</x:v>
      </x:c>
      <x:c r="B2" s="5" t="n">
        <x:v>45494</x:v>
      </x:c>
      <x:c r="C2" s="5" t="n">
        <x:v>45500</x:v>
      </x:c>
      <x:c r="D2" t="str">
        <x:v>CUST-4655</x:v>
      </x:c>
      <x:c r="E2" t="str">
        <x:v>Karan Malhotra</x:v>
      </x:c>
      <x:c r="F2" t="str">
        <x:v>Consumer</x:v>
      </x:c>
      <x:c r="G2" t="str">
        <x:v>North</x:v>
      </x:c>
      <x:c r="H2" t="str">
        <x:v>Rajasthan</x:v>
      </x:c>
      <x:c r="I2" t="str">
        <x:v>Jaipur</x:v>
      </x:c>
      <x:c r="J2" t="str">
        <x:v>Office Supplies</x:v>
      </x:c>
      <x:c r="K2" t="str">
        <x:v>Paper</x:v>
      </x:c>
      <x:c r="L2" t="str">
        <x:v>Pro Paper 122</x:v>
      </x:c>
      <x:c r="M2" t="str">
        <x:v>Second Class</x:v>
      </x:c>
      <x:c r="N2" t="n">
        <x:v>8</x:v>
      </x:c>
      <x:c r="O2" s="7" t="n">
        <x:v>2976.45</x:v>
      </x:c>
      <x:c r="P2" s="6" t="n">
        <x:v>0.2</x:v>
      </x:c>
      <x:c r="Q2" s="7" t="n">
        <x:v>19049.28</x:v>
      </x:c>
      <x:c r="R2" s="7" t="n">
        <x:v>15841.89</x:v>
      </x:c>
      <x:c r="S2" s="7" t="n">
        <x:v>3207.39</x:v>
      </x:c>
      <x:c r="T2" t="str">
        <x:v>Paid</x:v>
      </x:c>
      <x:c r="U2" t="str">
        <x:v>Completed</x:v>
      </x:c>
      <x:c r="V2" s="6" t="n">
        <x:f>IF(ISBLANK(P2),IF(AND(ISNUMBER(N2),N2&gt;0,ISNUMBER(O2),O2&gt;=0,ISNUMBER(Q2),Q2&gt;=0,ISNUMBER(R2),R2&gt;=0,ISNUMBER(S2)),0,""),P2)</x:f>
        <x:v>0.2</x:v>
      </x:c>
      <x:c r="W2" s="7" t="n">
        <x:f>IF(ISBLANK(V2),"",N2*O2*(1-V2))</x:f>
        <x:v>19049.28</x:v>
      </x:c>
      <x:c r="X2" s="7" t="n">
        <x:f>IF(OR(ISBLANK(W2),ISBLANK(R2)),"",W2-R2)</x:f>
        <x:v>3207.3899999999994</x:v>
      </x:c>
      <x:c r="Y2" s="8" t="n">
        <x:f>IF(OR(ISBLANK(W2),W2=0),"",X2/W2)</x:f>
        <x:v>0.16837329284886357</x:v>
      </x:c>
      <x:c r="Z2" s="9" t="n">
        <x:f>IF(OR(ISBLANK(B2),ISBLANK(C2)),"",C2-B2)</x:f>
        <x:v>6</x:v>
      </x:c>
      <x:c r="AA2" t="str">
        <x:f>IF(ISBLANK(B2),"",TEXT(B2,"mmm"))</x:f>
        <x:v>Jul</x:v>
      </x:c>
      <x:c r="AB2" s="9" t="n">
        <x:f>IF(ISBLANK(B2),"",YEAR(B2))</x:f>
        <x:v>2024</x:v>
      </x:c>
      <x:c r="AC2" s="10" t="str"/>
      <x:c r="AD2" t="str">
        <x:f>IF(AND(U2="Completed",T2="Paid",ISERROR(SEARCH("INVALID",AC2)),ISERROR(SEARCH("REVIEW",AC2))),"Include","Exclude")</x:f>
        <x:v>Include</x:v>
      </x:c>
      <x:c r="AE2" t="str">
        <x:f>IF(T2="Refunded","Refunded","")</x:f>
      </x:c>
    </x:row>
    <x:row r="3">
      <x:c r="A3" t="str">
        <x:v>ORD-2024-10002</x:v>
      </x:c>
      <x:c r="B3" s="5" t="n">
        <x:v>45535</x:v>
      </x:c>
      <x:c r="C3" s="5" t="n">
        <x:v>45540</x:v>
      </x:c>
      <x:c r="D3" t="str">
        <x:v>CUST-2054</x:v>
      </x:c>
      <x:c r="E3" t="str">
        <x:v>Mira Das</x:v>
      </x:c>
      <x:c r="F3" t="str">
        <x:v>Small Business</x:v>
      </x:c>
      <x:c r="G3" t="str">
        <x:v>East</x:v>
      </x:c>
      <x:c r="H3" t="str">
        <x:v>Odisha</x:v>
      </x:c>
      <x:c r="I3" t="str">
        <x:v>Bhubaneswar</x:v>
      </x:c>
      <x:c r="J3" t="str">
        <x:v>Furniture</x:v>
      </x:c>
      <x:c r="K3" t="str">
        <x:v>Tables</x:v>
      </x:c>
      <x:c r="L3" t="str">
        <x:v>Pro Tables 258</x:v>
      </x:c>
      <x:c r="M3" t="str">
        <x:v>Same Day</x:v>
      </x:c>
      <x:c r="N3" t="n">
        <x:v>3</x:v>
      </x:c>
      <x:c r="O3" s="7" t="n">
        <x:v>2437.5</x:v>
      </x:c>
      <x:c r="P3" s="6" t="n">
        <x:v>0</x:v>
      </x:c>
      <x:c r="Q3" s="7" t="n">
        <x:v>7312.5</x:v>
      </x:c>
      <x:c r="R3" s="7" t="n">
        <x:v>4904.73</x:v>
      </x:c>
      <x:c r="S3" s="7" t="n">
        <x:v>2407.77</x:v>
      </x:c>
      <x:c r="T3" t="str">
        <x:v>Paid</x:v>
      </x:c>
      <x:c r="U3" t="str">
        <x:v>Completed</x:v>
      </x:c>
      <x:c r="V3" s="6" t="n">
        <x:f>IF(ISBLANK(P3),IF(AND(ISNUMBER(N3),N3&gt;0,ISNUMBER(O3),O3&gt;=0,ISNUMBER(Q3),Q3&gt;=0,ISNUMBER(R3),R3&gt;=0,ISNUMBER(S3)),0,""),P3)</x:f>
        <x:v>0</x:v>
      </x:c>
      <x:c r="W3" s="7" t="n">
        <x:f>IF(ISBLANK(V3),"",N3*O3*(1-V3))</x:f>
        <x:v>7312.5</x:v>
      </x:c>
      <x:c r="X3" s="7" t="n">
        <x:f>IF(OR(ISBLANK(W3),ISBLANK(R3)),"",W3-R3)</x:f>
        <x:v>2407.7700000000004</x:v>
      </x:c>
      <x:c r="Y3" s="8" t="n">
        <x:f>IF(OR(ISBLANK(W3),W3=0),"",X3/W3)</x:f>
        <x:v>0.3292676923076924</x:v>
      </x:c>
      <x:c r="Z3" s="9" t="n">
        <x:f>IF(OR(ISBLANK(B3),ISBLANK(C3)),"",C3-B3)</x:f>
        <x:v>5</x:v>
      </x:c>
      <x:c r="AA3" t="str">
        <x:f>IF(ISBLANK(B3),"",TEXT(B3,"mmm"))</x:f>
        <x:v>Aug</x:v>
      </x:c>
      <x:c r="AB3" s="9" t="n">
        <x:f>IF(ISBLANK(B3),"",YEAR(B3))</x:f>
        <x:v>2024</x:v>
      </x:c>
      <x:c r="AC3" s="10" t="str"/>
      <x:c r="AD3" t="str">
        <x:f>IF(AND(U3="Completed",T3="Paid",ISERROR(SEARCH("INVALID",AC3)),ISERROR(SEARCH("REVIEW",AC3))),"Include","Exclude")</x:f>
        <x:v>Include</x:v>
      </x:c>
      <x:c r="AE3" t="str">
        <x:f>IF(T3="Refunded","Refunded","")</x:f>
      </x:c>
    </x:row>
    <x:row r="4">
      <x:c r="A4" t="str">
        <x:v>ORD-2024-10003</x:v>
      </x:c>
      <x:c r="B4" s="5" t="n">
        <x:v>45451</x:v>
      </x:c>
      <x:c r="C4" s="5" t="n">
        <x:v>45458</x:v>
      </x:c>
      <x:c r="D4" t="str">
        <x:v>CUST-6843</x:v>
      </x:c>
      <x:c r="E4" t="str">
        <x:v>Isha Nair</x:v>
      </x:c>
      <x:c r="F4" t="str">
        <x:v>Consumer</x:v>
      </x:c>
      <x:c r="G4" t="str">
        <x:v>East</x:v>
      </x:c>
      <x:c r="H4" t="str">
        <x:v>Odisha</x:v>
      </x:c>
      <x:c r="I4" t="str">
        <x:v>Bhubaneswar</x:v>
      </x:c>
      <x:c r="J4" t="str">
        <x:v>Office Supplies</x:v>
      </x:c>
      <x:c r="K4" t="str">
        <x:v>Art</x:v>
      </x:c>
      <x:c r="L4" t="str">
        <x:v>Elite Art 525</x:v>
      </x:c>
      <x:c r="M4" t="str">
        <x:v>First Class</x:v>
      </x:c>
      <x:c r="N4" t="n">
        <x:v>4</x:v>
      </x:c>
      <x:c r="O4" s="7" t="n">
        <x:v>1065.43</x:v>
      </x:c>
      <x:c r="P4" s="6" t="n">
        <x:v>0.55</x:v>
      </x:c>
      <x:c r="Q4" s="7" t="n">
        <x:v>4261.72</x:v>
      </x:c>
      <x:c r="R4" s="7" t="n">
        <x:v>2465.69</x:v>
      </x:c>
      <x:c r="S4" s="7" t="n">
        <x:v>1796.03</x:v>
      </x:c>
      <x:c r="T4" t="str">
        <x:v>Paid</x:v>
      </x:c>
      <x:c r="U4" t="str">
        <x:v>Completed</x:v>
      </x:c>
      <x:c r="V4" s="6" t="n">
        <x:f>IF(ISBLANK(P4),IF(AND(ISNUMBER(N4),N4&gt;0,ISNUMBER(O4),O4&gt;=0,ISNUMBER(Q4),Q4&gt;=0,ISNUMBER(R4),R4&gt;=0,ISNUMBER(S4)),0,""),P4)</x:f>
        <x:v>0.55</x:v>
      </x:c>
      <x:c r="W4" s="7" t="n">
        <x:f>IF(ISBLANK(V4),"",N4*O4*(1-V4))</x:f>
        <x:v>1917.774</x:v>
      </x:c>
      <x:c r="X4" s="7" t="n">
        <x:f>IF(OR(ISBLANK(W4),ISBLANK(R4)),"",W4-R4)</x:f>
        <x:v>-547.9160000000002</x:v>
      </x:c>
      <x:c r="Y4" s="8" t="n">
        <x:f>IF(OR(ISBLANK(W4),W4=0),"",X4/W4)</x:f>
        <x:v>-0.28570415492127865</x:v>
      </x:c>
      <x:c r="Z4" s="9" t="n">
        <x:f>IF(OR(ISBLANK(B4),ISBLANK(C4)),"",C4-B4)</x:f>
        <x:v>7</x:v>
      </x:c>
      <x:c r="AA4" t="str">
        <x:f>IF(ISBLANK(B4),"",TEXT(B4,"mmm"))</x:f>
        <x:v>Jun</x:v>
      </x:c>
      <x:c r="AB4" s="9" t="n">
        <x:f>IF(ISBLANK(B4),"",YEAR(B4))</x:f>
        <x:v>2024</x:v>
      </x:c>
      <x:c r="AC4" s="10" t="str">
        <x:v>INVALID: Discount above allowed range</x:v>
      </x:c>
      <x:c r="AD4" t="str">
        <x:f>IF(AND(U4="Completed",T4="Paid",ISERROR(SEARCH("INVALID",AC4)),ISERROR(SEARCH("REVIEW",AC4))),"Include","Exclude")</x:f>
        <x:v>Exclude</x:v>
      </x:c>
      <x:c r="AE4" t="str">
        <x:f>IF(T4="Refunded","Refunded","")</x:f>
      </x:c>
    </x:row>
    <x:row r="5">
      <x:c r="A5" t="str">
        <x:v>ORD-2024-10004</x:v>
      </x:c>
      <x:c r="B5" s="5" t="n">
        <x:v>45624</x:v>
      </x:c>
      <x:c r="C5" s="5" t="n">
        <x:v>45625</x:v>
      </x:c>
      <x:c r="D5" t="str">
        <x:v>CUST-3722</x:v>
      </x:c>
      <x:c r="E5" t="str">
        <x:v>Arjun Bose</x:v>
      </x:c>
      <x:c r="F5" t="str">
        <x:v>Small Business</x:v>
      </x:c>
      <x:c r="G5" t="str">
        <x:v>South</x:v>
      </x:c>
      <x:c r="H5" t="str">
        <x:v>Telangana</x:v>
      </x:c>
      <x:c r="I5" t="str">
        <x:v>Hyderabad</x:v>
      </x:c>
      <x:c r="J5" t="str">
        <x:v>Furniture</x:v>
      </x:c>
      <x:c r="K5" t="str">
        <x:v>Furnishings</x:v>
      </x:c>
      <x:c r="L5" t="str">
        <x:v>Smart Furnishings 294</x:v>
      </x:c>
      <x:c r="M5" t="str">
        <x:v>Standard Class</x:v>
      </x:c>
      <x:c r="N5" t="n">
        <x:v>6</x:v>
      </x:c>
      <x:c r="O5" s="7" t="n">
        <x:v>1848.43</x:v>
      </x:c>
      <x:c r="P5" s="6" t="n">
        <x:v>0.25</x:v>
      </x:c>
      <x:c r="Q5" s="7" t="n">
        <x:v>8317.93</x:v>
      </x:c>
      <x:c r="R5" s="7" t="n">
        <x:v>6796.77</x:v>
      </x:c>
      <x:c r="S5" s="7" t="n">
        <x:v>1521.16</x:v>
      </x:c>
      <x:c r="T5" t="str">
        <x:v>Paid</x:v>
      </x:c>
      <x:c r="U5" t="str">
        <x:v>Completed</x:v>
      </x:c>
      <x:c r="V5" s="6" t="n">
        <x:f>IF(ISBLANK(P5),IF(AND(ISNUMBER(N5),N5&gt;0,ISNUMBER(O5),O5&gt;=0,ISNUMBER(Q5),Q5&gt;=0,ISNUMBER(R5),R5&gt;=0,ISNUMBER(S5)),0,""),P5)</x:f>
        <x:v>0.25</x:v>
      </x:c>
      <x:c r="W5" s="7" t="n">
        <x:f>IF(ISBLANK(V5),"",N5*O5*(1-V5))</x:f>
        <x:v>8317.935</x:v>
      </x:c>
      <x:c r="X5" s="7" t="n">
        <x:f>IF(OR(ISBLANK(W5),ISBLANK(R5)),"",W5-R5)</x:f>
        <x:v>1521.164999999999</x:v>
      </x:c>
      <x:c r="Y5" s="8" t="n">
        <x:f>IF(OR(ISBLANK(W5),W5=0),"",X5/W5)</x:f>
        <x:v>0.18287772145370204</x:v>
      </x:c>
      <x:c r="Z5" s="9" t="n">
        <x:f>IF(OR(ISBLANK(B5),ISBLANK(C5)),"",C5-B5)</x:f>
        <x:v>1</x:v>
      </x:c>
      <x:c r="AA5" t="str">
        <x:f>IF(ISBLANK(B5),"",TEXT(B5,"mmm"))</x:f>
        <x:v>Nov</x:v>
      </x:c>
      <x:c r="AB5" s="9" t="n">
        <x:f>IF(ISBLANK(B5),"",YEAR(B5))</x:f>
        <x:v>2024</x:v>
      </x:c>
      <x:c r="AC5" s="10" t="str"/>
      <x:c r="AD5" t="str">
        <x:f>IF(AND(U5="Completed",T5="Paid",ISERROR(SEARCH("INVALID",AC5)),ISERROR(SEARCH("REVIEW",AC5))),"Include","Exclude")</x:f>
        <x:v>Include</x:v>
      </x:c>
      <x:c r="AE5" t="str">
        <x:f>IF(T5="Refunded","Refunded","")</x:f>
      </x:c>
    </x:row>
    <x:row r="6">
      <x:c r="A6" t="str">
        <x:v>ORD-2025-10005</x:v>
      </x:c>
      <x:c r="B6" s="5" t="n">
        <x:v>45898</x:v>
      </x:c>
      <x:c r="C6" s="5" t="n">
        <x:v>45901</x:v>
      </x:c>
      <x:c r="D6" t="str">
        <x:v>CUST-8130</x:v>
      </x:c>
      <x:c r="E6" t="str">
        <x:v>Ananya Rao</x:v>
      </x:c>
      <x:c r="F6" t="str">
        <x:v>Small Business</x:v>
      </x:c>
      <x:c r="G6" t="str">
        <x:v>West</x:v>
      </x:c>
      <x:c r="H6" t="str">
        <x:v>Maharashtra</x:v>
      </x:c>
      <x:c r="I6" t="str">
        <x:v>Mumbai</x:v>
      </x:c>
      <x:c r="J6" t="str">
        <x:v>Furniture</x:v>
      </x:c>
      <x:c r="K6" t="str">
        <x:v>Chairs</x:v>
      </x:c>
      <x:c r="L6" t="str">
        <x:v>Elite Chairs 543</x:v>
      </x:c>
      <x:c r="M6" t="str">
        <x:v>First Class</x:v>
      </x:c>
      <x:c r="N6" t="n">
        <x:v>7</x:v>
      </x:c>
      <x:c r="O6" s="7" t="n">
        <x:v>2973.76</x:v>
      </x:c>
      <x:c r="P6" s="6" t="n">
        <x:v>0</x:v>
      </x:c>
      <x:c r="Q6" s="7" t="n">
        <x:v>20816.32</x:v>
      </x:c>
      <x:c r="R6" s="7" t="n">
        <x:v>17705.37</x:v>
      </x:c>
      <x:c r="S6" s="7" t="n">
        <x:v>3110.95</x:v>
      </x:c>
      <x:c r="T6" t="str">
        <x:v>Paid</x:v>
      </x:c>
      <x:c r="U6" t="str">
        <x:v>Cancelled</x:v>
      </x:c>
      <x:c r="V6" s="6" t="n">
        <x:f>IF(ISBLANK(P6),IF(AND(ISNUMBER(N6),N6&gt;0,ISNUMBER(O6),O6&gt;=0,ISNUMBER(Q6),Q6&gt;=0,ISNUMBER(R6),R6&gt;=0,ISNUMBER(S6)),0,""),P6)</x:f>
        <x:v>0</x:v>
      </x:c>
      <x:c r="W6" s="7" t="n">
        <x:f>IF(ISBLANK(V6),"",N6*O6*(1-V6))</x:f>
        <x:v>20816.32</x:v>
      </x:c>
      <x:c r="X6" s="7" t="n">
        <x:f>IF(OR(ISBLANK(W6),ISBLANK(R6)),"",W6-R6)</x:f>
        <x:v>3110.9500000000007</x:v>
      </x:c>
      <x:c r="Y6" s="8" t="n">
        <x:f>IF(OR(ISBLANK(W6),W6=0),"",X6/W6)</x:f>
        <x:v>0.14944764492475138</x:v>
      </x:c>
      <x:c r="Z6" s="9" t="n">
        <x:f>IF(OR(ISBLANK(B6),ISBLANK(C6)),"",C6-B6)</x:f>
        <x:v>3</x:v>
      </x:c>
      <x:c r="AA6" t="str">
        <x:f>IF(ISBLANK(B6),"",TEXT(B6,"mmm"))</x:f>
        <x:v>Aug</x:v>
      </x:c>
      <x:c r="AB6" s="9" t="n">
        <x:f>IF(ISBLANK(B6),"",YEAR(B6))</x:f>
        <x:v>2025</x:v>
      </x:c>
      <x:c r="AC6" s="10" t="str">
        <x:v>EXCLUDE: Cancelled order</x:v>
      </x:c>
      <x:c r="AD6" t="str">
        <x:f>IF(AND(U6="Completed",T6="Paid",ISERROR(SEARCH("INVALID",AC6)),ISERROR(SEARCH("REVIEW",AC6))),"Include","Exclude")</x:f>
        <x:v>Exclude</x:v>
      </x:c>
      <x:c r="AE6" t="str">
        <x:f>IF(T6="Refunded","Refunded","")</x:f>
      </x:c>
    </x:row>
    <x:row r="7">
      <x:c r="A7" t="str">
        <x:v>ORD-2024-10006</x:v>
      </x:c>
      <x:c r="B7" s="5" t="n">
        <x:v>45436</x:v>
      </x:c>
      <x:c r="C7" s="5" t="n">
        <x:v>45440</x:v>
      </x:c>
      <x:c r="D7" t="str">
        <x:v>CUST-6056</x:v>
      </x:c>
      <x:c r="E7" t="str">
        <x:v>Vikram Iyer</x:v>
      </x:c>
      <x:c r="F7" t="str">
        <x:v>Small Business</x:v>
      </x:c>
      <x:c r="G7" t="str">
        <x:v>West</x:v>
      </x:c>
      <x:c r="H7" t="str">
        <x:v>Madhya Pradesh</x:v>
      </x:c>
      <x:c r="I7" t="str">
        <x:v>Indore</x:v>
      </x:c>
      <x:c r="J7" t="str">
        <x:v>Technology</x:v>
      </x:c>
      <x:c r="K7" t="str">
        <x:v>Accessories</x:v>
      </x:c>
      <x:c r="L7" t="str">
        <x:v>Pro Accessories 821</x:v>
      </x:c>
      <x:c r="M7" t="str">
        <x:v>Same Day</x:v>
      </x:c>
      <x:c r="N7" t="n">
        <x:v>3</x:v>
      </x:c>
      <x:c r="O7" s="7" t="n">
        <x:v>1053.11</x:v>
      </x:c>
      <x:c r="P7" s="6" t="n">
        <x:v>0.2</x:v>
      </x:c>
      <x:c r="Q7" s="7" t="n">
        <x:v>2527.46</x:v>
      </x:c>
      <x:c r="R7" s="7" t="n">
        <x:v>1533.58</x:v>
      </x:c>
      <x:c r="S7" s="7" t="n">
        <x:v>993.88</x:v>
      </x:c>
      <x:c r="T7" t="str">
        <x:v>Paid</x:v>
      </x:c>
      <x:c r="U7" t="str">
        <x:v>Completed</x:v>
      </x:c>
      <x:c r="V7" s="6" t="n">
        <x:f>IF(ISBLANK(P7),IF(AND(ISNUMBER(N7),N7&gt;0,ISNUMBER(O7),O7&gt;=0,ISNUMBER(Q7),Q7&gt;=0,ISNUMBER(R7),R7&gt;=0,ISNUMBER(S7)),0,""),P7)</x:f>
        <x:v>0.2</x:v>
      </x:c>
      <x:c r="W7" s="7" t="n">
        <x:f>IF(ISBLANK(V7),"",N7*O7*(1-V7))</x:f>
        <x:v>2527.464</x:v>
      </x:c>
      <x:c r="X7" s="7" t="n">
        <x:f>IF(OR(ISBLANK(W7),ISBLANK(R7)),"",W7-R7)</x:f>
        <x:v>993.884</x:v>
      </x:c>
      <x:c r="Y7" s="8" t="n">
        <x:f>IF(OR(ISBLANK(W7),W7=0),"",X7/W7)</x:f>
        <x:v>0.39323369195367375</x:v>
      </x:c>
      <x:c r="Z7" s="9" t="n">
        <x:f>IF(OR(ISBLANK(B7),ISBLANK(C7)),"",C7-B7)</x:f>
        <x:v>4</x:v>
      </x:c>
      <x:c r="AA7" t="str">
        <x:f>IF(ISBLANK(B7),"",TEXT(B7,"mmm"))</x:f>
        <x:v>May</x:v>
      </x:c>
      <x:c r="AB7" s="9" t="n">
        <x:f>IF(ISBLANK(B7),"",YEAR(B7))</x:f>
        <x:v>2024</x:v>
      </x:c>
      <x:c r="AC7" s="10" t="str"/>
      <x:c r="AD7" t="str">
        <x:f>IF(AND(U7="Completed",T7="Paid",ISERROR(SEARCH("INVALID",AC7)),ISERROR(SEARCH("REVIEW",AC7))),"Include","Exclude")</x:f>
        <x:v>Include</x:v>
      </x:c>
      <x:c r="AE7" t="str">
        <x:f>IF(T7="Refunded","Refunded","")</x:f>
      </x:c>
    </x:row>
    <x:row r="8">
      <x:c r="A8" t="str">
        <x:v>ORD-2025-10007</x:v>
      </x:c>
      <x:c r="B8" s="5" t="n">
        <x:v>45757</x:v>
      </x:c>
      <x:c r="C8" s="5" t="n">
        <x:v>45763</x:v>
      </x:c>
      <x:c r="D8" t="str">
        <x:v>CUST-3656</x:v>
      </x:c>
      <x:c r="E8" t="str">
        <x:v>Neha Gupta</x:v>
      </x:c>
      <x:c r="F8" t="str">
        <x:v>Consumer</x:v>
      </x:c>
      <x:c r="G8" t="str">
        <x:v>East</x:v>
      </x:c>
      <x:c r="H8" t="str">
        <x:v>Odisha</x:v>
      </x:c>
      <x:c r="I8" t="str">
        <x:v>Bhubaneswar</x:v>
      </x:c>
      <x:c r="J8" t="str">
        <x:v>Technology</x:v>
      </x:c>
      <x:c r="K8" t="str">
        <x:v>Copiers</x:v>
      </x:c>
      <x:c r="L8" t="str">
        <x:v>Eco Copiers 790</x:v>
      </x:c>
      <x:c r="M8" t="str">
        <x:v>Standard Class</x:v>
      </x:c>
      <x:c r="N8" t="n">
        <x:v>4</x:v>
      </x:c>
      <x:c r="O8" s="7" t="n">
        <x:v>1719.87</x:v>
      </x:c>
      <x:c r="P8" s="6" t="n">
        <x:v>0.15</x:v>
      </x:c>
      <x:c r="Q8" s="7" t="n">
        <x:v>5847.56</x:v>
      </x:c>
      <x:c r="R8" s="7" t="n">
        <x:v>4727.25</x:v>
      </x:c>
      <x:c r="S8" s="7" t="n">
        <x:v>1120.31</x:v>
      </x:c>
      <x:c r="T8" t="str">
        <x:v>Paid</x:v>
      </x:c>
      <x:c r="U8" t="str">
        <x:v>Completed</x:v>
      </x:c>
      <x:c r="V8" s="6" t="n">
        <x:f>IF(ISBLANK(P8),IF(AND(ISNUMBER(N8),N8&gt;0,ISNUMBER(O8),O8&gt;=0,ISNUMBER(Q8),Q8&gt;=0,ISNUMBER(R8),R8&gt;=0,ISNUMBER(S8)),0,""),P8)</x:f>
        <x:v>0.15</x:v>
      </x:c>
      <x:c r="W8" s="7" t="n">
        <x:f>IF(ISBLANK(V8),"",N8*O8*(1-V8))</x:f>
        <x:v>5847.557999999999</x:v>
      </x:c>
      <x:c r="X8" s="7" t="n">
        <x:f>IF(OR(ISBLANK(W8),ISBLANK(R8)),"",W8-R8)</x:f>
        <x:v>1120.307999999999</x:v>
      </x:c>
      <x:c r="Y8" s="8" t="n">
        <x:f>IF(OR(ISBLANK(W8),W8=0),"",X8/W8)</x:f>
        <x:v>0.19158561573908275</x:v>
      </x:c>
      <x:c r="Z8" s="9" t="n">
        <x:f>IF(OR(ISBLANK(B8),ISBLANK(C8)),"",C8-B8)</x:f>
        <x:v>6</x:v>
      </x:c>
      <x:c r="AA8" t="str">
        <x:f>IF(ISBLANK(B8),"",TEXT(B8,"mmm"))</x:f>
        <x:v>Apr</x:v>
      </x:c>
      <x:c r="AB8" s="9" t="n">
        <x:f>IF(ISBLANK(B8),"",YEAR(B8))</x:f>
        <x:v>2025</x:v>
      </x:c>
      <x:c r="AC8" s="10" t="str"/>
      <x:c r="AD8" t="str">
        <x:f>IF(AND(U8="Completed",T8="Paid",ISERROR(SEARCH("INVALID",AC8)),ISERROR(SEARCH("REVIEW",AC8))),"Include","Exclude")</x:f>
        <x:v>Include</x:v>
      </x:c>
      <x:c r="AE8" t="str">
        <x:f>IF(T8="Refunded","Refunded","")</x:f>
      </x:c>
    </x:row>
    <x:row r="9">
      <x:c r="A9" t="str">
        <x:v>ORD-2025-10008</x:v>
      </x:c>
      <x:c r="B9" s="5" t="n">
        <x:v>45711</x:v>
      </x:c>
      <x:c r="C9" s="5" t="n">
        <x:v>45714</x:v>
      </x:c>
      <x:c r="D9" t="str">
        <x:v>CUST-4683</x:v>
      </x:c>
      <x:c r="E9" t="str">
        <x:v>Isha Nair</x:v>
      </x:c>
      <x:c r="F9" t="str">
        <x:v>Small Business</x:v>
      </x:c>
      <x:c r="G9" t="str">
        <x:v>South</x:v>
      </x:c>
      <x:c r="H9" t="str">
        <x:v>Andhra Pradesh</x:v>
      </x:c>
      <x:c r="I9" t="str">
        <x:v>Vijayawada</x:v>
      </x:c>
      <x:c r="J9" t="str">
        <x:v>Office Supplies</x:v>
      </x:c>
      <x:c r="K9" t="str">
        <x:v>Art</x:v>
      </x:c>
      <x:c r="L9" t="str">
        <x:v>Eco Art 848</x:v>
      </x:c>
      <x:c r="M9" t="str">
        <x:v>First Class</x:v>
      </x:c>
      <x:c r="N9" t="n">
        <x:v>1</x:v>
      </x:c>
      <x:c r="O9" s="7" t="n">
        <x:v>2980.71</x:v>
      </x:c>
      <x:c r="P9" s="6" t="n">
        <x:v>0</x:v>
      </x:c>
      <x:c r="Q9" s="7" t="n">
        <x:v>2980.71</x:v>
      </x:c>
      <x:c r="R9" s="7" t="n">
        <x:v>2357.22</x:v>
      </x:c>
      <x:c r="S9" s="7" t="n">
        <x:v>623.49</x:v>
      </x:c>
      <x:c r="T9" t="str">
        <x:v>Paid</x:v>
      </x:c>
      <x:c r="U9" t="str">
        <x:v>Completed</x:v>
      </x:c>
      <x:c r="V9" s="6" t="n">
        <x:f>IF(ISBLANK(P9),IF(AND(ISNUMBER(N9),N9&gt;0,ISNUMBER(O9),O9&gt;=0,ISNUMBER(Q9),Q9&gt;=0,ISNUMBER(R9),R9&gt;=0,ISNUMBER(S9)),0,""),P9)</x:f>
        <x:v>0</x:v>
      </x:c>
      <x:c r="W9" s="7" t="n">
        <x:f>IF(ISBLANK(V9),"",N9*O9*(1-V9))</x:f>
        <x:v>2980.71</x:v>
      </x:c>
      <x:c r="X9" s="7" t="n">
        <x:f>IF(OR(ISBLANK(W9),ISBLANK(R9)),"",W9-R9)</x:f>
        <x:v>623.4900000000002</x:v>
      </x:c>
      <x:c r="Y9" s="8" t="n">
        <x:f>IF(OR(ISBLANK(W9),W9=0),"",X9/W9)</x:f>
        <x:v>0.20917499521925992</x:v>
      </x:c>
      <x:c r="Z9" s="9" t="n">
        <x:f>IF(OR(ISBLANK(B9),ISBLANK(C9)),"",C9-B9)</x:f>
        <x:v>3</x:v>
      </x:c>
      <x:c r="AA9" t="str">
        <x:f>IF(ISBLANK(B9),"",TEXT(B9,"mmm"))</x:f>
        <x:v>Feb</x:v>
      </x:c>
      <x:c r="AB9" s="9" t="n">
        <x:f>IF(ISBLANK(B9),"",YEAR(B9))</x:f>
        <x:v>2025</x:v>
      </x:c>
      <x:c r="AC9" s="10" t="str"/>
      <x:c r="AD9" t="str">
        <x:f>IF(AND(U9="Completed",T9="Paid",ISERROR(SEARCH("INVALID",AC9)),ISERROR(SEARCH("REVIEW",AC9))),"Include","Exclude")</x:f>
        <x:v>Include</x:v>
      </x:c>
      <x:c r="AE9" t="str">
        <x:f>IF(T9="Refunded","Refunded","")</x:f>
      </x:c>
    </x:row>
    <x:row r="10">
      <x:c r="A10" t="str">
        <x:v>ORD-2024-10009</x:v>
      </x:c>
      <x:c r="B10" s="5" t="n">
        <x:v>45601</x:v>
      </x:c>
      <x:c r="C10" s="5" t="n">
        <x:v>45606</x:v>
      </x:c>
      <x:c r="D10" t="str">
        <x:v>CUST-2598</x:v>
      </x:c>
      <x:c r="E10" t="str">
        <x:v>Aditi Sen</x:v>
      </x:c>
      <x:c r="F10" t="str">
        <x:v>Corporate</x:v>
      </x:c>
      <x:c r="G10" t="str">
        <x:v>South</x:v>
      </x:c>
      <x:c r="H10" t="str">
        <x:v>Telangana</x:v>
      </x:c>
      <x:c r="I10" t="str">
        <x:v>Hyderabad</x:v>
      </x:c>
      <x:c r="J10" t="str">
        <x:v>Office Supplies</x:v>
      </x:c>
      <x:c r="K10" t="str">
        <x:v>Labels</x:v>
      </x:c>
      <x:c r="L10" t="str">
        <x:v>Classic Labels 815</x:v>
      </x:c>
      <x:c r="M10" t="str">
        <x:v>First Class</x:v>
      </x:c>
      <x:c r="N10" t="n">
        <x:v>8</x:v>
      </x:c>
      <x:c r="O10" s="7" t="n">
        <x:v>3134.2</x:v>
      </x:c>
      <x:c r="P10" s="6" t="n">
        <x:v>0</x:v>
      </x:c>
      <x:c r="Q10" s="7" t="n">
        <x:v>25073.6</x:v>
      </x:c>
      <x:c r="R10" s="7" t="n">
        <x:v>17347.23</x:v>
      </x:c>
      <x:c r="S10" s="7" t="n">
        <x:v>7726.37</x:v>
      </x:c>
      <x:c r="T10" t="str">
        <x:v>Paid</x:v>
      </x:c>
      <x:c r="U10" t="str">
        <x:v>Completed</x:v>
      </x:c>
      <x:c r="V10" s="6" t="n">
        <x:f>IF(ISBLANK(P10),IF(AND(ISNUMBER(N10),N10&gt;0,ISNUMBER(O10),O10&gt;=0,ISNUMBER(Q10),Q10&gt;=0,ISNUMBER(R10),R10&gt;=0,ISNUMBER(S10)),0,""),P10)</x:f>
        <x:v>0</x:v>
      </x:c>
      <x:c r="W10" s="7" t="n">
        <x:f>IF(ISBLANK(V10),"",N10*O10*(1-V10))</x:f>
        <x:v>25073.6</x:v>
      </x:c>
      <x:c r="X10" s="7" t="n">
        <x:f>IF(OR(ISBLANK(W10),ISBLANK(R10)),"",W10-R10)</x:f>
        <x:v>7726.369999999999</x:v>
      </x:c>
      <x:c r="Y10" s="8" t="n">
        <x:f>IF(OR(ISBLANK(W10),W10=0),"",X10/W10)</x:f>
        <x:v>0.3081476134260736</x:v>
      </x:c>
      <x:c r="Z10" s="9" t="n">
        <x:f>IF(OR(ISBLANK(B10),ISBLANK(C10)),"",C10-B10)</x:f>
        <x:v>5</x:v>
      </x:c>
      <x:c r="AA10" t="str">
        <x:f>IF(ISBLANK(B10),"",TEXT(B10,"mmm"))</x:f>
        <x:v>Nov</x:v>
      </x:c>
      <x:c r="AB10" s="9" t="n">
        <x:f>IF(ISBLANK(B10),"",YEAR(B10))</x:f>
        <x:v>2024</x:v>
      </x:c>
      <x:c r="AC10" s="10" t="str"/>
      <x:c r="AD10" t="str">
        <x:f>IF(AND(U10="Completed",T10="Paid",ISERROR(SEARCH("INVALID",AC10)),ISERROR(SEARCH("REVIEW",AC10))),"Include","Exclude")</x:f>
        <x:v>Include</x:v>
      </x:c>
      <x:c r="AE10" t="str">
        <x:f>IF(T10="Refunded","Refunded","")</x:f>
      </x:c>
    </x:row>
    <x:row r="11">
      <x:c r="A11" t="str">
        <x:v>ORD-2025-10010</x:v>
      </x:c>
      <x:c r="B11" s="5" t="n">
        <x:v>45907</x:v>
      </x:c>
      <x:c r="C11" s="5" t="n">
        <x:v>45912</x:v>
      </x:c>
      <x:c r="D11" t="str">
        <x:v>CUST-2483</x:v>
      </x:c>
      <x:c r="E11" t="str">
        <x:v>Mira Das</x:v>
      </x:c>
      <x:c r="F11" t="str">
        <x:v>Home Office</x:v>
      </x:c>
      <x:c r="G11" t="str">
        <x:v>South</x:v>
      </x:c>
      <x:c r="H11" t="str">
        <x:v>Telangana</x:v>
      </x:c>
      <x:c r="I11" t="str">
        <x:v>Hyderabad</x:v>
      </x:c>
      <x:c r="J11" t="str">
        <x:v>Office Supplies</x:v>
      </x:c>
      <x:c r="K11" t="str">
        <x:v>Paper</x:v>
      </x:c>
      <x:c r="L11" t="str">
        <x:v>Pro Paper 622</x:v>
      </x:c>
      <x:c r="M11" t="str">
        <x:v>Second Class</x:v>
      </x:c>
      <x:c r="N11" t="n">
        <x:v>9</x:v>
      </x:c>
      <x:c r="O11" s="7" t="n">
        <x:v>852.04</x:v>
      </x:c>
      <x:c r="P11" s="6" t="n">
        <x:v>0.2</x:v>
      </x:c>
      <x:c r="Q11" s="7" t="n">
        <x:v>6134.69</x:v>
      </x:c>
      <x:c r="R11" s="7" t="n">
        <x:v>3800.19</x:v>
      </x:c>
      <x:c r="S11" s="7" t="n">
        <x:v>2334.5</x:v>
      </x:c>
      <x:c r="T11" t="str">
        <x:v>Paid</x:v>
      </x:c>
      <x:c r="U11" t="str">
        <x:v>Completed</x:v>
      </x:c>
      <x:c r="V11" s="6" t="n">
        <x:f>IF(ISBLANK(P11),IF(AND(ISNUMBER(N11),N11&gt;0,ISNUMBER(O11),O11&gt;=0,ISNUMBER(Q11),Q11&gt;=0,ISNUMBER(R11),R11&gt;=0,ISNUMBER(S11)),0,""),P11)</x:f>
        <x:v>0.2</x:v>
      </x:c>
      <x:c r="W11" s="7" t="n">
        <x:f>IF(ISBLANK(V11),"",N11*O11*(1-V11))</x:f>
        <x:v>6134.688</x:v>
      </x:c>
      <x:c r="X11" s="7" t="n">
        <x:f>IF(OR(ISBLANK(W11),ISBLANK(R11)),"",W11-R11)</x:f>
        <x:v>2334.498</x:v>
      </x:c>
      <x:c r="Y11" s="8" t="n">
        <x:f>IF(OR(ISBLANK(W11),W11=0),"",X11/W11)</x:f>
        <x:v>0.38054062407085737</x:v>
      </x:c>
      <x:c r="Z11" s="9" t="n">
        <x:f>IF(OR(ISBLANK(B11),ISBLANK(C11)),"",C11-B11)</x:f>
        <x:v>5</x:v>
      </x:c>
      <x:c r="AA11" t="str">
        <x:f>IF(ISBLANK(B11),"",TEXT(B11,"mmm"))</x:f>
        <x:v>Sep</x:v>
      </x:c>
      <x:c r="AB11" s="9" t="n">
        <x:f>IF(ISBLANK(B11),"",YEAR(B11))</x:f>
        <x:v>2025</x:v>
      </x:c>
      <x:c r="AC11" s="10" t="str"/>
      <x:c r="AD11" t="str">
        <x:f>IF(AND(U11="Completed",T11="Paid",ISERROR(SEARCH("INVALID",AC11)),ISERROR(SEARCH("REVIEW",AC11))),"Include","Exclude")</x:f>
        <x:v>Include</x:v>
      </x:c>
      <x:c r="AE11" t="str">
        <x:f>IF(T11="Refunded","Refunded","")</x:f>
      </x:c>
    </x:row>
    <x:row r="12">
      <x:c r="A12" t="str">
        <x:v>ORD-2025-10011</x:v>
      </x:c>
      <x:c r="B12" s="5" t="n">
        <x:v>45797</x:v>
      </x:c>
      <x:c r="C12" s="5" t="n">
        <x:v>45797</x:v>
      </x:c>
      <x:c r="D12" t="str">
        <x:v>CUST-8092</x:v>
      </x:c>
      <x:c r="E12" t="str">
        <x:v>Ananya Rao</x:v>
      </x:c>
      <x:c r="F12" t="str">
        <x:v>Corporate</x:v>
      </x:c>
      <x:c r="G12" t="str">
        <x:v>East</x:v>
      </x:c>
      <x:c r="H12" t="str">
        <x:v>West Bengal</x:v>
      </x:c>
      <x:c r="I12" t="str">
        <x:v>Kolkata</x:v>
      </x:c>
      <x:c r="J12" t="str">
        <x:v>Office Supplies</x:v>
      </x:c>
      <x:c r="K12" t="str">
        <x:v>Labels</x:v>
      </x:c>
      <x:c r="L12" t="str">
        <x:v>Prime Labels 644</x:v>
      </x:c>
      <x:c r="M12" t="str">
        <x:v>Second Class</x:v>
      </x:c>
      <x:c r="N12" t="n">
        <x:v>3</x:v>
      </x:c>
      <x:c r="O12" s="7" t="n">
        <x:v>3534.83</x:v>
      </x:c>
      <x:c r="P12" s="6" t="n">
        <x:v>0.05</x:v>
      </x:c>
      <x:c r="Q12" s="7" t="n">
        <x:v>10074.27</x:v>
      </x:c>
      <x:c r="R12" s="7" t="n">
        <x:v>6048.27</x:v>
      </x:c>
      <x:c r="S12" s="7" t="n">
        <x:v>4026</x:v>
      </x:c>
      <x:c r="T12" t="str">
        <x:v>Refunded</x:v>
      </x:c>
      <x:c r="U12" t="str">
        <x:v>Returned</x:v>
      </x:c>
      <x:c r="V12" s="6" t="n">
        <x:f>IF(ISBLANK(P12),IF(AND(ISNUMBER(N12),N12&gt;0,ISNUMBER(O12),O12&gt;=0,ISNUMBER(Q12),Q12&gt;=0,ISNUMBER(R12),R12&gt;=0,ISNUMBER(S12)),0,""),P12)</x:f>
        <x:v>0.05</x:v>
      </x:c>
      <x:c r="W12" s="7" t="n">
        <x:f>IF(ISBLANK(V12),"",N12*O12*(1-V12))</x:f>
        <x:v>10074.2655</x:v>
      </x:c>
      <x:c r="X12" s="7" t="n">
        <x:f>IF(OR(ISBLANK(W12),ISBLANK(R12)),"",W12-R12)</x:f>
        <x:v>4025.995499999999</x:v>
      </x:c>
      <x:c r="Y12" s="8" t="n">
        <x:f>IF(OR(ISBLANK(W12),W12=0),"",X12/W12)</x:f>
        <x:v>0.39963166545491574</x:v>
      </x:c>
      <x:c r="Z12" s="9" t="n">
        <x:f>IF(OR(ISBLANK(B12),ISBLANK(C12)),"",C12-B12)</x:f>
        <x:v>0</x:v>
      </x:c>
      <x:c r="AA12" t="str">
        <x:f>IF(ISBLANK(B12),"",TEXT(B12,"mmm"))</x:f>
        <x:v>May</x:v>
      </x:c>
      <x:c r="AB12" s="9" t="n">
        <x:f>IF(ISBLANK(B12),"",YEAR(B12))</x:f>
        <x:v>2025</x:v>
      </x:c>
      <x:c r="AC12" s="10" t="str">
        <x:v>REFUND: Summarize separately</x:v>
      </x:c>
      <x:c r="AD12" t="str">
        <x:f>IF(AND(U12="Completed",T12="Paid",ISERROR(SEARCH("INVALID",AC12)),ISERROR(SEARCH("REVIEW",AC12))),"Include","Exclude")</x:f>
        <x:v>Exclude</x:v>
      </x:c>
      <x:c r="AE12" t="str">
        <x:f>IF(T12="Refunded","Refunded","")</x:f>
        <x:v>Refunded</x:v>
      </x:c>
    </x:row>
    <x:row r="13">
      <x:c r="A13" t="str">
        <x:v>ORD-2024-10012</x:v>
      </x:c>
      <x:c r="B13" s="5" t="n">
        <x:v>45495</x:v>
      </x:c>
      <x:c r="C13" s="5" t="n">
        <x:v>45496</x:v>
      </x:c>
      <x:c r="D13" t="str">
        <x:v>CUST-6528</x:v>
      </x:c>
      <x:c r="E13" t="str">
        <x:v>Vikram Iyer</x:v>
      </x:c>
      <x:c r="F13" t="str">
        <x:v>Small Business</x:v>
      </x:c>
      <x:c r="G13" t="str">
        <x:v>East</x:v>
      </x:c>
      <x:c r="H13" t="str">
        <x:v>Odisha</x:v>
      </x:c>
      <x:c r="I13" t="str">
        <x:v>Bhubaneswar</x:v>
      </x:c>
      <x:c r="J13" t="str">
        <x:v>Technology</x:v>
      </x:c>
      <x:c r="K13" t="str">
        <x:v>Accessories</x:v>
      </x:c>
      <x:c r="L13" t="str">
        <x:v>Smart Accessories 603</x:v>
      </x:c>
      <x:c r="M13" t="str">
        <x:v>Same Day</x:v>
      </x:c>
      <x:c r="N13" t="n">
        <x:v>6</x:v>
      </x:c>
      <x:c r="O13" s="7" t="n">
        <x:v>2005.95</x:v>
      </x:c>
      <x:c r="P13" s="6" t="n">
        <x:v>0.2</x:v>
      </x:c>
      <x:c r="Q13" s="7" t="n">
        <x:v>9628.56</x:v>
      </x:c>
      <x:c r="R13" s="7" t="n">
        <x:v>8038.59</x:v>
      </x:c>
      <x:c r="S13" s="7" t="n">
        <x:v>1589.97</x:v>
      </x:c>
      <x:c r="T13" t="str">
        <x:v>Paid</x:v>
      </x:c>
      <x:c r="U13" t="str">
        <x:v>Completed</x:v>
      </x:c>
      <x:c r="V13" s="6" t="n">
        <x:f>IF(ISBLANK(P13),IF(AND(ISNUMBER(N13),N13&gt;0,ISNUMBER(O13),O13&gt;=0,ISNUMBER(Q13),Q13&gt;=0,ISNUMBER(R13),R13&gt;=0,ISNUMBER(S13)),0,""),P13)</x:f>
        <x:v>0.2</x:v>
      </x:c>
      <x:c r="W13" s="7" t="n">
        <x:f>IF(ISBLANK(V13),"",N13*O13*(1-V13))</x:f>
        <x:v>9628.560000000001</x:v>
      </x:c>
      <x:c r="X13" s="7" t="n">
        <x:f>IF(OR(ISBLANK(W13),ISBLANK(R13)),"",W13-R13)</x:f>
        <x:v>1589.9700000000012</x:v>
      </x:c>
      <x:c r="Y13" s="8" t="n">
        <x:f>IF(OR(ISBLANK(W13),W13=0),"",X13/W13)</x:f>
        <x:v>0.1651306114309929</x:v>
      </x:c>
      <x:c r="Z13" s="9" t="n">
        <x:f>IF(OR(ISBLANK(B13),ISBLANK(C13)),"",C13-B13)</x:f>
        <x:v>1</x:v>
      </x:c>
      <x:c r="AA13" t="str">
        <x:f>IF(ISBLANK(B13),"",TEXT(B13,"mmm"))</x:f>
        <x:v>Jul</x:v>
      </x:c>
      <x:c r="AB13" s="9" t="n">
        <x:f>IF(ISBLANK(B13),"",YEAR(B13))</x:f>
        <x:v>2024</x:v>
      </x:c>
      <x:c r="AC13" s="10" t="str"/>
      <x:c r="AD13" t="str">
        <x:f>IF(AND(U13="Completed",T13="Paid",ISERROR(SEARCH("INVALID",AC13)),ISERROR(SEARCH("REVIEW",AC13))),"Include","Exclude")</x:f>
        <x:v>Include</x:v>
      </x:c>
      <x:c r="AE13" t="str">
        <x:f>IF(T13="Refunded","Refunded","")</x:f>
      </x:c>
    </x:row>
    <x:row r="14">
      <x:c r="A14" t="str">
        <x:v>ORD-2024-10013</x:v>
      </x:c>
      <x:c r="B14" s="5" t="n">
        <x:v>45646</x:v>
      </x:c>
      <x:c r="C14" s="5" t="n">
        <x:v>45647</x:v>
      </x:c>
      <x:c r="D14" t="str">
        <x:v>CUST-2648</x:v>
      </x:c>
      <x:c r="E14" t="str">
        <x:v>Ananya Rao</x:v>
      </x:c>
      <x:c r="F14" t="str">
        <x:v>Corporate</x:v>
      </x:c>
      <x:c r="G14" t="str">
        <x:v>West</x:v>
      </x:c>
      <x:c r="H14" t="str">
        <x:v>Rajasthan</x:v>
      </x:c>
      <x:c r="I14" t="str">
        <x:v>Udaipur</x:v>
      </x:c>
      <x:c r="J14" t="str">
        <x:v>Office Supplies</x:v>
      </x:c>
      <x:c r="K14" t="str">
        <x:v>Paper</x:v>
      </x:c>
      <x:c r="L14" t="str">
        <x:v>Pro Paper 481</x:v>
      </x:c>
      <x:c r="M14" t="str">
        <x:v>First Class</x:v>
      </x:c>
      <x:c r="N14" t="n">
        <x:v>1</x:v>
      </x:c>
      <x:c r="O14" s="7" t="n">
        <x:v>702.14</x:v>
      </x:c>
      <x:c r="P14" s="6" t="n">
        <x:v>0.15</x:v>
      </x:c>
      <x:c r="Q14" s="7" t="n">
        <x:v>596.82</x:v>
      </x:c>
      <x:c r="R14" s="7" t="n">
        <x:v>380.25</x:v>
      </x:c>
      <x:c r="S14" s="7" t="n">
        <x:v>216.57</x:v>
      </x:c>
      <x:c r="T14" t="str">
        <x:v>Pending</x:v>
      </x:c>
      <x:c r="U14" t="str">
        <x:v>Returned</x:v>
      </x:c>
      <x:c r="V14" s="6" t="n">
        <x:f>IF(ISBLANK(P14),IF(AND(ISNUMBER(N14),N14&gt;0,ISNUMBER(O14),O14&gt;=0,ISNUMBER(Q14),Q14&gt;=0,ISNUMBER(R14),R14&gt;=0,ISNUMBER(S14)),0,""),P14)</x:f>
        <x:v>0.15</x:v>
      </x:c>
      <x:c r="W14" s="7" t="n">
        <x:f>IF(ISBLANK(V14),"",N14*O14*(1-V14))</x:f>
        <x:v>596.819</x:v>
      </x:c>
      <x:c r="X14" s="7" t="n">
        <x:f>IF(OR(ISBLANK(W14),ISBLANK(R14)),"",W14-R14)</x:f>
        <x:v>216.56899999999996</x:v>
      </x:c>
      <x:c r="Y14" s="8" t="n">
        <x:f>IF(OR(ISBLANK(W14),W14=0),"",X14/W14)</x:f>
        <x:v>0.36287216057129545</x:v>
      </x:c>
      <x:c r="Z14" s="9" t="n">
        <x:f>IF(OR(ISBLANK(B14),ISBLANK(C14)),"",C14-B14)</x:f>
        <x:v>1</x:v>
      </x:c>
      <x:c r="AA14" t="str">
        <x:f>IF(ISBLANK(B14),"",TEXT(B14,"mmm"))</x:f>
        <x:v>Dec</x:v>
      </x:c>
      <x:c r="AB14" s="9" t="n">
        <x:f>IF(ISBLANK(B14),"",YEAR(B14))</x:f>
        <x:v>2024</x:v>
      </x:c>
      <x:c r="AC14" s="10" t="str"/>
      <x:c r="AD14" t="str">
        <x:f>IF(AND(U14="Completed",T14="Paid",ISERROR(SEARCH("INVALID",AC14)),ISERROR(SEARCH("REVIEW",AC14))),"Include","Exclude")</x:f>
        <x:v>Exclude</x:v>
      </x:c>
      <x:c r="AE14" t="str">
        <x:f>IF(T14="Refunded","Refunded","")</x:f>
      </x:c>
    </x:row>
    <x:row r="15">
      <x:c r="A15" t="str">
        <x:v>ORD-2025-10014</x:v>
      </x:c>
      <x:c r="B15" s="5" t="n">
        <x:v>45942</x:v>
      </x:c>
      <x:c r="C15" s="5" t="n">
        <x:v>45946</x:v>
      </x:c>
      <x:c r="D15" t="str">
        <x:v>CUST-7482</x:v>
      </x:c>
      <x:c r="E15" t="str">
        <x:v>Priya Menon</x:v>
      </x:c>
      <x:c r="F15" t="str">
        <x:v>Small Business</x:v>
      </x:c>
      <x:c r="G15" t="str">
        <x:v>West</x:v>
      </x:c>
      <x:c r="H15" t="str">
        <x:v>Maharashtra</x:v>
      </x:c>
      <x:c r="I15" t="str">
        <x:v>Mumbai</x:v>
      </x:c>
      <x:c r="J15" t="str">
        <x:v>Office Supplies</x:v>
      </x:c>
      <x:c r="K15" t="str">
        <x:v>Art</x:v>
      </x:c>
      <x:c r="L15" t="str">
        <x:v>Smart Art 795</x:v>
      </x:c>
      <x:c r="M15" t="str">
        <x:v>Second Class</x:v>
      </x:c>
      <x:c r="N15" t="n">
        <x:v>7</x:v>
      </x:c>
      <x:c r="O15" s="7" t="n">
        <x:v>3964.72</x:v>
      </x:c>
      <x:c r="P15" s="6" t="n">
        <x:v>0.05</x:v>
      </x:c>
      <x:c r="Q15" s="7" t="n">
        <x:v>26365.39</x:v>
      </x:c>
      <x:c r="R15" s="7" t="n">
        <x:v>22306.24</x:v>
      </x:c>
      <x:c r="S15" s="7" t="n">
        <x:v>4059.15</x:v>
      </x:c>
      <x:c r="T15" t="str">
        <x:v>Paid</x:v>
      </x:c>
      <x:c r="U15" t="str">
        <x:v>Completed</x:v>
      </x:c>
      <x:c r="V15" s="6" t="n">
        <x:f>IF(ISBLANK(P15),IF(AND(ISNUMBER(N15),N15&gt;0,ISNUMBER(O15),O15&gt;=0,ISNUMBER(Q15),Q15&gt;=0,ISNUMBER(R15),R15&gt;=0,ISNUMBER(S15)),0,""),P15)</x:f>
        <x:v>0.05</x:v>
      </x:c>
      <x:c r="W15" s="7" t="n">
        <x:f>IF(ISBLANK(V15),"",N15*O15*(1-V15))</x:f>
        <x:v>26365.387999999995</x:v>
      </x:c>
      <x:c r="X15" s="7" t="n">
        <x:f>IF(OR(ISBLANK(W15),ISBLANK(R15)),"",W15-R15)</x:f>
        <x:v>4059.1479999999938</x:v>
      </x:c>
      <x:c r="Y15" s="8" t="n">
        <x:f>IF(OR(ISBLANK(W15),W15=0),"",X15/W15)</x:f>
        <x:v>0.15395745361304733</x:v>
      </x:c>
      <x:c r="Z15" s="9" t="n">
        <x:f>IF(OR(ISBLANK(B15),ISBLANK(C15)),"",C15-B15)</x:f>
        <x:v>4</x:v>
      </x:c>
      <x:c r="AA15" t="str">
        <x:f>IF(ISBLANK(B15),"",TEXT(B15,"mmm"))</x:f>
        <x:v>Oct</x:v>
      </x:c>
      <x:c r="AB15" s="9" t="n">
        <x:f>IF(ISBLANK(B15),"",YEAR(B15))</x:f>
        <x:v>2025</x:v>
      </x:c>
      <x:c r="AC15" s="10" t="str"/>
      <x:c r="AD15" t="str">
        <x:f>IF(AND(U15="Completed",T15="Paid",ISERROR(SEARCH("INVALID",AC15)),ISERROR(SEARCH("REVIEW",AC15))),"Include","Exclude")</x:f>
        <x:v>Include</x:v>
      </x:c>
      <x:c r="AE15" t="str">
        <x:f>IF(T15="Refunded","Refunded","")</x:f>
      </x:c>
    </x:row>
    <x:row r="16">
      <x:c r="A16" t="str">
        <x:v>ORD-2024-10015</x:v>
      </x:c>
      <x:c r="B16" s="5" t="n">
        <x:v>45653</x:v>
      </x:c>
      <x:c r="C16" s="5" t="n">
        <x:v>45654</x:v>
      </x:c>
      <x:c r="D16" t="str">
        <x:v>CUST-4912</x:v>
      </x:c>
      <x:c r="E16" t="str">
        <x:v>Rahul Verma</x:v>
      </x:c>
      <x:c r="F16" t="str">
        <x:v>Consumer</x:v>
      </x:c>
      <x:c r="G16" t="str">
        <x:v>West</x:v>
      </x:c>
      <x:c r="H16" t="str">
        <x:v>Rajasthan</x:v>
      </x:c>
      <x:c r="I16" t="str">
        <x:v>Udaipur</x:v>
      </x:c>
      <x:c r="J16" t="str">
        <x:v>Technology</x:v>
      </x:c>
      <x:c r="K16" t="str">
        <x:v>Copiers</x:v>
      </x:c>
      <x:c r="L16" t="str">
        <x:v>Max Copiers 983</x:v>
      </x:c>
      <x:c r="M16" t="str">
        <x:v>Standard Class</x:v>
      </x:c>
      <x:c r="N16" t="n">
        <x:v>2</x:v>
      </x:c>
      <x:c r="O16" s="7" t="n">
        <x:v>2737.83</x:v>
      </x:c>
      <x:c r="P16" s="6" t="n">
        <x:v>0.25</x:v>
      </x:c>
      <x:c r="Q16" s="7" t="n">
        <x:v>4106.74</x:v>
      </x:c>
      <x:c r="R16" s="7" t="n">
        <x:v>2666.3</x:v>
      </x:c>
      <x:c r="S16" s="7" t="n">
        <x:v>1440.44</x:v>
      </x:c>
      <x:c r="T16" t="str">
        <x:v>Paid</x:v>
      </x:c>
      <x:c r="U16" t="str">
        <x:v>Completed</x:v>
      </x:c>
      <x:c r="V16" s="6" t="n">
        <x:f>IF(ISBLANK(P16),IF(AND(ISNUMBER(N16),N16&gt;0,ISNUMBER(O16),O16&gt;=0,ISNUMBER(Q16),Q16&gt;=0,ISNUMBER(R16),R16&gt;=0,ISNUMBER(S16)),0,""),P16)</x:f>
        <x:v>0.25</x:v>
      </x:c>
      <x:c r="W16" s="7" t="n">
        <x:f>IF(ISBLANK(V16),"",N16*O16*(1-V16))</x:f>
        <x:v>4106.745</x:v>
      </x:c>
      <x:c r="X16" s="7" t="n">
        <x:f>IF(OR(ISBLANK(W16),ISBLANK(R16)),"",W16-R16)</x:f>
        <x:v>1440.4449999999997</x:v>
      </x:c>
      <x:c r="Y16" s="8" t="n">
        <x:f>IF(OR(ISBLANK(W16),W16=0),"",X16/W16)</x:f>
        <x:v>0.35075102057712365</x:v>
      </x:c>
      <x:c r="Z16" s="9" t="n">
        <x:f>IF(OR(ISBLANK(B16),ISBLANK(C16)),"",C16-B16)</x:f>
        <x:v>1</x:v>
      </x:c>
      <x:c r="AA16" t="str">
        <x:f>IF(ISBLANK(B16),"",TEXT(B16,"mmm"))</x:f>
        <x:v>Dec</x:v>
      </x:c>
      <x:c r="AB16" s="9" t="n">
        <x:f>IF(ISBLANK(B16),"",YEAR(B16))</x:f>
        <x:v>2024</x:v>
      </x:c>
      <x:c r="AC16" s="10" t="str"/>
      <x:c r="AD16" t="str">
        <x:f>IF(AND(U16="Completed",T16="Paid",ISERROR(SEARCH("INVALID",AC16)),ISERROR(SEARCH("REVIEW",AC16))),"Include","Exclude")</x:f>
        <x:v>Include</x:v>
      </x:c>
      <x:c r="AE16" t="str">
        <x:f>IF(T16="Refunded","Refunded","")</x:f>
      </x:c>
    </x:row>
    <x:row r="17">
      <x:c r="A17" t="str">
        <x:v>ORD-2024-10016</x:v>
      </x:c>
      <x:c r="B17" s="5" t="n">
        <x:v>45482</x:v>
      </x:c>
      <x:c r="C17" s="5" t="n">
        <x:v>45482</x:v>
      </x:c>
      <x:c r="D17" t="str">
        <x:v>CUST-7656</x:v>
      </x:c>
      <x:c r="E17" t="str">
        <x:v>Karan Malhotra</x:v>
      </x:c>
      <x:c r="F17" t="str">
        <x:v>Small Business</x:v>
      </x:c>
      <x:c r="G17" t="str">
        <x:v>North</x:v>
      </x:c>
      <x:c r="H17" t="str">
        <x:v>Punjab</x:v>
      </x:c>
      <x:c r="I17" t="str">
        <x:v>Ludhiana</x:v>
      </x:c>
      <x:c r="J17" t="str">
        <x:v>Office Supplies</x:v>
      </x:c>
      <x:c r="K17" t="str">
        <x:v>Storage</x:v>
      </x:c>
      <x:c r="L17" t="str">
        <x:v>Classic Storage 198</x:v>
      </x:c>
      <x:c r="M17" t="str">
        <x:v>Second Class</x:v>
      </x:c>
      <x:c r="N17" t="n">
        <x:v>6</x:v>
      </x:c>
      <x:c r="O17" s="7" t="n">
        <x:v>3965.76</x:v>
      </x:c>
      <x:c r="P17" s="6" t="n">
        <x:v>0</x:v>
      </x:c>
      <x:c r="Q17" s="7" t="n">
        <x:v>23794.56</x:v>
      </x:c>
      <x:c r="R17" s="7" t="n">
        <x:v>15698.47</x:v>
      </x:c>
      <x:c r="S17" s="7" t="n">
        <x:v>8096.09</x:v>
      </x:c>
      <x:c r="T17" t="str">
        <x:v>Paid</x:v>
      </x:c>
      <x:c r="U17" t="str">
        <x:v>Completed</x:v>
      </x:c>
      <x:c r="V17" s="6" t="n">
        <x:f>IF(ISBLANK(P17),IF(AND(ISNUMBER(N17),N17&gt;0,ISNUMBER(O17),O17&gt;=0,ISNUMBER(Q17),Q17&gt;=0,ISNUMBER(R17),R17&gt;=0,ISNUMBER(S17)),0,""),P17)</x:f>
        <x:v>0</x:v>
      </x:c>
      <x:c r="W17" s="7" t="n">
        <x:f>IF(ISBLANK(V17),"",N17*O17*(1-V17))</x:f>
        <x:v>23794.56</x:v>
      </x:c>
      <x:c r="X17" s="7" t="n">
        <x:f>IF(OR(ISBLANK(W17),ISBLANK(R17)),"",W17-R17)</x:f>
        <x:v>8096.090000000002</x:v>
      </x:c>
      <x:c r="Y17" s="8" t="n">
        <x:f>IF(OR(ISBLANK(W17),W17=0),"",X17/W17)</x:f>
        <x:v>0.3402496200812287</x:v>
      </x:c>
      <x:c r="Z17" s="9" t="n">
        <x:f>IF(OR(ISBLANK(B17),ISBLANK(C17)),"",C17-B17)</x:f>
        <x:v>0</x:v>
      </x:c>
      <x:c r="AA17" t="str">
        <x:f>IF(ISBLANK(B17),"",TEXT(B17,"mmm"))</x:f>
        <x:v>Jul</x:v>
      </x:c>
      <x:c r="AB17" s="9" t="n">
        <x:f>IF(ISBLANK(B17),"",YEAR(B17))</x:f>
        <x:v>2024</x:v>
      </x:c>
      <x:c r="AC17" s="10" t="str"/>
      <x:c r="AD17" t="str">
        <x:f>IF(AND(U17="Completed",T17="Paid",ISERROR(SEARCH("INVALID",AC17)),ISERROR(SEARCH("REVIEW",AC17))),"Include","Exclude")</x:f>
        <x:v>Include</x:v>
      </x:c>
      <x:c r="AE17" t="str">
        <x:f>IF(T17="Refunded","Refunded","")</x:f>
      </x:c>
    </x:row>
    <x:row r="18">
      <x:c r="A18" t="str">
        <x:v>ORD-2024-10017</x:v>
      </x:c>
      <x:c r="B18" s="5" t="n">
        <x:v>45420</x:v>
      </x:c>
      <x:c r="C18" s="5" t="n">
        <x:v>45427</x:v>
      </x:c>
      <x:c r="D18" t="str">
        <x:v>CUST-6214</x:v>
      </x:c>
      <x:c r="E18" t="str">
        <x:v>Aarav Sharma</x:v>
      </x:c>
      <x:c r="F18" t="str">
        <x:v>Consumer</x:v>
      </x:c>
      <x:c r="G18" t="str">
        <x:v>South</x:v>
      </x:c>
      <x:c r="H18" t="str">
        <x:v>Telangana</x:v>
      </x:c>
      <x:c r="I18" t="str">
        <x:v>Hyderabad</x:v>
      </x:c>
      <x:c r="J18" t="str">
        <x:v>Office Supplies</x:v>
      </x:c>
      <x:c r="K18" t="str">
        <x:v>Art</x:v>
      </x:c>
      <x:c r="L18" t="str">
        <x:v>Basic Art 204</x:v>
      </x:c>
      <x:c r="M18" t="str">
        <x:v>First Class</x:v>
      </x:c>
      <x:c r="N18" t="n">
        <x:v>4</x:v>
      </x:c>
      <x:c r="O18" s="7" t="n">
        <x:v>3323.51</x:v>
      </x:c>
      <x:c r="P18" s="6" t="n">
        <x:v>0.25</x:v>
      </x:c>
      <x:c r="Q18" s="7" t="n">
        <x:v>9970.53</x:v>
      </x:c>
      <x:c r="R18" s="7" t="n">
        <x:v>5668.17</x:v>
      </x:c>
      <x:c r="S18" s="7" t="n">
        <x:v>4302.36</x:v>
      </x:c>
      <x:c r="T18" t="str">
        <x:v>Paid</x:v>
      </x:c>
      <x:c r="U18" t="str">
        <x:v>Completed</x:v>
      </x:c>
      <x:c r="V18" s="6" t="n">
        <x:f>IF(ISBLANK(P18),IF(AND(ISNUMBER(N18),N18&gt;0,ISNUMBER(O18),O18&gt;=0,ISNUMBER(Q18),Q18&gt;=0,ISNUMBER(R18),R18&gt;=0,ISNUMBER(S18)),0,""),P18)</x:f>
        <x:v>0.25</x:v>
      </x:c>
      <x:c r="W18" s="7" t="n">
        <x:f>IF(ISBLANK(V18),"",N18*O18*(1-V18))</x:f>
        <x:v>9970.53</x:v>
      </x:c>
      <x:c r="X18" s="7" t="n">
        <x:f>IF(OR(ISBLANK(W18),ISBLANK(R18)),"",W18-R18)</x:f>
        <x:v>4302.360000000001</x:v>
      </x:c>
      <x:c r="Y18" s="8" t="n">
        <x:f>IF(OR(ISBLANK(W18),W18=0),"",X18/W18)</x:f>
        <x:v>0.4315076530535488</x:v>
      </x:c>
      <x:c r="Z18" s="9" t="n">
        <x:f>IF(OR(ISBLANK(B18),ISBLANK(C18)),"",C18-B18)</x:f>
        <x:v>7</x:v>
      </x:c>
      <x:c r="AA18" t="str">
        <x:f>IF(ISBLANK(B18),"",TEXT(B18,"mmm"))</x:f>
        <x:v>May</x:v>
      </x:c>
      <x:c r="AB18" s="9" t="n">
        <x:f>IF(ISBLANK(B18),"",YEAR(B18))</x:f>
        <x:v>2024</x:v>
      </x:c>
      <x:c r="AC18" s="10" t="str"/>
      <x:c r="AD18" t="str">
        <x:f>IF(AND(U18="Completed",T18="Paid",ISERROR(SEARCH("INVALID",AC18)),ISERROR(SEARCH("REVIEW",AC18))),"Include","Exclude")</x:f>
        <x:v>Include</x:v>
      </x:c>
      <x:c r="AE18" t="str">
        <x:f>IF(T18="Refunded","Refunded","")</x:f>
      </x:c>
    </x:row>
    <x:row r="19">
      <x:c r="A19" t="str">
        <x:v>ORD-2024-10018</x:v>
      </x:c>
      <x:c r="B19" s="5" t="n">
        <x:v>45298</x:v>
      </x:c>
      <x:c r="C19" s="5" t="n">
        <x:v>45299</x:v>
      </x:c>
      <x:c r="D19" t="str">
        <x:v>CUST-1626</x:v>
      </x:c>
      <x:c r="E19" t="str">
        <x:v>Sneha Kapoor</x:v>
      </x:c>
      <x:c r="F19" t="str">
        <x:v>Small Business</x:v>
      </x:c>
      <x:c r="G19" t="str">
        <x:v>North</x:v>
      </x:c>
      <x:c r="H19" t="str">
        <x:v>Rajasthan</x:v>
      </x:c>
      <x:c r="I19" t="str">
        <x:v>Jaipur</x:v>
      </x:c>
      <x:c r="J19" t="str">
        <x:v>Furniture</x:v>
      </x:c>
      <x:c r="K19" t="str">
        <x:v>Furnishings</x:v>
      </x:c>
      <x:c r="L19" t="str">
        <x:v>Basic Furnishings 434</x:v>
      </x:c>
      <x:c r="M19" t="str">
        <x:v>Same Day</x:v>
      </x:c>
      <x:c r="N19" t="n">
        <x:v>5</x:v>
      </x:c>
      <x:c r="O19" s="7" t="n">
        <x:v>1526.78</x:v>
      </x:c>
      <x:c r="P19" s="6" t="n">
        <x:v>0</x:v>
      </x:c>
      <x:c r="Q19" s="7" t="n">
        <x:v>7633.9</x:v>
      </x:c>
      <x:c r="R19" s="7" t="n">
        <x:v>4706.91</x:v>
      </x:c>
      <x:c r="S19" s="7" t="n">
        <x:v>2926.99</x:v>
      </x:c>
      <x:c r="T19" t="str">
        <x:v>Paid</x:v>
      </x:c>
      <x:c r="U19" t="str">
        <x:v>Completed</x:v>
      </x:c>
      <x:c r="V19" s="6" t="n">
        <x:f>IF(ISBLANK(P19),IF(AND(ISNUMBER(N19),N19&gt;0,ISNUMBER(O19),O19&gt;=0,ISNUMBER(Q19),Q19&gt;=0,ISNUMBER(R19),R19&gt;=0,ISNUMBER(S19)),0,""),P19)</x:f>
        <x:v>0</x:v>
      </x:c>
      <x:c r="W19" s="7" t="n">
        <x:f>IF(ISBLANK(V19),"",N19*O19*(1-V19))</x:f>
        <x:v>7633.9</x:v>
      </x:c>
      <x:c r="X19" s="7" t="n">
        <x:f>IF(OR(ISBLANK(W19),ISBLANK(R19)),"",W19-R19)</x:f>
        <x:v>2926.99</x:v>
      </x:c>
      <x:c r="Y19" s="8" t="n">
        <x:f>IF(OR(ISBLANK(W19),W19=0),"",X19/W19)</x:f>
        <x:v>0.3834200081216678</x:v>
      </x:c>
      <x:c r="Z19" s="9" t="n">
        <x:f>IF(OR(ISBLANK(B19),ISBLANK(C19)),"",C19-B19)</x:f>
        <x:v>1</x:v>
      </x:c>
      <x:c r="AA19" t="str">
        <x:f>IF(ISBLANK(B19),"",TEXT(B19,"mmm"))</x:f>
        <x:v>Jan</x:v>
      </x:c>
      <x:c r="AB19" s="9" t="n">
        <x:f>IF(ISBLANK(B19),"",YEAR(B19))</x:f>
        <x:v>2024</x:v>
      </x:c>
      <x:c r="AC19" s="10" t="str"/>
      <x:c r="AD19" t="str">
        <x:f>IF(AND(U19="Completed",T19="Paid",ISERROR(SEARCH("INVALID",AC19)),ISERROR(SEARCH("REVIEW",AC19))),"Include","Exclude")</x:f>
        <x:v>Include</x:v>
      </x:c>
      <x:c r="AE19" t="str">
        <x:f>IF(T19="Refunded","Refunded","")</x:f>
      </x:c>
    </x:row>
    <x:row r="20">
      <x:c r="A20" t="str">
        <x:v>ORD-2025-10019</x:v>
      </x:c>
      <x:c r="B20" s="5" t="n">
        <x:v>45853</x:v>
      </x:c>
      <x:c r="C20" s="5" t="n">
        <x:v>45855</x:v>
      </x:c>
      <x:c r="D20" t="str">
        <x:v>CUST-2110</x:v>
      </x:c>
      <x:c r="E20" t="str">
        <x:v>Aarav Sharma</x:v>
      </x:c>
      <x:c r="F20" t="str">
        <x:v>Home Office</x:v>
      </x:c>
      <x:c r="G20" t="str">
        <x:v>North</x:v>
      </x:c>
      <x:c r="H20" t="str">
        <x:v>Uttar Pradesh</x:v>
      </x:c>
      <x:c r="I20" t="str">
        <x:v>Noida</x:v>
      </x:c>
      <x:c r="J20" t="str">
        <x:v>Technology</x:v>
      </x:c>
      <x:c r="K20" t="str">
        <x:v>Copiers</x:v>
      </x:c>
      <x:c r="L20" t="str">
        <x:v>Eco Copiers 755</x:v>
      </x:c>
      <x:c r="M20" t="str">
        <x:v>First Class</x:v>
      </x:c>
      <x:c r="N20" t="n">
        <x:v>2</x:v>
      </x:c>
      <x:c r="O20" s="7" t="n">
        <x:v>1997.99</x:v>
      </x:c>
      <x:c r="P20" s="6" t="n">
        <x:v>0</x:v>
      </x:c>
      <x:c r="Q20" s="7" t="n">
        <x:v>3995.98</x:v>
      </x:c>
      <x:c r="R20" s="7" t="n">
        <x:v>2633.2</x:v>
      </x:c>
      <x:c r="S20" s="7" t="n">
        <x:v>1362.78</x:v>
      </x:c>
      <x:c r="T20" t="str">
        <x:v>Refunded</x:v>
      </x:c>
      <x:c r="U20" t="str">
        <x:v>Cancelled</x:v>
      </x:c>
      <x:c r="V20" s="6" t="n">
        <x:f>IF(ISBLANK(P20),IF(AND(ISNUMBER(N20),N20&gt;0,ISNUMBER(O20),O20&gt;=0,ISNUMBER(Q20),Q20&gt;=0,ISNUMBER(R20),R20&gt;=0,ISNUMBER(S20)),0,""),P20)</x:f>
        <x:v>0</x:v>
      </x:c>
      <x:c r="W20" s="7" t="n">
        <x:f>IF(ISBLANK(V20),"",N20*O20*(1-V20))</x:f>
        <x:v>3995.98</x:v>
      </x:c>
      <x:c r="X20" s="7" t="n">
        <x:f>IF(OR(ISBLANK(W20),ISBLANK(R20)),"",W20-R20)</x:f>
        <x:v>1362.7800000000002</x:v>
      </x:c>
      <x:c r="Y20" s="8" t="n">
        <x:f>IF(OR(ISBLANK(W20),W20=0),"",X20/W20)</x:f>
        <x:v>0.34103774293164635</x:v>
      </x:c>
      <x:c r="Z20" s="9" t="n">
        <x:f>IF(OR(ISBLANK(B20),ISBLANK(C20)),"",C20-B20)</x:f>
        <x:v>2</x:v>
      </x:c>
      <x:c r="AA20" t="str">
        <x:f>IF(ISBLANK(B20),"",TEXT(B20,"mmm"))</x:f>
        <x:v>Jul</x:v>
      </x:c>
      <x:c r="AB20" s="9" t="n">
        <x:f>IF(ISBLANK(B20),"",YEAR(B20))</x:f>
        <x:v>2025</x:v>
      </x:c>
      <x:c r="AC20" s="10" t="str">
        <x:v>EXCLUDE: Cancelled order; REFUND: Summarize separately</x:v>
      </x:c>
      <x:c r="AD20" t="str">
        <x:f>IF(AND(U20="Completed",T20="Paid",ISERROR(SEARCH("INVALID",AC20)),ISERROR(SEARCH("REVIEW",AC20))),"Include","Exclude")</x:f>
        <x:v>Exclude</x:v>
      </x:c>
      <x:c r="AE20" t="str">
        <x:f>IF(T20="Refunded","Refunded","")</x:f>
        <x:v>Refunded</x:v>
      </x:c>
    </x:row>
    <x:row r="21">
      <x:c r="A21" t="str">
        <x:v>ORD-2024-10020</x:v>
      </x:c>
      <x:c r="B21" s="5" t="n">
        <x:v>45500</x:v>
      </x:c>
      <x:c r="C21" s="5" t="n">
        <x:v>45504</x:v>
      </x:c>
      <x:c r="D21" t="str">
        <x:v>CUST-3186</x:v>
      </x:c>
      <x:c r="E21" t="str">
        <x:v>Rohan Mehta</x:v>
      </x:c>
      <x:c r="F21" t="str">
        <x:v>Home Office</x:v>
      </x:c>
      <x:c r="G21" t="str">
        <x:v>West</x:v>
      </x:c>
      <x:c r="H21" t="str">
        <x:v>Madhya Pradesh</x:v>
      </x:c>
      <x:c r="I21" t="str">
        <x:v>Indore</x:v>
      </x:c>
      <x:c r="J21" t="str">
        <x:v>Office Supplies</x:v>
      </x:c>
      <x:c r="K21" t="str">
        <x:v>Storage</x:v>
      </x:c>
      <x:c r="L21" t="str">
        <x:v>Prime Storage 121</x:v>
      </x:c>
      <x:c r="M21" t="str">
        <x:v>Second Class</x:v>
      </x:c>
      <x:c r="N21" t="n">
        <x:v>3</x:v>
      </x:c>
      <x:c r="O21" s="7" t="n">
        <x:v>3887.94</x:v>
      </x:c>
      <x:c r="P21" s="6" t="n">
        <x:v>-0.19</x:v>
      </x:c>
      <x:c r="Q21" s="7" t="n">
        <x:v>9331.06</x:v>
      </x:c>
      <x:c r="R21" s="7" t="n">
        <x:v>7529.31</x:v>
      </x:c>
      <x:c r="S21" s="7" t="n">
        <x:v>1801.75</x:v>
      </x:c>
      <x:c r="T21" t="str">
        <x:v>Paid</x:v>
      </x:c>
      <x:c r="U21" t="str">
        <x:v>Completed</x:v>
      </x:c>
      <x:c r="V21" s="6" t="n">
        <x:f>IF(ISBLANK(P21),IF(AND(ISNUMBER(N21),N21&gt;0,ISNUMBER(O21),O21&gt;=0,ISNUMBER(Q21),Q21&gt;=0,ISNUMBER(R21),R21&gt;=0,ISNUMBER(S21)),0,""),P21)</x:f>
        <x:v>-0.19</x:v>
      </x:c>
      <x:c r="W21" s="7" t="n">
        <x:f>IF(ISBLANK(V21),"",N21*O21*(1-V21))</x:f>
        <x:v>13879.9458</x:v>
      </x:c>
      <x:c r="X21" s="7" t="n">
        <x:f>IF(OR(ISBLANK(W21),ISBLANK(R21)),"",W21-R21)</x:f>
        <x:v>6350.635799999999</x:v>
      </x:c>
      <x:c r="Y21" s="8" t="n">
        <x:f>IF(OR(ISBLANK(W21),W21=0),"",X21/W21)</x:f>
        <x:v>0.45754038895454474</x:v>
      </x:c>
      <x:c r="Z21" s="9" t="n">
        <x:f>IF(OR(ISBLANK(B21),ISBLANK(C21)),"",C21-B21)</x:f>
        <x:v>4</x:v>
      </x:c>
      <x:c r="AA21" t="str">
        <x:f>IF(ISBLANK(B21),"",TEXT(B21,"mmm"))</x:f>
        <x:v>Jul</x:v>
      </x:c>
      <x:c r="AB21" s="9" t="n">
        <x:f>IF(ISBLANK(B21),"",YEAR(B21))</x:f>
        <x:v>2024</x:v>
      </x:c>
      <x:c r="AC21" s="10" t="str">
        <x:v>INVALID: Negative discount</x:v>
      </x:c>
      <x:c r="AD21" t="str">
        <x:f>IF(AND(U21="Completed",T21="Paid",ISERROR(SEARCH("INVALID",AC21)),ISERROR(SEARCH("REVIEW",AC21))),"Include","Exclude")</x:f>
        <x:v>Exclude</x:v>
      </x:c>
      <x:c r="AE21" t="str">
        <x:f>IF(T21="Refunded","Refunded","")</x:f>
      </x:c>
    </x:row>
    <x:row r="22">
      <x:c r="A22" t="str">
        <x:v>ORD-2025-10021</x:v>
      </x:c>
      <x:c r="B22" s="5" t="n">
        <x:v>45678</x:v>
      </x:c>
      <x:c r="C22" s="5" t="n">
        <x:v>45680</x:v>
      </x:c>
      <x:c r="D22" t="str">
        <x:v>CUST-3190</x:v>
      </x:c>
      <x:c r="E22" t="str">
        <x:v>Aditi Sen</x:v>
      </x:c>
      <x:c r="F22" t="str">
        <x:v>Home Office</x:v>
      </x:c>
      <x:c r="G22" t="str">
        <x:v>East</x:v>
      </x:c>
      <x:c r="H22" t="str">
        <x:v>Bihar</x:v>
      </x:c>
      <x:c r="I22" t="str">
        <x:v>Patna</x:v>
      </x:c>
      <x:c r="J22" t="str">
        <x:v>Technology</x:v>
      </x:c>
      <x:c r="K22" t="str">
        <x:v>Copiers</x:v>
      </x:c>
      <x:c r="L22" t="str">
        <x:v>Elite Copiers 233</x:v>
      </x:c>
      <x:c r="M22" t="str">
        <x:v>First Class</x:v>
      </x:c>
      <x:c r="N22" t="n">
        <x:v>5</x:v>
      </x:c>
      <x:c r="O22" s="7" t="n">
        <x:v>4373.06</x:v>
      </x:c>
      <x:c r="P22" s="6" t="n">
        <x:v>0.25</x:v>
      </x:c>
      <x:c r="Q22" s="7" t="n">
        <x:v>16398.98</x:v>
      </x:c>
      <x:c r="R22" s="7" t="n">
        <x:v>9556.52</x:v>
      </x:c>
      <x:c r="S22" s="7" t="n">
        <x:v>6842.46</x:v>
      </x:c>
      <x:c r="T22" t="str">
        <x:v>Paid</x:v>
      </x:c>
      <x:c r="U22" t="str">
        <x:v>Completed</x:v>
      </x:c>
      <x:c r="V22" s="6" t="n">
        <x:f>IF(ISBLANK(P22),IF(AND(ISNUMBER(N22),N22&gt;0,ISNUMBER(O22),O22&gt;=0,ISNUMBER(Q22),Q22&gt;=0,ISNUMBER(R22),R22&gt;=0,ISNUMBER(S22)),0,""),P22)</x:f>
        <x:v>0.25</x:v>
      </x:c>
      <x:c r="W22" s="7" t="n">
        <x:f>IF(ISBLANK(V22),"",N22*O22*(1-V22))</x:f>
        <x:v>16398.975000000002</x:v>
      </x:c>
      <x:c r="X22" s="7" t="n">
        <x:f>IF(OR(ISBLANK(W22),ISBLANK(R22)),"",W22-R22)</x:f>
        <x:v>6842.455000000002</x:v>
      </x:c>
      <x:c r="Y22" s="8" t="n">
        <x:f>IF(OR(ISBLANK(W22),W22=0),"",X22/W22)</x:f>
        <x:v>0.4172489439126531</x:v>
      </x:c>
      <x:c r="Z22" s="9" t="n">
        <x:f>IF(OR(ISBLANK(B22),ISBLANK(C22)),"",C22-B22)</x:f>
        <x:v>2</x:v>
      </x:c>
      <x:c r="AA22" t="str">
        <x:f>IF(ISBLANK(B22),"",TEXT(B22,"mmm"))</x:f>
        <x:v>Jan</x:v>
      </x:c>
      <x:c r="AB22" s="9" t="n">
        <x:f>IF(ISBLANK(B22),"",YEAR(B22))</x:f>
        <x:v>2025</x:v>
      </x:c>
      <x:c r="AC22" s="10" t="str"/>
      <x:c r="AD22" t="str">
        <x:f>IF(AND(U22="Completed",T22="Paid",ISERROR(SEARCH("INVALID",AC22)),ISERROR(SEARCH("REVIEW",AC22))),"Include","Exclude")</x:f>
        <x:v>Include</x:v>
      </x:c>
      <x:c r="AE22" t="str">
        <x:f>IF(T22="Refunded","Refunded","")</x:f>
      </x:c>
    </x:row>
    <x:row r="23">
      <x:c r="A23" t="str">
        <x:v>ORD-2025-10022</x:v>
      </x:c>
      <x:c r="B23" s="5" t="n">
        <x:v>45681</x:v>
      </x:c>
      <x:c r="C23" s="5" t="n">
        <x:v>45687</x:v>
      </x:c>
      <x:c r="D23" t="str">
        <x:v>CUST-3036</x:v>
      </x:c>
      <x:c r="E23" t="str">
        <x:v>Sneha Kapoor</x:v>
      </x:c>
      <x:c r="F23" t="str">
        <x:v>Consumer</x:v>
      </x:c>
      <x:c r="G23" t="str">
        <x:v>West</x:v>
      </x:c>
      <x:c r="H23" t="str">
        <x:v>Madhya Pradesh</x:v>
      </x:c>
      <x:c r="I23" t="str">
        <x:v>Indore</x:v>
      </x:c>
      <x:c r="J23" t="str">
        <x:v>Furniture</x:v>
      </x:c>
      <x:c r="K23" t="str">
        <x:v>Furnishings</x:v>
      </x:c>
      <x:c r="L23" t="str">
        <x:v>Eco Furnishings 897</x:v>
      </x:c>
      <x:c r="M23" t="str">
        <x:v>Second Class</x:v>
      </x:c>
      <x:c r="N23" t="n">
        <x:v>4</x:v>
      </x:c>
      <x:c r="O23" s="7" t="n">
        <x:v>697.69</x:v>
      </x:c>
      <x:c r="P23" s="6" t="n">
        <x:v>-0.23</x:v>
      </x:c>
      <x:c r="Q23" s="7" t="n">
        <x:v>2790.76</x:v>
      </x:c>
      <x:c r="R23" s="7" t="n">
        <x:v>2037.71</x:v>
      </x:c>
      <x:c r="S23" s="7" t="n">
        <x:v>753.05</x:v>
      </x:c>
      <x:c r="T23" t="str">
        <x:v>Paid</x:v>
      </x:c>
      <x:c r="U23" t="str">
        <x:v>Completed</x:v>
      </x:c>
      <x:c r="V23" s="6" t="n">
        <x:f>IF(ISBLANK(P23),IF(AND(ISNUMBER(N23),N23&gt;0,ISNUMBER(O23),O23&gt;=0,ISNUMBER(Q23),Q23&gt;=0,ISNUMBER(R23),R23&gt;=0,ISNUMBER(S23)),0,""),P23)</x:f>
        <x:v>-0.23</x:v>
      </x:c>
      <x:c r="W23" s="7" t="n">
        <x:f>IF(ISBLANK(V23),"",N23*O23*(1-V23))</x:f>
        <x:v>3432.6348000000003</x:v>
      </x:c>
      <x:c r="X23" s="7" t="n">
        <x:f>IF(OR(ISBLANK(W23),ISBLANK(R23)),"",W23-R23)</x:f>
        <x:v>1394.9248000000002</x:v>
      </x:c>
      <x:c r="Y23" s="8" t="n">
        <x:f>IF(OR(ISBLANK(W23),W23=0),"",X23/W23)</x:f>
        <x:v>0.40637145553613807</x:v>
      </x:c>
      <x:c r="Z23" s="9" t="n">
        <x:f>IF(OR(ISBLANK(B23),ISBLANK(C23)),"",C23-B23)</x:f>
        <x:v>6</x:v>
      </x:c>
      <x:c r="AA23" t="str">
        <x:f>IF(ISBLANK(B23),"",TEXT(B23,"mmm"))</x:f>
        <x:v>Jan</x:v>
      </x:c>
      <x:c r="AB23" s="9" t="n">
        <x:f>IF(ISBLANK(B23),"",YEAR(B23))</x:f>
        <x:v>2025</x:v>
      </x:c>
      <x:c r="AC23" s="10" t="str">
        <x:v>INVALID: Negative discount</x:v>
      </x:c>
      <x:c r="AD23" t="str">
        <x:f>IF(AND(U23="Completed",T23="Paid",ISERROR(SEARCH("INVALID",AC23)),ISERROR(SEARCH("REVIEW",AC23))),"Include","Exclude")</x:f>
        <x:v>Exclude</x:v>
      </x:c>
      <x:c r="AE23" t="str">
        <x:f>IF(T23="Refunded","Refunded","")</x:f>
      </x:c>
    </x:row>
    <x:row r="24">
      <x:c r="A24" t="str">
        <x:v>ORD-2025-10023</x:v>
      </x:c>
      <x:c r="B24" s="5" t="n">
        <x:v>45676</x:v>
      </x:c>
      <x:c r="C24" s="5" t="n">
        <x:v>45678</x:v>
      </x:c>
      <x:c r="D24" t="str">
        <x:v>CUST-3588</x:v>
      </x:c>
      <x:c r="E24" t="str">
        <x:v>Mira Das</x:v>
      </x:c>
      <x:c r="F24" t="str">
        <x:v>Consumer</x:v>
      </x:c>
      <x:c r="G24" t="str">
        <x:v>South</x:v>
      </x:c>
      <x:c r="H24" t="str">
        <x:v>Telangana</x:v>
      </x:c>
      <x:c r="I24" t="str">
        <x:v>Hyderabad</x:v>
      </x:c>
      <x:c r="J24" t="str">
        <x:v>Office Supplies</x:v>
      </x:c>
      <x:c r="K24" t="str">
        <x:v>Binders</x:v>
      </x:c>
      <x:c r="L24" t="str">
        <x:v>Max Binders 355</x:v>
      </x:c>
      <x:c r="M24" t="str">
        <x:v>Standard Class</x:v>
      </x:c>
      <x:c r="N24" t="n">
        <x:v>8</x:v>
      </x:c>
      <x:c r="O24" s="7" t="n">
        <x:v>1219.34</x:v>
      </x:c>
      <x:c r="P24" s="6" t="n">
        <x:v>0.15</x:v>
      </x:c>
      <x:c r="Q24" s="7" t="n">
        <x:v>8291.51</x:v>
      </x:c>
      <x:c r="R24" s="7" t="n">
        <x:v>6685.03</x:v>
      </x:c>
      <x:c r="S24" s="7" t="n">
        <x:v>1606.48</x:v>
      </x:c>
      <x:c r="T24" t="str">
        <x:v>Failed</x:v>
      </x:c>
      <x:c r="U24" t="str">
        <x:v>Returned</x:v>
      </x:c>
      <x:c r="V24" s="6" t="n">
        <x:f>IF(ISBLANK(P24),IF(AND(ISNUMBER(N24),N24&gt;0,ISNUMBER(O24),O24&gt;=0,ISNUMBER(Q24),Q24&gt;=0,ISNUMBER(R24),R24&gt;=0,ISNUMBER(S24)),0,""),P24)</x:f>
        <x:v>0.15</x:v>
      </x:c>
      <x:c r="W24" s="7" t="n">
        <x:f>IF(ISBLANK(V24),"",N24*O24*(1-V24))</x:f>
        <x:v>8291.511999999999</x:v>
      </x:c>
      <x:c r="X24" s="7" t="n">
        <x:f>IF(OR(ISBLANK(W24),ISBLANK(R24)),"",W24-R24)</x:f>
        <x:v>1606.481999999999</x:v>
      </x:c>
      <x:c r="Y24" s="8" t="n">
        <x:f>IF(OR(ISBLANK(W24),W24=0),"",X24/W24)</x:f>
        <x:v>0.1937501869381603</x:v>
      </x:c>
      <x:c r="Z24" s="9" t="n">
        <x:f>IF(OR(ISBLANK(B24),ISBLANK(C24)),"",C24-B24)</x:f>
        <x:v>2</x:v>
      </x:c>
      <x:c r="AA24" t="str">
        <x:f>IF(ISBLANK(B24),"",TEXT(B24,"mmm"))</x:f>
        <x:v>Jan</x:v>
      </x:c>
      <x:c r="AB24" s="9" t="n">
        <x:f>IF(ISBLANK(B24),"",YEAR(B24))</x:f>
        <x:v>2025</x:v>
      </x:c>
      <x:c r="AC24" s="10" t="str">
        <x:v>EXCLUDE: Failed payment</x:v>
      </x:c>
      <x:c r="AD24" t="str">
        <x:f>IF(AND(U24="Completed",T24="Paid",ISERROR(SEARCH("INVALID",AC24)),ISERROR(SEARCH("REVIEW",AC24))),"Include","Exclude")</x:f>
        <x:v>Exclude</x:v>
      </x:c>
      <x:c r="AE24" t="str">
        <x:f>IF(T24="Refunded","Refunded","")</x:f>
      </x:c>
    </x:row>
    <x:row r="25">
      <x:c r="A25" t="str">
        <x:v>ORD-2025-10024</x:v>
      </x:c>
      <x:c r="B25" s="5" t="n">
        <x:v>45898</x:v>
      </x:c>
      <x:c r="C25" s="5" t="n">
        <x:v>45900</x:v>
      </x:c>
      <x:c r="D25" t="str">
        <x:v>CUST-7098</x:v>
      </x:c>
      <x:c r="E25" t="str">
        <x:v>Rahul Verma</x:v>
      </x:c>
      <x:c r="F25" t="str">
        <x:v>Home Office</x:v>
      </x:c>
      <x:c r="G25" t="str">
        <x:v>East</x:v>
      </x:c>
      <x:c r="H25" t="str">
        <x:v>Bihar</x:v>
      </x:c>
      <x:c r="I25" t="str">
        <x:v>Patna</x:v>
      </x:c>
      <x:c r="J25" t="str">
        <x:v>Furniture</x:v>
      </x:c>
      <x:c r="K25" t="str">
        <x:v>Bookcases</x:v>
      </x:c>
      <x:c r="L25" t="str">
        <x:v>Pro Bookcases 394</x:v>
      </x:c>
      <x:c r="M25" t="str">
        <x:v>First Class</x:v>
      </x:c>
      <x:c r="N25" t="n">
        <x:v>4</x:v>
      </x:c>
      <x:c r="O25" s="7" t="n">
        <x:v>1958.01</x:v>
      </x:c>
      <x:c r="P25" s="6" t="n">
        <x:v>0.2</x:v>
      </x:c>
      <x:c r="Q25" s="7" t="n">
        <x:v>6265.63</x:v>
      </x:c>
      <x:c r="R25" s="7" t="n">
        <x:v>4321.86</x:v>
      </x:c>
      <x:c r="S25" s="7" t="n">
        <x:v>1943.77</x:v>
      </x:c>
      <x:c r="T25" t="str">
        <x:v>Paid</x:v>
      </x:c>
      <x:c r="U25" t="str">
        <x:v>Completed</x:v>
      </x:c>
      <x:c r="V25" s="6" t="n">
        <x:f>IF(ISBLANK(P25),IF(AND(ISNUMBER(N25),N25&gt;0,ISNUMBER(O25),O25&gt;=0,ISNUMBER(Q25),Q25&gt;=0,ISNUMBER(R25),R25&gt;=0,ISNUMBER(S25)),0,""),P25)</x:f>
        <x:v>0.2</x:v>
      </x:c>
      <x:c r="W25" s="7" t="n">
        <x:f>IF(ISBLANK(V25),"",N25*O25*(1-V25))</x:f>
        <x:v>6265.6320000000005</x:v>
      </x:c>
      <x:c r="X25" s="7" t="n">
        <x:f>IF(OR(ISBLANK(W25),ISBLANK(R25)),"",W25-R25)</x:f>
        <x:v>1943.7720000000008</x:v>
      </x:c>
      <x:c r="Y25" s="8" t="n">
        <x:f>IF(OR(ISBLANK(W25),W25=0),"",X25/W25)</x:f>
        <x:v>0.3102276035362435</x:v>
      </x:c>
      <x:c r="Z25" s="9" t="n">
        <x:f>IF(OR(ISBLANK(B25),ISBLANK(C25)),"",C25-B25)</x:f>
        <x:v>2</x:v>
      </x:c>
      <x:c r="AA25" t="str">
        <x:f>IF(ISBLANK(B25),"",TEXT(B25,"mmm"))</x:f>
        <x:v>Aug</x:v>
      </x:c>
      <x:c r="AB25" s="9" t="n">
        <x:f>IF(ISBLANK(B25),"",YEAR(B25))</x:f>
        <x:v>2025</x:v>
      </x:c>
      <x:c r="AC25" s="10" t="str"/>
      <x:c r="AD25" t="str">
        <x:f>IF(AND(U25="Completed",T25="Paid",ISERROR(SEARCH("INVALID",AC25)),ISERROR(SEARCH("REVIEW",AC25))),"Include","Exclude")</x:f>
        <x:v>Include</x:v>
      </x:c>
      <x:c r="AE25" t="str">
        <x:f>IF(T25="Refunded","Refunded","")</x:f>
      </x:c>
    </x:row>
    <x:row r="26">
      <x:c r="A26" t="str">
        <x:v>ORD-2024-10025</x:v>
      </x:c>
      <x:c r="B26" s="5" t="n">
        <x:v>45355</x:v>
      </x:c>
      <x:c r="C26" s="5" t="n">
        <x:v>45352</x:v>
      </x:c>
      <x:c r="D26" t="str">
        <x:v>CUST-1747</x:v>
      </x:c>
      <x:c r="E26" t="str">
        <x:v>Diya Patel</x:v>
      </x:c>
      <x:c r="F26" t="str">
        <x:v>Consumer</x:v>
      </x:c>
      <x:c r="G26" t="str">
        <x:v>North</x:v>
      </x:c>
      <x:c r="H26" t="str">
        <x:v>Punjab</x:v>
      </x:c>
      <x:c r="I26" t="str">
        <x:v>Ludhiana</x:v>
      </x:c>
      <x:c r="J26" t="str">
        <x:v>Office Supplies</x:v>
      </x:c>
      <x:c r="K26" t="str">
        <x:v>Art</x:v>
      </x:c>
      <x:c r="L26" t="str">
        <x:v>Max Art 215</x:v>
      </x:c>
      <x:c r="M26" t="str">
        <x:v>Standard Class</x:v>
      </x:c>
      <x:c r="N26" t="n">
        <x:v>4</x:v>
      </x:c>
      <x:c r="O26" s="7" t="n">
        <x:v>4492.94</x:v>
      </x:c>
      <x:c r="P26" s="6" t="n">
        <x:v>0.25</x:v>
      </x:c>
      <x:c r="Q26" s="7" t="n">
        <x:v>13478.82</x:v>
      </x:c>
      <x:c r="R26" s="7" t="n">
        <x:v>10937.35</x:v>
      </x:c>
      <x:c r="S26" s="7" t="n">
        <x:v>2541.47</x:v>
      </x:c>
      <x:c r="T26" t="str">
        <x:v>Pending</x:v>
      </x:c>
      <x:c r="U26" t="str">
        <x:v>Cancelled</x:v>
      </x:c>
      <x:c r="V26" s="6" t="n">
        <x:f>IF(ISBLANK(P26),IF(AND(ISNUMBER(N26),N26&gt;0,ISNUMBER(O26),O26&gt;=0,ISNUMBER(Q26),Q26&gt;=0,ISNUMBER(R26),R26&gt;=0,ISNUMBER(S26)),0,""),P26)</x:f>
        <x:v>0.25</x:v>
      </x:c>
      <x:c r="W26" s="7" t="n">
        <x:f>IF(ISBLANK(V26),"",N26*O26*(1-V26))</x:f>
        <x:v>13478.82</x:v>
      </x:c>
      <x:c r="X26" s="7" t="n">
        <x:f>IF(OR(ISBLANK(W26),ISBLANK(R26)),"",W26-R26)</x:f>
        <x:v>2541.4699999999993</x:v>
      </x:c>
      <x:c r="Y26" s="8" t="n">
        <x:f>IF(OR(ISBLANK(W26),W26=0),"",X26/W26)</x:f>
        <x:v>0.1885528555170259</x:v>
      </x:c>
      <x:c r="Z26" s="9" t="n">
        <x:f>IF(OR(ISBLANK(B26),ISBLANK(C26)),"",C26-B26)</x:f>
        <x:v>-3</x:v>
      </x:c>
      <x:c r="AA26" t="str">
        <x:f>IF(ISBLANK(B26),"",TEXT(B26,"mmm"))</x:f>
        <x:v>Mar</x:v>
      </x:c>
      <x:c r="AB26" s="9" t="n">
        <x:f>IF(ISBLANK(B26),"",YEAR(B26))</x:f>
        <x:v>2024</x:v>
      </x:c>
      <x:c r="AC26" s="10" t="str">
        <x:v>INVALID: Ship date before order date; EXCLUDE: Cancelled order</x:v>
      </x:c>
      <x:c r="AD26" t="str">
        <x:f>IF(AND(U26="Completed",T26="Paid",ISERROR(SEARCH("INVALID",AC26)),ISERROR(SEARCH("REVIEW",AC26))),"Include","Exclude")</x:f>
        <x:v>Exclude</x:v>
      </x:c>
      <x:c r="AE26" t="str">
        <x:f>IF(T26="Refunded","Refunded","")</x:f>
      </x:c>
    </x:row>
    <x:row r="27">
      <x:c r="A27" t="str">
        <x:v>ORD-2024-10026</x:v>
      </x:c>
      <x:c r="B27" s="5" t="n">
        <x:v>45576</x:v>
      </x:c>
      <x:c r="C27" s="5" t="n">
        <x:v>45584</x:v>
      </x:c>
      <x:c r="D27" t="str">
        <x:v>CUST-1731</x:v>
      </x:c>
      <x:c r="E27" t="str">
        <x:v>Arjun Bose</x:v>
      </x:c>
      <x:c r="F27" t="str">
        <x:v>Corporate</x:v>
      </x:c>
      <x:c r="G27" t="str">
        <x:v>East</x:v>
      </x:c>
      <x:c r="H27" t="str">
        <x:v>Assam</x:v>
      </x:c>
      <x:c r="I27" t="str">
        <x:v>Guwahati</x:v>
      </x:c>
      <x:c r="J27" t="str">
        <x:v>Technology</x:v>
      </x:c>
      <x:c r="K27" t="str">
        <x:v>Accessories</x:v>
      </x:c>
      <x:c r="L27" t="str">
        <x:v>Classic Accessories 478</x:v>
      </x:c>
      <x:c r="M27" t="str">
        <x:v>First Class</x:v>
      </x:c>
      <x:c r="N27" t="n">
        <x:v>2</x:v>
      </x:c>
      <x:c r="O27" s="7" t="n">
        <x:v>4315.2</x:v>
      </x:c>
      <x:c r="P27" s="6" t="n">
        <x:v>0.15</x:v>
      </x:c>
      <x:c r="Q27" s="7" t="n">
        <x:v>7335.84</x:v>
      </x:c>
      <x:c r="R27" s="7" t="n">
        <x:v>4968.41</x:v>
      </x:c>
      <x:c r="S27" s="7" t="n">
        <x:v>2367.43</x:v>
      </x:c>
      <x:c r="T27" t="str">
        <x:v>Paid</x:v>
      </x:c>
      <x:c r="U27" t="str">
        <x:v>Completed</x:v>
      </x:c>
      <x:c r="V27" s="6" t="n">
        <x:f>IF(ISBLANK(P27),IF(AND(ISNUMBER(N27),N27&gt;0,ISNUMBER(O27),O27&gt;=0,ISNUMBER(Q27),Q27&gt;=0,ISNUMBER(R27),R27&gt;=0,ISNUMBER(S27)),0,""),P27)</x:f>
        <x:v>0.15</x:v>
      </x:c>
      <x:c r="W27" s="7" t="n">
        <x:f>IF(ISBLANK(V27),"",N27*O27*(1-V27))</x:f>
        <x:v>7335.839999999999</x:v>
      </x:c>
      <x:c r="X27" s="7" t="n">
        <x:f>IF(OR(ISBLANK(W27),ISBLANK(R27)),"",W27-R27)</x:f>
        <x:v>2367.4299999999994</x:v>
      </x:c>
      <x:c r="Y27" s="8" t="n">
        <x:f>IF(OR(ISBLANK(W27),W27=0),"",X27/W27)</x:f>
        <x:v>0.3227210517132325</x:v>
      </x:c>
      <x:c r="Z27" s="9" t="n">
        <x:f>IF(OR(ISBLANK(B27),ISBLANK(C27)),"",C27-B27)</x:f>
        <x:v>8</x:v>
      </x:c>
      <x:c r="AA27" t="str">
        <x:f>IF(ISBLANK(B27),"",TEXT(B27,"mmm"))</x:f>
        <x:v>Oct</x:v>
      </x:c>
      <x:c r="AB27" s="9" t="n">
        <x:f>IF(ISBLANK(B27),"",YEAR(B27))</x:f>
        <x:v>2024</x:v>
      </x:c>
      <x:c r="AC27" s="10" t="str"/>
      <x:c r="AD27" t="str">
        <x:f>IF(AND(U27="Completed",T27="Paid",ISERROR(SEARCH("INVALID",AC27)),ISERROR(SEARCH("REVIEW",AC27))),"Include","Exclude")</x:f>
        <x:v>Include</x:v>
      </x:c>
      <x:c r="AE27" t="str">
        <x:f>IF(T27="Refunded","Refunded","")</x:f>
      </x:c>
    </x:row>
    <x:row r="28">
      <x:c r="A28" t="str">
        <x:v>ORD-2024-10027</x:v>
      </x:c>
      <x:c r="B28" s="5" t="n">
        <x:v>45619</x:v>
      </x:c>
      <x:c r="C28" s="5" t="n">
        <x:v>45619</x:v>
      </x:c>
      <x:c r="D28" t="str">
        <x:v>CUST-4401</x:v>
      </x:c>
      <x:c r="E28" t="str">
        <x:v>Diya Patel</x:v>
      </x:c>
      <x:c r="F28" t="str">
        <x:v>Corporate</x:v>
      </x:c>
      <x:c r="G28" t="str">
        <x:v>North</x:v>
      </x:c>
      <x:c r="H28" t="str">
        <x:v>Uttar Pradesh</x:v>
      </x:c>
      <x:c r="I28" t="str">
        <x:v>Noida</x:v>
      </x:c>
      <x:c r="J28" t="str">
        <x:v>Technology</x:v>
      </x:c>
      <x:c r="K28" t="str">
        <x:v>Phones</x:v>
      </x:c>
      <x:c r="L28" t="str">
        <x:v>Pro Phones 243</x:v>
      </x:c>
      <x:c r="M28" t="str">
        <x:v>Standard Class</x:v>
      </x:c>
      <x:c r="N28" t="n">
        <x:v>4</x:v>
      </x:c>
      <x:c r="O28" s="7" t="n">
        <x:v>716.13</x:v>
      </x:c>
      <x:c r="P28" s="6" t="n">
        <x:v>0.1</x:v>
      </x:c>
      <x:c r="Q28" s="7" t="n">
        <x:v>2578.07</x:v>
      </x:c>
      <x:c r="R28" s="7" t="n">
        <x:v>1527.55</x:v>
      </x:c>
      <x:c r="S28" s="7" t="n">
        <x:v>1050.52</x:v>
      </x:c>
      <x:c r="T28" t="str">
        <x:v>Paid</x:v>
      </x:c>
      <x:c r="U28" t="str">
        <x:v>Returned</x:v>
      </x:c>
      <x:c r="V28" s="6" t="n">
        <x:f>IF(ISBLANK(P28),IF(AND(ISNUMBER(N28),N28&gt;0,ISNUMBER(O28),O28&gt;=0,ISNUMBER(Q28),Q28&gt;=0,ISNUMBER(R28),R28&gt;=0,ISNUMBER(S28)),0,""),P28)</x:f>
        <x:v>0.1</x:v>
      </x:c>
      <x:c r="W28" s="7" t="n">
        <x:f>IF(ISBLANK(V28),"",N28*O28*(1-V28))</x:f>
        <x:v>2578.068</x:v>
      </x:c>
      <x:c r="X28" s="7" t="n">
        <x:f>IF(OR(ISBLANK(W28),ISBLANK(R28)),"",W28-R28)</x:f>
        <x:v>1050.5180000000003</x:v>
      </x:c>
      <x:c r="Y28" s="8" t="n">
        <x:f>IF(OR(ISBLANK(W28),W28=0),"",X28/W28)</x:f>
        <x:v>0.40748265755596835</x:v>
      </x:c>
      <x:c r="Z28" s="9" t="n">
        <x:f>IF(OR(ISBLANK(B28),ISBLANK(C28)),"",C28-B28)</x:f>
        <x:v>0</x:v>
      </x:c>
      <x:c r="AA28" t="str">
        <x:f>IF(ISBLANK(B28),"",TEXT(B28,"mmm"))</x:f>
        <x:v>Nov</x:v>
      </x:c>
      <x:c r="AB28" s="9" t="n">
        <x:f>IF(ISBLANK(B28),"",YEAR(B28))</x:f>
        <x:v>2024</x:v>
      </x:c>
      <x:c r="AC28" s="10" t="str"/>
      <x:c r="AD28" t="str">
        <x:f>IF(AND(U28="Completed",T28="Paid",ISERROR(SEARCH("INVALID",AC28)),ISERROR(SEARCH("REVIEW",AC28))),"Include","Exclude")</x:f>
        <x:v>Exclude</x:v>
      </x:c>
      <x:c r="AE28" t="str">
        <x:f>IF(T28="Refunded","Refunded","")</x:f>
      </x:c>
    </x:row>
    <x:row r="29">
      <x:c r="A29" t="str">
        <x:v>ORD-2025-10028</x:v>
      </x:c>
      <x:c r="B29" s="5" t="n">
        <x:v>45929</x:v>
      </x:c>
      <x:c r="C29" s="5" t="n">
        <x:v>45935</x:v>
      </x:c>
      <x:c r="D29" t="str">
        <x:v>CUST-9875</x:v>
      </x:c>
      <x:c r="E29" t="str">
        <x:v>Arjun Bose</x:v>
      </x:c>
      <x:c r="F29" t="str">
        <x:v>Small Business</x:v>
      </x:c>
      <x:c r="G29" t="str">
        <x:v>South</x:v>
      </x:c>
      <x:c r="H29" t="str">
        <x:v>Karnataka</x:v>
      </x:c>
      <x:c r="I29" t="str">
        <x:v>Bengaluru</x:v>
      </x:c>
      <x:c r="J29" t="str">
        <x:v>Office Supplies</x:v>
      </x:c>
      <x:c r="K29" t="str">
        <x:v>Paper</x:v>
      </x:c>
      <x:c r="L29" t="str">
        <x:v>Basic Paper 613</x:v>
      </x:c>
      <x:c r="M29" t="str">
        <x:v>Second Class</x:v>
      </x:c>
      <x:c r="N29" t="n">
        <x:v>5</x:v>
      </x:c>
      <x:c r="O29" s="7" t="n">
        <x:v>1806.51</x:v>
      </x:c>
      <x:c r="P29" s="6" t="n">
        <x:v>0.25</x:v>
      </x:c>
      <x:c r="Q29" s="7" t="n">
        <x:v>6774.41</x:v>
      </x:c>
      <x:c r="R29" s="7" t="n">
        <x:v>4710.36</x:v>
      </x:c>
      <x:c r="S29" s="7" t="n">
        <x:v>2064.05</x:v>
      </x:c>
      <x:c r="T29" t="str">
        <x:v>Failed</x:v>
      </x:c>
      <x:c r="U29" t="str">
        <x:v>Returned</x:v>
      </x:c>
      <x:c r="V29" s="6" t="n">
        <x:f>IF(ISBLANK(P29),IF(AND(ISNUMBER(N29),N29&gt;0,ISNUMBER(O29),O29&gt;=0,ISNUMBER(Q29),Q29&gt;=0,ISNUMBER(R29),R29&gt;=0,ISNUMBER(S29)),0,""),P29)</x:f>
        <x:v>0.25</x:v>
      </x:c>
      <x:c r="W29" s="7" t="n">
        <x:f>IF(ISBLANK(V29),"",N29*O29*(1-V29))</x:f>
        <x:v>6774.412499999999</x:v>
      </x:c>
      <x:c r="X29" s="7" t="n">
        <x:f>IF(OR(ISBLANK(W29),ISBLANK(R29)),"",W29-R29)</x:f>
        <x:v>2064.0525</x:v>
      </x:c>
      <x:c r="Y29" s="8" t="n">
        <x:f>IF(OR(ISBLANK(W29),W29=0),"",X29/W29)</x:f>
        <x:v>0.3046836164759675</x:v>
      </x:c>
      <x:c r="Z29" s="9" t="n">
        <x:f>IF(OR(ISBLANK(B29),ISBLANK(C29)),"",C29-B29)</x:f>
        <x:v>6</x:v>
      </x:c>
      <x:c r="AA29" t="str">
        <x:f>IF(ISBLANK(B29),"",TEXT(B29,"mmm"))</x:f>
        <x:v>Sep</x:v>
      </x:c>
      <x:c r="AB29" s="9" t="n">
        <x:f>IF(ISBLANK(B29),"",YEAR(B29))</x:f>
        <x:v>2025</x:v>
      </x:c>
      <x:c r="AC29" s="10" t="str">
        <x:v>EXCLUDE: Failed payment</x:v>
      </x:c>
      <x:c r="AD29" t="str">
        <x:f>IF(AND(U29="Completed",T29="Paid",ISERROR(SEARCH("INVALID",AC29)),ISERROR(SEARCH("REVIEW",AC29))),"Include","Exclude")</x:f>
        <x:v>Exclude</x:v>
      </x:c>
      <x:c r="AE29" t="str">
        <x:f>IF(T29="Refunded","Refunded","")</x:f>
      </x:c>
    </x:row>
    <x:row r="30">
      <x:c r="A30" t="str">
        <x:v>ORD-2024-10029</x:v>
      </x:c>
      <x:c r="B30" s="5" t="n">
        <x:v>45576</x:v>
      </x:c>
      <x:c r="C30" s="5" t="n">
        <x:v>45583</x:v>
      </x:c>
      <x:c r="D30" t="str">
        <x:v>CUST-1569</x:v>
      </x:c>
      <x:c r="E30" t="str">
        <x:v>Ananya Rao</x:v>
      </x:c>
      <x:c r="F30" t="str">
        <x:v>Home Office</x:v>
      </x:c>
      <x:c r="G30" t="str">
        <x:v>West</x:v>
      </x:c>
      <x:c r="H30" t="str">
        <x:v>Gujarat</x:v>
      </x:c>
      <x:c r="I30" t="str">
        <x:v>Ahmedabad</x:v>
      </x:c>
      <x:c r="J30" t="str">
        <x:v>Technology</x:v>
      </x:c>
      <x:c r="K30" t="str">
        <x:v>Phones</x:v>
      </x:c>
      <x:c r="L30" t="str">
        <x:v>Prime Phones 698</x:v>
      </x:c>
      <x:c r="M30" t="str">
        <x:v>Second Class</x:v>
      </x:c>
      <x:c r="N30" t="n">
        <x:v>2</x:v>
      </x:c>
      <x:c r="O30" s="7" t="n">
        <x:v>1942.22</x:v>
      </x:c>
      <x:c r="P30" s="6" t="n">
        <x:v>0.25</x:v>
      </x:c>
      <x:c r="Q30" s="7" t="n">
        <x:v>2913.33</x:v>
      </x:c>
      <x:c r="R30" s="7" t="n">
        <x:v>2122.33</x:v>
      </x:c>
      <x:c r="S30" s="7" t="n">
        <x:v>791</x:v>
      </x:c>
      <x:c r="T30" t="str">
        <x:v>Refunded</x:v>
      </x:c>
      <x:c r="U30" t="str">
        <x:v>Cancelled</x:v>
      </x:c>
      <x:c r="V30" s="6" t="n">
        <x:f>IF(ISBLANK(P30),IF(AND(ISNUMBER(N30),N30&gt;0,ISNUMBER(O30),O30&gt;=0,ISNUMBER(Q30),Q30&gt;=0,ISNUMBER(R30),R30&gt;=0,ISNUMBER(S30)),0,""),P30)</x:f>
        <x:v>0.25</x:v>
      </x:c>
      <x:c r="W30" s="7" t="n">
        <x:f>IF(ISBLANK(V30),"",N30*O30*(1-V30))</x:f>
        <x:v>2913.33</x:v>
      </x:c>
      <x:c r="X30" s="7" t="n">
        <x:f>IF(OR(ISBLANK(W30),ISBLANK(R30)),"",W30-R30)</x:f>
        <x:v>791</x:v>
      </x:c>
      <x:c r="Y30" s="8" t="n">
        <x:f>IF(OR(ISBLANK(W30),W30=0),"",X30/W30)</x:f>
        <x:v>0.27151060813570727</x:v>
      </x:c>
      <x:c r="Z30" s="9" t="n">
        <x:f>IF(OR(ISBLANK(B30),ISBLANK(C30)),"",C30-B30)</x:f>
        <x:v>7</x:v>
      </x:c>
      <x:c r="AA30" t="str">
        <x:f>IF(ISBLANK(B30),"",TEXT(B30,"mmm"))</x:f>
        <x:v>Oct</x:v>
      </x:c>
      <x:c r="AB30" s="9" t="n">
        <x:f>IF(ISBLANK(B30),"",YEAR(B30))</x:f>
        <x:v>2024</x:v>
      </x:c>
      <x:c r="AC30" s="10" t="str">
        <x:v>EXCLUDE: Cancelled order; REFUND: Summarize separately</x:v>
      </x:c>
      <x:c r="AD30" t="str">
        <x:f>IF(AND(U30="Completed",T30="Paid",ISERROR(SEARCH("INVALID",AC30)),ISERROR(SEARCH("REVIEW",AC30))),"Include","Exclude")</x:f>
        <x:v>Exclude</x:v>
      </x:c>
      <x:c r="AE30" t="str">
        <x:f>IF(T30="Refunded","Refunded","")</x:f>
        <x:v>Refunded</x:v>
      </x:c>
    </x:row>
    <x:row r="31">
      <x:c r="A31" t="str">
        <x:v>ORD-2025-10030</x:v>
      </x:c>
      <x:c r="B31" s="5" t="n">
        <x:v>45882</x:v>
      </x:c>
      <x:c r="C31" s="5" t="n">
        <x:v>45882</x:v>
      </x:c>
      <x:c r="D31" t="str">
        <x:v>CUST-5936</x:v>
      </x:c>
      <x:c r="E31" t="str">
        <x:v>Rohan Mehta</x:v>
      </x:c>
      <x:c r="F31" t="str">
        <x:v>Home Office</x:v>
      </x:c>
      <x:c r="G31" t="str">
        <x:v>South</x:v>
      </x:c>
      <x:c r="H31" t="str">
        <x:v>Kerala</x:v>
      </x:c>
      <x:c r="I31" t="str">
        <x:v>Kochi</x:v>
      </x:c>
      <x:c r="J31" t="str">
        <x:v>Technology</x:v>
      </x:c>
      <x:c r="K31" t="str">
        <x:v>Phones</x:v>
      </x:c>
      <x:c r="L31" t="str">
        <x:v>Pro Phones 442</x:v>
      </x:c>
      <x:c r="M31" t="str">
        <x:v>Standard Class</x:v>
      </x:c>
      <x:c r="N31" t="n">
        <x:v>1</x:v>
      </x:c>
      <x:c r="O31" s="7" t="n">
        <x:v>256.01</x:v>
      </x:c>
      <x:c r="P31" s="6" t="n">
        <x:v>0.15</x:v>
      </x:c>
      <x:c r="Q31" s="7" t="n">
        <x:v>217.61</x:v>
      </x:c>
      <x:c r="R31" s="7" t="n">
        <x:v>119.77</x:v>
      </x:c>
      <x:c r="S31" s="7" t="n">
        <x:v>97.84</x:v>
      </x:c>
      <x:c r="T31" t="str">
        <x:v>Paid</x:v>
      </x:c>
      <x:c r="U31" t="str">
        <x:v>Completed</x:v>
      </x:c>
      <x:c r="V31" s="6" t="n">
        <x:f>IF(ISBLANK(P31),IF(AND(ISNUMBER(N31),N31&gt;0,ISNUMBER(O31),O31&gt;=0,ISNUMBER(Q31),Q31&gt;=0,ISNUMBER(R31),R31&gt;=0,ISNUMBER(S31)),0,""),P31)</x:f>
        <x:v>0.15</x:v>
      </x:c>
      <x:c r="W31" s="7" t="n">
        <x:f>IF(ISBLANK(V31),"",N31*O31*(1-V31))</x:f>
        <x:v>217.6085</x:v>
      </x:c>
      <x:c r="X31" s="7" t="n">
        <x:f>IF(OR(ISBLANK(W31),ISBLANK(R31)),"",W31-R31)</x:f>
        <x:v>97.8385</x:v>
      </x:c>
      <x:c r="Y31" s="8" t="n">
        <x:f>IF(OR(ISBLANK(W31),W31=0),"",X31/W31)</x:f>
        <x:v>0.44960789675035673</x:v>
      </x:c>
      <x:c r="Z31" s="9" t="n">
        <x:f>IF(OR(ISBLANK(B31),ISBLANK(C31)),"",C31-B31)</x:f>
        <x:v>0</x:v>
      </x:c>
      <x:c r="AA31" t="str">
        <x:f>IF(ISBLANK(B31),"",TEXT(B31,"mmm"))</x:f>
        <x:v>Aug</x:v>
      </x:c>
      <x:c r="AB31" s="9" t="n">
        <x:f>IF(ISBLANK(B31),"",YEAR(B31))</x:f>
        <x:v>2025</x:v>
      </x:c>
      <x:c r="AC31" s="10" t="str"/>
      <x:c r="AD31" t="str">
        <x:f>IF(AND(U31="Completed",T31="Paid",ISERROR(SEARCH("INVALID",AC31)),ISERROR(SEARCH("REVIEW",AC31))),"Include","Exclude")</x:f>
        <x:v>Include</x:v>
      </x:c>
      <x:c r="AE31" t="str">
        <x:f>IF(T31="Refunded","Refunded","")</x:f>
      </x:c>
    </x:row>
    <x:row r="32">
      <x:c r="A32" t="str">
        <x:v>ORD-2024-10031</x:v>
      </x:c>
      <x:c r="B32" s="5" t="n">
        <x:v>45331</x:v>
      </x:c>
      <x:c r="C32" s="5" t="n">
        <x:v>45334</x:v>
      </x:c>
      <x:c r="D32" t="str">
        <x:v>CUST-8759</x:v>
      </x:c>
      <x:c r="E32" t="str">
        <x:v>Ananya Rao</x:v>
      </x:c>
      <x:c r="F32" t="str">
        <x:v>Corporate</x:v>
      </x:c>
      <x:c r="G32" t="str">
        <x:v>West</x:v>
      </x:c>
      <x:c r="H32" t="str">
        <x:v>Goa</x:v>
      </x:c>
      <x:c r="I32" t="str">
        <x:v>Panaji</x:v>
      </x:c>
      <x:c r="J32" t="str">
        <x:v>Office Supplies</x:v>
      </x:c>
      <x:c r="K32" t="str">
        <x:v>Labels</x:v>
      </x:c>
      <x:c r="L32" t="str">
        <x:v>Pro Labels 355</x:v>
      </x:c>
      <x:c r="M32" t="str">
        <x:v>First Class</x:v>
      </x:c>
      <x:c r="N32" t="n">
        <x:v>1</x:v>
      </x:c>
      <x:c r="O32" s="7" t="n">
        <x:v>3421.77</x:v>
      </x:c>
      <x:c r="P32" s="6" t="n">
        <x:v>0.1</x:v>
      </x:c>
      <x:c r="Q32" s="7" t="n">
        <x:v>3079.59</x:v>
      </x:c>
      <x:c r="R32" s="7" t="n">
        <x:v>2001.89</x:v>
      </x:c>
      <x:c r="S32" s="7" t="n">
        <x:v>1077.7</x:v>
      </x:c>
      <x:c r="T32" t="str">
        <x:v>Paid</x:v>
      </x:c>
      <x:c r="U32" t="str">
        <x:v>Completed</x:v>
      </x:c>
      <x:c r="V32" s="6" t="n">
        <x:f>IF(ISBLANK(P32),IF(AND(ISNUMBER(N32),N32&gt;0,ISNUMBER(O32),O32&gt;=0,ISNUMBER(Q32),Q32&gt;=0,ISNUMBER(R32),R32&gt;=0,ISNUMBER(S32)),0,""),P32)</x:f>
        <x:v>0.1</x:v>
      </x:c>
      <x:c r="W32" s="7" t="n">
        <x:f>IF(ISBLANK(V32),"",N32*O32*(1-V32))</x:f>
        <x:v>3079.593</x:v>
      </x:c>
      <x:c r="X32" s="7" t="n">
        <x:f>IF(OR(ISBLANK(W32),ISBLANK(R32)),"",W32-R32)</x:f>
        <x:v>1077.7029999999997</x:v>
      </x:c>
      <x:c r="Y32" s="8" t="n">
        <x:f>IF(OR(ISBLANK(W32),W32=0),"",X32/W32)</x:f>
        <x:v>0.34994981479695525</x:v>
      </x:c>
      <x:c r="Z32" s="9" t="n">
        <x:f>IF(OR(ISBLANK(B32),ISBLANK(C32)),"",C32-B32)</x:f>
        <x:v>3</x:v>
      </x:c>
      <x:c r="AA32" t="str">
        <x:f>IF(ISBLANK(B32),"",TEXT(B32,"mmm"))</x:f>
        <x:v>Feb</x:v>
      </x:c>
      <x:c r="AB32" s="9" t="n">
        <x:f>IF(ISBLANK(B32),"",YEAR(B32))</x:f>
        <x:v>2024</x:v>
      </x:c>
      <x:c r="AC32" s="10" t="str"/>
      <x:c r="AD32" t="str">
        <x:f>IF(AND(U32="Completed",T32="Paid",ISERROR(SEARCH("INVALID",AC32)),ISERROR(SEARCH("REVIEW",AC32))),"Include","Exclude")</x:f>
        <x:v>Include</x:v>
      </x:c>
      <x:c r="AE32" t="str">
        <x:f>IF(T32="Refunded","Refunded","")</x:f>
      </x:c>
    </x:row>
    <x:row r="33">
      <x:c r="A33" t="str">
        <x:v>ORD-2025-10032</x:v>
      </x:c>
      <x:c r="B33" s="5" t="n">
        <x:v>45823</x:v>
      </x:c>
      <x:c r="C33" s="5" t="n">
        <x:v>45827</x:v>
      </x:c>
      <x:c r="D33" t="str">
        <x:v>CUST-7867</x:v>
      </x:c>
      <x:c r="E33" t="str">
        <x:v>Karan Malhotra</x:v>
      </x:c>
      <x:c r="F33" t="str">
        <x:v>Small Business</x:v>
      </x:c>
      <x:c r="G33" t="str">
        <x:v>West</x:v>
      </x:c>
      <x:c r="H33" t="str">
        <x:v>Madhya Pradesh</x:v>
      </x:c>
      <x:c r="I33" t="str">
        <x:v>Indore</x:v>
      </x:c>
      <x:c r="J33" t="str">
        <x:v>Office Supplies</x:v>
      </x:c>
      <x:c r="K33" t="str">
        <x:v>Paper</x:v>
      </x:c>
      <x:c r="L33" t="str">
        <x:v>Pro Paper 959</x:v>
      </x:c>
      <x:c r="M33" t="str">
        <x:v>Second Class</x:v>
      </x:c>
      <x:c r="N33" t="n">
        <x:v>9</x:v>
      </x:c>
      <x:c r="O33" s="7" t="n">
        <x:v>3092.55</x:v>
      </x:c>
      <x:c r="P33" s="6" t="n">
        <x:v>0</x:v>
      </x:c>
      <x:c r="Q33" s="7" t="n">
        <x:v>27832.95</x:v>
      </x:c>
      <x:c r="R33" s="7" t="n">
        <x:v>17769.75</x:v>
      </x:c>
      <x:c r="S33" s="7" t="n">
        <x:v>10063.2</x:v>
      </x:c>
      <x:c r="T33" t="str">
        <x:v>Failed</x:v>
      </x:c>
      <x:c r="U33" t="str">
        <x:v>Returned</x:v>
      </x:c>
      <x:c r="V33" s="6" t="n">
        <x:f>IF(ISBLANK(P33),IF(AND(ISNUMBER(N33),N33&gt;0,ISNUMBER(O33),O33&gt;=0,ISNUMBER(Q33),Q33&gt;=0,ISNUMBER(R33),R33&gt;=0,ISNUMBER(S33)),0,""),P33)</x:f>
        <x:v>0</x:v>
      </x:c>
      <x:c r="W33" s="7" t="n">
        <x:f>IF(ISBLANK(V33),"",N33*O33*(1-V33))</x:f>
        <x:v>27832.95</x:v>
      </x:c>
      <x:c r="X33" s="7" t="n">
        <x:f>IF(OR(ISBLANK(W33),ISBLANK(R33)),"",W33-R33)</x:f>
        <x:v>10063.2</x:v>
      </x:c>
      <x:c r="Y33" s="8" t="n">
        <x:f>IF(OR(ISBLANK(W33),W33=0),"",X33/W33)</x:f>
        <x:v>0.36155707533696574</x:v>
      </x:c>
      <x:c r="Z33" s="9" t="n">
        <x:f>IF(OR(ISBLANK(B33),ISBLANK(C33)),"",C33-B33)</x:f>
        <x:v>4</x:v>
      </x:c>
      <x:c r="AA33" t="str">
        <x:f>IF(ISBLANK(B33),"",TEXT(B33,"mmm"))</x:f>
        <x:v>Jun</x:v>
      </x:c>
      <x:c r="AB33" s="9" t="n">
        <x:f>IF(ISBLANK(B33),"",YEAR(B33))</x:f>
        <x:v>2025</x:v>
      </x:c>
      <x:c r="AC33" s="10" t="str">
        <x:v>EXCLUDE: Failed payment</x:v>
      </x:c>
      <x:c r="AD33" t="str">
        <x:f>IF(AND(U33="Completed",T33="Paid",ISERROR(SEARCH("INVALID",AC33)),ISERROR(SEARCH("REVIEW",AC33))),"Include","Exclude")</x:f>
        <x:v>Exclude</x:v>
      </x:c>
      <x:c r="AE33" t="str">
        <x:f>IF(T33="Refunded","Refunded","")</x:f>
      </x:c>
    </x:row>
    <x:row r="34">
      <x:c r="A34" t="str">
        <x:v>ORD-2024-10033</x:v>
      </x:c>
      <x:c r="B34" s="5" t="n">
        <x:v>45618</x:v>
      </x:c>
      <x:c r="C34" s="5" t="n">
        <x:v>45622</x:v>
      </x:c>
      <x:c r="D34" t="str">
        <x:v>CUST-6509</x:v>
      </x:c>
      <x:c r="E34" t="str">
        <x:v>Aarav Sharma</x:v>
      </x:c>
      <x:c r="F34" t="str">
        <x:v>Corporate</x:v>
      </x:c>
      <x:c r="G34" t="str">
        <x:v>South</x:v>
      </x:c>
      <x:c r="H34" t="str">
        <x:v>Andhra Pradesh</x:v>
      </x:c>
      <x:c r="I34" t="str">
        <x:v>Vijayawada</x:v>
      </x:c>
      <x:c r="J34" t="str">
        <x:v>Technology</x:v>
      </x:c>
      <x:c r="K34" t="str">
        <x:v>Phones</x:v>
      </x:c>
      <x:c r="L34" t="str">
        <x:v>Basic Phones 242</x:v>
      </x:c>
      <x:c r="M34" t="str">
        <x:v>Second Class</x:v>
      </x:c>
      <x:c r="N34" t="n">
        <x:v>3</x:v>
      </x:c>
      <x:c r="O34" s="7" t="n">
        <x:v>4001.25</x:v>
      </x:c>
      <x:c r="P34" s="6"/>
      <x:c r="Q34" s="7" t="n">
        <x:v>9002.81</x:v>
      </x:c>
      <x:c r="R34" s="7" t="n">
        <x:v>7529.92</x:v>
      </x:c>
      <x:c r="S34" s="7" t="n">
        <x:v>1472.89</x:v>
      </x:c>
      <x:c r="T34" t="str">
        <x:v>Paid</x:v>
      </x:c>
      <x:c r="U34" t="str">
        <x:v>Completed</x:v>
      </x:c>
      <x:c r="V34" s="6" t="n">
        <x:f>IF(ISBLANK(P34),IF(AND(ISNUMBER(N34),N34&gt;0,ISNUMBER(O34),O34&gt;=0,ISNUMBER(Q34),Q34&gt;=0,ISNUMBER(R34),R34&gt;=0,ISNUMBER(S34)),0,""),P34)</x:f>
        <x:v>0</x:v>
      </x:c>
      <x:c r="W34" s="7" t="n">
        <x:f>IF(ISBLANK(V34),"",N34*O34*(1-V34))</x:f>
        <x:v>12003.75</x:v>
      </x:c>
      <x:c r="X34" s="7" t="n">
        <x:f>IF(OR(ISBLANK(W34),ISBLANK(R34)),"",W34-R34)</x:f>
        <x:v>4473.83</x:v>
      </x:c>
      <x:c r="Y34" s="8" t="n">
        <x:f>IF(OR(ISBLANK(W34),W34=0),"",X34/W34)</x:f>
        <x:v>0.3727026970738311</x:v>
      </x:c>
      <x:c r="Z34" s="9" t="n">
        <x:f>IF(OR(ISBLANK(B34),ISBLANK(C34)),"",C34-B34)</x:f>
        <x:v>4</x:v>
      </x:c>
      <x:c r="AA34" t="str">
        <x:f>IF(ISBLANK(B34),"",TEXT(B34,"mmm"))</x:f>
        <x:v>Nov</x:v>
      </x:c>
      <x:c r="AB34" s="9" t="n">
        <x:f>IF(ISBLANK(B34),"",YEAR(B34))</x:f>
        <x:v>2024</x:v>
      </x:c>
      <x:c r="AC34" s="10" t="str">
        <x:v>FLAG: Missing discount treated as 0</x:v>
      </x:c>
      <x:c r="AD34" t="str">
        <x:f>IF(AND(U34="Completed",T34="Paid",ISERROR(SEARCH("INVALID",AC34)),ISERROR(SEARCH("REVIEW",AC34))),"Include","Exclude")</x:f>
        <x:v>Include</x:v>
      </x:c>
      <x:c r="AE34" t="str">
        <x:f>IF(T34="Refunded","Refunded","")</x:f>
      </x:c>
    </x:row>
    <x:row r="35">
      <x:c r="A35" t="str">
        <x:v>ORD-2024-10034</x:v>
      </x:c>
      <x:c r="B35" s="5" t="n">
        <x:v>45495</x:v>
      </x:c>
      <x:c r="C35" s="5" t="n">
        <x:v>45500</x:v>
      </x:c>
      <x:c r="D35" t="str">
        <x:v>CUST-6660</x:v>
      </x:c>
      <x:c r="E35" t="str">
        <x:v>Priya Menon</x:v>
      </x:c>
      <x:c r="F35" t="str">
        <x:v>Home Office</x:v>
      </x:c>
      <x:c r="G35" t="str">
        <x:v>West</x:v>
      </x:c>
      <x:c r="H35" t="str">
        <x:v>Goa</x:v>
      </x:c>
      <x:c r="I35" t="str">
        <x:v>Panaji</x:v>
      </x:c>
      <x:c r="J35" t="str">
        <x:v>Furniture</x:v>
      </x:c>
      <x:c r="K35" t="str">
        <x:v>Tables</x:v>
      </x:c>
      <x:c r="L35" t="str">
        <x:v>Max Tables 836</x:v>
      </x:c>
      <x:c r="M35" t="str">
        <x:v>Same Day</x:v>
      </x:c>
      <x:c r="N35" t="n">
        <x:v>7</x:v>
      </x:c>
      <x:c r="O35" s="7" t="n">
        <x:v>492.41</x:v>
      </x:c>
      <x:c r="P35" s="6" t="n">
        <x:v>0.25</x:v>
      </x:c>
      <x:c r="Q35" s="7" t="n">
        <x:v>2585.15</x:v>
      </x:c>
      <x:c r="R35" s="7" t="n">
        <x:v>2070.73</x:v>
      </x:c>
      <x:c r="S35" s="7" t="n">
        <x:v>514.42</x:v>
      </x:c>
      <x:c r="T35" t="str">
        <x:v>Paid</x:v>
      </x:c>
      <x:c r="U35" t="str">
        <x:v>Completed</x:v>
      </x:c>
      <x:c r="V35" s="6" t="n">
        <x:f>IF(ISBLANK(P35),IF(AND(ISNUMBER(N35),N35&gt;0,ISNUMBER(O35),O35&gt;=0,ISNUMBER(Q35),Q35&gt;=0,ISNUMBER(R35),R35&gt;=0,ISNUMBER(S35)),0,""),P35)</x:f>
        <x:v>0.25</x:v>
      </x:c>
      <x:c r="W35" s="7" t="n">
        <x:f>IF(ISBLANK(V35),"",N35*O35*(1-V35))</x:f>
        <x:v>2585.1525</x:v>
      </x:c>
      <x:c r="X35" s="7" t="n">
        <x:f>IF(OR(ISBLANK(W35),ISBLANK(R35)),"",W35-R35)</x:f>
        <x:v>514.4225000000001</x:v>
      </x:c>
      <x:c r="Y35" s="8" t="n">
        <x:f>IF(OR(ISBLANK(W35),W35=0),"",X35/W35)</x:f>
        <x:v>0.19899116203009304</x:v>
      </x:c>
      <x:c r="Z35" s="9" t="n">
        <x:f>IF(OR(ISBLANK(B35),ISBLANK(C35)),"",C35-B35)</x:f>
        <x:v>5</x:v>
      </x:c>
      <x:c r="AA35" t="str">
        <x:f>IF(ISBLANK(B35),"",TEXT(B35,"mmm"))</x:f>
        <x:v>Jul</x:v>
      </x:c>
      <x:c r="AB35" s="9" t="n">
        <x:f>IF(ISBLANK(B35),"",YEAR(B35))</x:f>
        <x:v>2024</x:v>
      </x:c>
      <x:c r="AC35" s="10" t="str"/>
      <x:c r="AD35" t="str">
        <x:f>IF(AND(U35="Completed",T35="Paid",ISERROR(SEARCH("INVALID",AC35)),ISERROR(SEARCH("REVIEW",AC35))),"Include","Exclude")</x:f>
        <x:v>Include</x:v>
      </x:c>
      <x:c r="AE35" t="str">
        <x:f>IF(T35="Refunded","Refunded","")</x:f>
      </x:c>
    </x:row>
    <x:row r="36">
      <x:c r="A36" t="str">
        <x:v>ORD-2025-10035</x:v>
      </x:c>
      <x:c r="B36" s="5" t="n">
        <x:v>45688</x:v>
      </x:c>
      <x:c r="C36" s="5" t="n">
        <x:v>45693</x:v>
      </x:c>
      <x:c r="D36" t="str">
        <x:v>CUST-2392</x:v>
      </x:c>
      <x:c r="E36" t="str">
        <x:v>Priya Menon</x:v>
      </x:c>
      <x:c r="F36" t="str">
        <x:v>Home Office</x:v>
      </x:c>
      <x:c r="G36" t="str">
        <x:v>East</x:v>
      </x:c>
      <x:c r="H36" t="str">
        <x:v>West Bengal</x:v>
      </x:c>
      <x:c r="I36" t="str">
        <x:v>Kolkata</x:v>
      </x:c>
      <x:c r="J36" t="str">
        <x:v>Furniture</x:v>
      </x:c>
      <x:c r="K36" t="str">
        <x:v>Chairs</x:v>
      </x:c>
      <x:c r="L36" t="str">
        <x:v>Elite Chairs 862</x:v>
      </x:c>
      <x:c r="M36" t="str">
        <x:v>Unknown</x:v>
      </x:c>
      <x:c r="N36" t="n">
        <x:v>2</x:v>
      </x:c>
      <x:c r="O36" s="7" t="n">
        <x:v>4159.69</x:v>
      </x:c>
      <x:c r="P36" s="6" t="n">
        <x:v>0.2</x:v>
      </x:c>
      <x:c r="Q36" s="7" t="n">
        <x:v>6655.5</x:v>
      </x:c>
      <x:c r="R36" s="7" t="n">
        <x:v>4340.21</x:v>
      </x:c>
      <x:c r="S36" s="7" t="n">
        <x:v>2607.32</x:v>
      </x:c>
      <x:c r="T36" t="str">
        <x:v>Paid</x:v>
      </x:c>
      <x:c r="U36" t="str">
        <x:v>Completed</x:v>
      </x:c>
      <x:c r="V36" s="6" t="n">
        <x:f>IF(ISBLANK(P36),IF(AND(ISNUMBER(N36),N36&gt;0,ISNUMBER(O36),O36&gt;=0,ISNUMBER(Q36),Q36&gt;=0,ISNUMBER(R36),R36&gt;=0,ISNUMBER(S36)),0,""),P36)</x:f>
        <x:v>0.2</x:v>
      </x:c>
      <x:c r="W36" s="7" t="n">
        <x:f>IF(ISBLANK(V36),"",N36*O36*(1-V36))</x:f>
        <x:v>6655.504</x:v>
      </x:c>
      <x:c r="X36" s="7" t="n">
        <x:f>IF(OR(ISBLANK(W36),ISBLANK(R36)),"",W36-R36)</x:f>
        <x:v>2315.294</x:v>
      </x:c>
      <x:c r="Y36" s="8" t="n">
        <x:f>IF(OR(ISBLANK(W36),W36=0),"",X36/W36)</x:f>
        <x:v>0.3478765845531758</x:v>
      </x:c>
      <x:c r="Z36" s="9" t="n">
        <x:f>IF(OR(ISBLANK(B36),ISBLANK(C36)),"",C36-B36)</x:f>
        <x:v>5</x:v>
      </x:c>
      <x:c r="AA36" t="str">
        <x:f>IF(ISBLANK(B36),"",TEXT(B36,"mmm"))</x:f>
        <x:v>Jan</x:v>
      </x:c>
      <x:c r="AB36" s="9" t="n">
        <x:f>IF(ISBLANK(B36),"",YEAR(B36))</x:f>
        <x:v>2025</x:v>
      </x:c>
      <x:c r="AC36" s="10" t="str">
        <x:v>FLAG: Missing ship mode filled as Unknown</x:v>
      </x:c>
      <x:c r="AD36" t="str">
        <x:f>IF(AND(U36="Completed",T36="Paid",ISERROR(SEARCH("INVALID",AC36)),ISERROR(SEARCH("REVIEW",AC36))),"Include","Exclude")</x:f>
        <x:v>Include</x:v>
      </x:c>
      <x:c r="AE36" t="str">
        <x:f>IF(T36="Refunded","Refunded","")</x:f>
      </x:c>
    </x:row>
    <x:row r="37">
      <x:c r="A37" t="str">
        <x:v>ORD-2024-10036</x:v>
      </x:c>
      <x:c r="B37" s="5" t="n">
        <x:v>45441</x:v>
      </x:c>
      <x:c r="C37" s="5" t="n">
        <x:v>45441</x:v>
      </x:c>
      <x:c r="D37" t="str">
        <x:v>CUST-1611</x:v>
      </x:c>
      <x:c r="E37" t="str">
        <x:v>Sneha Kapoor</x:v>
      </x:c>
      <x:c r="F37" t="str">
        <x:v>Small Business</x:v>
      </x:c>
      <x:c r="G37" t="str">
        <x:v>West</x:v>
      </x:c>
      <x:c r="H37" t="str">
        <x:v>Gujarat</x:v>
      </x:c>
      <x:c r="I37" t="str">
        <x:v>Ahmedabad</x:v>
      </x:c>
      <x:c r="J37" t="str">
        <x:v>Furniture</x:v>
      </x:c>
      <x:c r="K37" t="str">
        <x:v>Bookcases</x:v>
      </x:c>
      <x:c r="L37" t="str">
        <x:v>Prime Bookcases 414</x:v>
      </x:c>
      <x:c r="M37" t="str">
        <x:v>Second Class</x:v>
      </x:c>
      <x:c r="N37" t="n">
        <x:v>8</x:v>
      </x:c>
      <x:c r="O37" s="7" t="n">
        <x:v>2507.12</x:v>
      </x:c>
      <x:c r="P37" s="6" t="n">
        <x:v>0.05</x:v>
      </x:c>
      <x:c r="Q37" s="7" t="n">
        <x:v>19054.11</x:v>
      </x:c>
      <x:c r="R37" s="7" t="n">
        <x:v>15313.83</x:v>
      </x:c>
      <x:c r="S37" s="7" t="n">
        <x:v>3740.28</x:v>
      </x:c>
      <x:c r="T37" t="str">
        <x:v>Pending</x:v>
      </x:c>
      <x:c r="U37" t="str">
        <x:v>Returned</x:v>
      </x:c>
      <x:c r="V37" s="6" t="n">
        <x:f>IF(ISBLANK(P37),IF(AND(ISNUMBER(N37),N37&gt;0,ISNUMBER(O37),O37&gt;=0,ISNUMBER(Q37),Q37&gt;=0,ISNUMBER(R37),R37&gt;=0,ISNUMBER(S37)),0,""),P37)</x:f>
        <x:v>0.05</x:v>
      </x:c>
      <x:c r="W37" s="7" t="n">
        <x:f>IF(ISBLANK(V37),"",N37*O37*(1-V37))</x:f>
        <x:v>19054.111999999997</x:v>
      </x:c>
      <x:c r="X37" s="7" t="n">
        <x:f>IF(OR(ISBLANK(W37),ISBLANK(R37)),"",W37-R37)</x:f>
        <x:v>3740.2819999999974</x:v>
      </x:c>
      <x:c r="Y37" s="8" t="n">
        <x:f>IF(OR(ISBLANK(W37),W37=0),"",X37/W37)</x:f>
        <x:v>0.19629789097492437</x:v>
      </x:c>
      <x:c r="Z37" s="9" t="n">
        <x:f>IF(OR(ISBLANK(B37),ISBLANK(C37)),"",C37-B37)</x:f>
        <x:v>0</x:v>
      </x:c>
      <x:c r="AA37" t="str">
        <x:f>IF(ISBLANK(B37),"",TEXT(B37,"mmm"))</x:f>
        <x:v>May</x:v>
      </x:c>
      <x:c r="AB37" s="9" t="n">
        <x:f>IF(ISBLANK(B37),"",YEAR(B37))</x:f>
        <x:v>2024</x:v>
      </x:c>
      <x:c r="AC37" s="10" t="str"/>
      <x:c r="AD37" t="str">
        <x:f>IF(AND(U37="Completed",T37="Paid",ISERROR(SEARCH("INVALID",AC37)),ISERROR(SEARCH("REVIEW",AC37))),"Include","Exclude")</x:f>
        <x:v>Exclude</x:v>
      </x:c>
      <x:c r="AE37" t="str">
        <x:f>IF(T37="Refunded","Refunded","")</x:f>
      </x:c>
    </x:row>
    <x:row r="38">
      <x:c r="A38" t="str">
        <x:v>ORD-2024-10037</x:v>
      </x:c>
      <x:c r="B38" s="5" t="n">
        <x:v>45590</x:v>
      </x:c>
      <x:c r="C38" s="5" t="n">
        <x:v>45593</x:v>
      </x:c>
      <x:c r="D38" t="str">
        <x:v>CUST-8296</x:v>
      </x:c>
      <x:c r="E38" t="str">
        <x:v>Rohan Mehta</x:v>
      </x:c>
      <x:c r="F38" t="str">
        <x:v>Corporate</x:v>
      </x:c>
      <x:c r="G38" t="str">
        <x:v>West</x:v>
      </x:c>
      <x:c r="H38" t="str">
        <x:v>Maharashtra</x:v>
      </x:c>
      <x:c r="I38" t="str">
        <x:v>Mumbai</x:v>
      </x:c>
      <x:c r="J38" t="str">
        <x:v>Furniture</x:v>
      </x:c>
      <x:c r="K38" t="str">
        <x:v>Bookcases</x:v>
      </x:c>
      <x:c r="L38" t="str">
        <x:v>Eco Bookcases 220</x:v>
      </x:c>
      <x:c r="M38" t="str">
        <x:v>Second Class</x:v>
      </x:c>
      <x:c r="N38" t="n">
        <x:v>3</x:v>
      </x:c>
      <x:c r="O38" s="7" t="n">
        <x:v>3126.47</x:v>
      </x:c>
      <x:c r="P38" s="6" t="n">
        <x:v>0</x:v>
      </x:c>
      <x:c r="Q38" s="7" t="n">
        <x:v>9379.41</x:v>
      </x:c>
      <x:c r="R38" s="7" t="n">
        <x:v>6670.85</x:v>
      </x:c>
      <x:c r="S38" s="7" t="n">
        <x:v>2708.56</x:v>
      </x:c>
      <x:c r="T38" t="str">
        <x:v>Paid</x:v>
      </x:c>
      <x:c r="U38" t="str">
        <x:v>Returned</x:v>
      </x:c>
      <x:c r="V38" s="6" t="n">
        <x:f>IF(ISBLANK(P38),IF(AND(ISNUMBER(N38),N38&gt;0,ISNUMBER(O38),O38&gt;=0,ISNUMBER(Q38),Q38&gt;=0,ISNUMBER(R38),R38&gt;=0,ISNUMBER(S38)),0,""),P38)</x:f>
        <x:v>0</x:v>
      </x:c>
      <x:c r="W38" s="7" t="n">
        <x:f>IF(ISBLANK(V38),"",N38*O38*(1-V38))</x:f>
        <x:v>9379.41</x:v>
      </x:c>
      <x:c r="X38" s="7" t="n">
        <x:f>IF(OR(ISBLANK(W38),ISBLANK(R38)),"",W38-R38)</x:f>
        <x:v>2708.5599999999995</x:v>
      </x:c>
      <x:c r="Y38" s="8" t="n">
        <x:f>IF(OR(ISBLANK(W38),W38=0),"",X38/W38)</x:f>
        <x:v>0.28877722585962223</x:v>
      </x:c>
      <x:c r="Z38" s="9" t="n">
        <x:f>IF(OR(ISBLANK(B38),ISBLANK(C38)),"",C38-B38)</x:f>
        <x:v>3</x:v>
      </x:c>
      <x:c r="AA38" t="str">
        <x:f>IF(ISBLANK(B38),"",TEXT(B38,"mmm"))</x:f>
        <x:v>Oct</x:v>
      </x:c>
      <x:c r="AB38" s="9" t="n">
        <x:f>IF(ISBLANK(B38),"",YEAR(B38))</x:f>
        <x:v>2024</x:v>
      </x:c>
      <x:c r="AC38" s="10" t="str"/>
      <x:c r="AD38" t="str">
        <x:f>IF(AND(U38="Completed",T38="Paid",ISERROR(SEARCH("INVALID",AC38)),ISERROR(SEARCH("REVIEW",AC38))),"Include","Exclude")</x:f>
        <x:v>Exclude</x:v>
      </x:c>
      <x:c r="AE38" t="str">
        <x:f>IF(T38="Refunded","Refunded","")</x:f>
      </x:c>
    </x:row>
    <x:row r="39">
      <x:c r="A39" t="str">
        <x:v>ORD-2025-10038</x:v>
      </x:c>
      <x:c r="B39" s="5" t="n">
        <x:v>45867</x:v>
      </x:c>
      <x:c r="C39" s="5" t="n">
        <x:v>45867</x:v>
      </x:c>
      <x:c r="D39" t="str">
        <x:v>CUST-4646</x:v>
      </x:c>
      <x:c r="E39" t="str">
        <x:v>Diya Patel</x:v>
      </x:c>
      <x:c r="F39" t="str">
        <x:v>Consumer</x:v>
      </x:c>
      <x:c r="G39" t="str">
        <x:v>West</x:v>
      </x:c>
      <x:c r="H39" t="str">
        <x:v>Maharashtra</x:v>
      </x:c>
      <x:c r="I39" t="str">
        <x:v>Mumbai</x:v>
      </x:c>
      <x:c r="J39" t="str">
        <x:v>Technology</x:v>
      </x:c>
      <x:c r="K39" t="str">
        <x:v>Copiers</x:v>
      </x:c>
      <x:c r="L39" t="str">
        <x:v>Pro Copiers 830</x:v>
      </x:c>
      <x:c r="M39" t="str">
        <x:v>Standard Class</x:v>
      </x:c>
      <x:c r="N39" t="n">
        <x:v>4</x:v>
      </x:c>
      <x:c r="O39" s="7" t="n">
        <x:v>1327.54</x:v>
      </x:c>
      <x:c r="P39" s="6" t="n">
        <x:v>0.2</x:v>
      </x:c>
      <x:c r="Q39" s="7" t="n">
        <x:v>4248.13</x:v>
      </x:c>
      <x:c r="R39" s="7" t="n">
        <x:v>3321.09</x:v>
      </x:c>
      <x:c r="S39" s="7" t="n">
        <x:v>927.04</x:v>
      </x:c>
      <x:c r="T39" t="str">
        <x:v>Paid</x:v>
      </x:c>
      <x:c r="U39" t="str">
        <x:v>Completed</x:v>
      </x:c>
      <x:c r="V39" s="6" t="n">
        <x:f>IF(ISBLANK(P39),IF(AND(ISNUMBER(N39),N39&gt;0,ISNUMBER(O39),O39&gt;=0,ISNUMBER(Q39),Q39&gt;=0,ISNUMBER(R39),R39&gt;=0,ISNUMBER(S39)),0,""),P39)</x:f>
        <x:v>0.2</x:v>
      </x:c>
      <x:c r="W39" s="7" t="n">
        <x:f>IF(ISBLANK(V39),"",N39*O39*(1-V39))</x:f>
        <x:v>4248.128</x:v>
      </x:c>
      <x:c r="X39" s="7" t="n">
        <x:f>IF(OR(ISBLANK(W39),ISBLANK(R39)),"",W39-R39)</x:f>
        <x:v>927.0379999999996</x:v>
      </x:c>
      <x:c r="Y39" s="8" t="n">
        <x:f>IF(OR(ISBLANK(W39),W39=0),"",X39/W39)</x:f>
        <x:v>0.21822270892025844</x:v>
      </x:c>
      <x:c r="Z39" s="9" t="n">
        <x:f>IF(OR(ISBLANK(B39),ISBLANK(C39)),"",C39-B39)</x:f>
        <x:v>0</x:v>
      </x:c>
      <x:c r="AA39" t="str">
        <x:f>IF(ISBLANK(B39),"",TEXT(B39,"mmm"))</x:f>
        <x:v>Jul</x:v>
      </x:c>
      <x:c r="AB39" s="9" t="n">
        <x:f>IF(ISBLANK(B39),"",YEAR(B39))</x:f>
        <x:v>2025</x:v>
      </x:c>
      <x:c r="AC39" s="10" t="str"/>
      <x:c r="AD39" t="str">
        <x:f>IF(AND(U39="Completed",T39="Paid",ISERROR(SEARCH("INVALID",AC39)),ISERROR(SEARCH("REVIEW",AC39))),"Include","Exclude")</x:f>
        <x:v>Include</x:v>
      </x:c>
      <x:c r="AE39" t="str">
        <x:f>IF(T39="Refunded","Refunded","")</x:f>
      </x:c>
    </x:row>
    <x:row r="40">
      <x:c r="A40" t="str">
        <x:v>ORD-2024-10039</x:v>
      </x:c>
      <x:c r="B40" s="5" t="n">
        <x:v>45460</x:v>
      </x:c>
      <x:c r="C40" s="5" t="n">
        <x:v>45465</x:v>
      </x:c>
      <x:c r="D40" t="str">
        <x:v>CUST-8235</x:v>
      </x:c>
      <x:c r="E40" t="str">
        <x:v>Aarav Sharma</x:v>
      </x:c>
      <x:c r="F40" t="str">
        <x:v>Corporate</x:v>
      </x:c>
      <x:c r="G40" t="str">
        <x:v>West</x:v>
      </x:c>
      <x:c r="H40" t="str">
        <x:v>Gujarat</x:v>
      </x:c>
      <x:c r="I40" t="str">
        <x:v>Ahmedabad</x:v>
      </x:c>
      <x:c r="J40" t="str">
        <x:v>Technology</x:v>
      </x:c>
      <x:c r="K40" t="str">
        <x:v>Phones</x:v>
      </x:c>
      <x:c r="L40" t="str">
        <x:v>Prime Phones 507</x:v>
      </x:c>
      <x:c r="M40" t="str">
        <x:v>First Class</x:v>
      </x:c>
      <x:c r="N40" t="n">
        <x:v>7</x:v>
      </x:c>
      <x:c r="O40" s="7" t="n">
        <x:v>2210.68</x:v>
      </x:c>
      <x:c r="P40" s="6" t="n">
        <x:v>0.1</x:v>
      </x:c>
      <x:c r="Q40" s="7" t="n">
        <x:v>13927.28</x:v>
      </x:c>
      <x:c r="R40" s="7" t="n">
        <x:v>10504.87</x:v>
      </x:c>
      <x:c r="S40" s="7" t="n">
        <x:v>3422.41</x:v>
      </x:c>
      <x:c r="T40" t="str">
        <x:v>Paid</x:v>
      </x:c>
      <x:c r="U40" t="str">
        <x:v>Completed</x:v>
      </x:c>
      <x:c r="V40" s="6" t="n">
        <x:f>IF(ISBLANK(P40),IF(AND(ISNUMBER(N40),N40&gt;0,ISNUMBER(O40),O40&gt;=0,ISNUMBER(Q40),Q40&gt;=0,ISNUMBER(R40),R40&gt;=0,ISNUMBER(S40)),0,""),P40)</x:f>
        <x:v>0.1</x:v>
      </x:c>
      <x:c r="W40" s="7" t="n">
        <x:f>IF(ISBLANK(V40),"",N40*O40*(1-V40))</x:f>
        <x:v>13927.284</x:v>
      </x:c>
      <x:c r="X40" s="7" t="n">
        <x:f>IF(OR(ISBLANK(W40),ISBLANK(R40)),"",W40-R40)</x:f>
        <x:v>3422.413999999999</x:v>
      </x:c>
      <x:c r="Y40" s="8" t="n">
        <x:f>IF(OR(ISBLANK(W40),W40=0),"",X40/W40)</x:f>
        <x:v>0.24573448778670692</x:v>
      </x:c>
      <x:c r="Z40" s="9" t="n">
        <x:f>IF(OR(ISBLANK(B40),ISBLANK(C40)),"",C40-B40)</x:f>
        <x:v>5</x:v>
      </x:c>
      <x:c r="AA40" t="str">
        <x:f>IF(ISBLANK(B40),"",TEXT(B40,"mmm"))</x:f>
        <x:v>Jun</x:v>
      </x:c>
      <x:c r="AB40" s="9" t="n">
        <x:f>IF(ISBLANK(B40),"",YEAR(B40))</x:f>
        <x:v>2024</x:v>
      </x:c>
      <x:c r="AC40" s="10" t="str"/>
      <x:c r="AD40" t="str">
        <x:f>IF(AND(U40="Completed",T40="Paid",ISERROR(SEARCH("INVALID",AC40)),ISERROR(SEARCH("REVIEW",AC40))),"Include","Exclude")</x:f>
        <x:v>Include</x:v>
      </x:c>
      <x:c r="AE40" t="str">
        <x:f>IF(T40="Refunded","Refunded","")</x:f>
      </x:c>
    </x:row>
    <x:row r="41">
      <x:c r="A41" t="str">
        <x:v>ORD-2024-10040</x:v>
      </x:c>
      <x:c r="B41" s="5" t="n">
        <x:v>45637</x:v>
      </x:c>
      <x:c r="C41" s="5" t="n">
        <x:v>45637</x:v>
      </x:c>
      <x:c r="D41" t="str">
        <x:v>CUST-5830</x:v>
      </x:c>
      <x:c r="E41" t="str">
        <x:v>Mira Das</x:v>
      </x:c>
      <x:c r="F41" t="str">
        <x:v>Small Business</x:v>
      </x:c>
      <x:c r="G41" t="str">
        <x:v>West</x:v>
      </x:c>
      <x:c r="H41" t="str">
        <x:v>Madhya Pradesh</x:v>
      </x:c>
      <x:c r="I41" t="str">
        <x:v>Indore</x:v>
      </x:c>
      <x:c r="J41" t="str">
        <x:v>Technology</x:v>
      </x:c>
      <x:c r="K41" t="str">
        <x:v>Copiers</x:v>
      </x:c>
      <x:c r="L41" t="str">
        <x:v>Classic Copiers 590</x:v>
      </x:c>
      <x:c r="M41" t="str">
        <x:v>First Class</x:v>
      </x:c>
      <x:c r="N41" t="n">
        <x:v>4</x:v>
      </x:c>
      <x:c r="O41" s="7" t="n">
        <x:v>1370.92</x:v>
      </x:c>
      <x:c r="P41" s="6" t="n">
        <x:v>0.1</x:v>
      </x:c>
      <x:c r="Q41" s="7" t="n">
        <x:v>4935.31</x:v>
      </x:c>
      <x:c r="R41" s="7" t="n">
        <x:v>3374.77</x:v>
      </x:c>
      <x:c r="S41" s="7" t="n">
        <x:v>1560.54</x:v>
      </x:c>
      <x:c r="T41" t="str">
        <x:v>Pending</x:v>
      </x:c>
      <x:c r="U41" t="str">
        <x:v>Returned</x:v>
      </x:c>
      <x:c r="V41" s="6" t="n">
        <x:f>IF(ISBLANK(P41),IF(AND(ISNUMBER(N41),N41&gt;0,ISNUMBER(O41),O41&gt;=0,ISNUMBER(Q41),Q41&gt;=0,ISNUMBER(R41),R41&gt;=0,ISNUMBER(S41)),0,""),P41)</x:f>
        <x:v>0.1</x:v>
      </x:c>
      <x:c r="W41" s="7" t="n">
        <x:f>IF(ISBLANK(V41),"",N41*O41*(1-V41))</x:f>
        <x:v>4935.312000000001</x:v>
      </x:c>
      <x:c r="X41" s="7" t="n">
        <x:f>IF(OR(ISBLANK(W41),ISBLANK(R41)),"",W41-R41)</x:f>
        <x:v>1560.5420000000008</x:v>
      </x:c>
      <x:c r="Y41" s="8" t="n">
        <x:f>IF(OR(ISBLANK(W41),W41=0),"",X41/W41)</x:f>
        <x:v>0.31619925954022776</x:v>
      </x:c>
      <x:c r="Z41" s="9" t="n">
        <x:f>IF(OR(ISBLANK(B41),ISBLANK(C41)),"",C41-B41)</x:f>
        <x:v>0</x:v>
      </x:c>
      <x:c r="AA41" t="str">
        <x:f>IF(ISBLANK(B41),"",TEXT(B41,"mmm"))</x:f>
        <x:v>Dec</x:v>
      </x:c>
      <x:c r="AB41" s="9" t="n">
        <x:f>IF(ISBLANK(B41),"",YEAR(B41))</x:f>
        <x:v>2024</x:v>
      </x:c>
      <x:c r="AC41" s="10" t="str"/>
      <x:c r="AD41" t="str">
        <x:f>IF(AND(U41="Completed",T41="Paid",ISERROR(SEARCH("INVALID",AC41)),ISERROR(SEARCH("REVIEW",AC41))),"Include","Exclude")</x:f>
        <x:v>Exclude</x:v>
      </x:c>
      <x:c r="AE41" t="str">
        <x:f>IF(T41="Refunded","Refunded","")</x:f>
      </x:c>
    </x:row>
    <x:row r="42">
      <x:c r="A42" t="str">
        <x:v>ORD-2024-10041</x:v>
      </x:c>
      <x:c r="B42" s="5" t="n">
        <x:v>45575</x:v>
      </x:c>
      <x:c r="C42" s="5" t="n">
        <x:v>45581</x:v>
      </x:c>
      <x:c r="D42" t="str">
        <x:v>CUST-7178</x:v>
      </x:c>
      <x:c r="E42" t="str">
        <x:v>Isha Nair</x:v>
      </x:c>
      <x:c r="F42" t="str">
        <x:v>Home Office</x:v>
      </x:c>
      <x:c r="G42" t="str">
        <x:v>West</x:v>
      </x:c>
      <x:c r="H42" t="str">
        <x:v>Rajasthan</x:v>
      </x:c>
      <x:c r="I42" t="str">
        <x:v>Udaipur</x:v>
      </x:c>
      <x:c r="J42" t="str">
        <x:v>Technology</x:v>
      </x:c>
      <x:c r="K42" t="str">
        <x:v>Copiers</x:v>
      </x:c>
      <x:c r="L42" t="str">
        <x:v>Eco Copiers 865</x:v>
      </x:c>
      <x:c r="M42" t="str">
        <x:v>Standard Class</x:v>
      </x:c>
      <x:c r="N42" t="n">
        <x:v>7</x:v>
      </x:c>
      <x:c r="O42" s="7" t="n">
        <x:v>2509.27</x:v>
      </x:c>
      <x:c r="P42" s="6" t="n">
        <x:v>0.2</x:v>
      </x:c>
      <x:c r="Q42" s="7" t="n">
        <x:v>14051.91</x:v>
      </x:c>
      <x:c r="R42" s="7" t="n">
        <x:v>11990.37</x:v>
      </x:c>
      <x:c r="S42" s="7" t="n">
        <x:v>2061.54</x:v>
      </x:c>
      <x:c r="T42" t="str">
        <x:v>Paid</x:v>
      </x:c>
      <x:c r="U42" t="str">
        <x:v>Completed</x:v>
      </x:c>
      <x:c r="V42" s="6" t="n">
        <x:f>IF(ISBLANK(P42),IF(AND(ISNUMBER(N42),N42&gt;0,ISNUMBER(O42),O42&gt;=0,ISNUMBER(Q42),Q42&gt;=0,ISNUMBER(R42),R42&gt;=0,ISNUMBER(S42)),0,""),P42)</x:f>
        <x:v>0.2</x:v>
      </x:c>
      <x:c r="W42" s="7" t="n">
        <x:f>IF(ISBLANK(V42),"",N42*O42*(1-V42))</x:f>
        <x:v>14051.912</x:v>
      </x:c>
      <x:c r="X42" s="7" t="n">
        <x:f>IF(OR(ISBLANK(W42),ISBLANK(R42)),"",W42-R42)</x:f>
        <x:v>2061.5419999999995</x:v>
      </x:c>
      <x:c r="Y42" s="8" t="n">
        <x:f>IF(OR(ISBLANK(W42),W42=0),"",X42/W42)</x:f>
        <x:v>0.1467090030168136</x:v>
      </x:c>
      <x:c r="Z42" s="9" t="n">
        <x:f>IF(OR(ISBLANK(B42),ISBLANK(C42)),"",C42-B42)</x:f>
        <x:v>6</x:v>
      </x:c>
      <x:c r="AA42" t="str">
        <x:f>IF(ISBLANK(B42),"",TEXT(B42,"mmm"))</x:f>
        <x:v>Oct</x:v>
      </x:c>
      <x:c r="AB42" s="9" t="n">
        <x:f>IF(ISBLANK(B42),"",YEAR(B42))</x:f>
        <x:v>2024</x:v>
      </x:c>
      <x:c r="AC42" s="10" t="str"/>
      <x:c r="AD42" t="str">
        <x:f>IF(AND(U42="Completed",T42="Paid",ISERROR(SEARCH("INVALID",AC42)),ISERROR(SEARCH("REVIEW",AC42))),"Include","Exclude")</x:f>
        <x:v>Include</x:v>
      </x:c>
      <x:c r="AE42" t="str">
        <x:f>IF(T42="Refunded","Refunded","")</x:f>
      </x:c>
    </x:row>
    <x:row r="43">
      <x:c r="A43" t="str">
        <x:v>ORD-2024-10042</x:v>
      </x:c>
      <x:c r="B43" s="5" t="n">
        <x:v>45363</x:v>
      </x:c>
      <x:c r="C43" s="5" t="n">
        <x:v>45368</x:v>
      </x:c>
      <x:c r="D43" t="str">
        <x:v>CUST-3829</x:v>
      </x:c>
      <x:c r="E43" t="str">
        <x:v>Aarav Sharma</x:v>
      </x:c>
      <x:c r="F43" t="str">
        <x:v>Small Business</x:v>
      </x:c>
      <x:c r="G43" t="str">
        <x:v>East</x:v>
      </x:c>
      <x:c r="H43" t="str">
        <x:v>Odisha</x:v>
      </x:c>
      <x:c r="I43" t="str">
        <x:v>Bhubaneswar</x:v>
      </x:c>
      <x:c r="J43" t="str">
        <x:v>Furniture</x:v>
      </x:c>
      <x:c r="K43" t="str">
        <x:v>Bookcases</x:v>
      </x:c>
      <x:c r="L43" t="str">
        <x:v>Classic Bookcases 835</x:v>
      </x:c>
      <x:c r="M43" t="str">
        <x:v>Same Day</x:v>
      </x:c>
      <x:c r="N43" t="n">
        <x:v>8</x:v>
      </x:c>
      <x:c r="O43" s="7" t="n">
        <x:v>855.81</x:v>
      </x:c>
      <x:c r="P43" s="6" t="n">
        <x:v>0</x:v>
      </x:c>
      <x:c r="Q43" s="7" t="n">
        <x:v>6846.48</x:v>
      </x:c>
      <x:c r="R43" s="7" t="n">
        <x:v>4239.89</x:v>
      </x:c>
      <x:c r="S43" s="7" t="n">
        <x:v>2606.59</x:v>
      </x:c>
      <x:c r="T43" t="str">
        <x:v>Pending</x:v>
      </x:c>
      <x:c r="U43" t="str">
        <x:v>Cancelled</x:v>
      </x:c>
      <x:c r="V43" s="6" t="n">
        <x:f>IF(ISBLANK(P43),IF(AND(ISNUMBER(N43),N43&gt;0,ISNUMBER(O43),O43&gt;=0,ISNUMBER(Q43),Q43&gt;=0,ISNUMBER(R43),R43&gt;=0,ISNUMBER(S43)),0,""),P43)</x:f>
        <x:v>0</x:v>
      </x:c>
      <x:c r="W43" s="7" t="n">
        <x:f>IF(ISBLANK(V43),"",N43*O43*(1-V43))</x:f>
        <x:v>6846.48</x:v>
      </x:c>
      <x:c r="X43" s="7" t="n">
        <x:f>IF(OR(ISBLANK(W43),ISBLANK(R43)),"",W43-R43)</x:f>
        <x:v>2606.5899999999992</x:v>
      </x:c>
      <x:c r="Y43" s="8" t="n">
        <x:f>IF(OR(ISBLANK(W43),W43=0),"",X43/W43)</x:f>
        <x:v>0.3807197275096107</x:v>
      </x:c>
      <x:c r="Z43" s="9" t="n">
        <x:f>IF(OR(ISBLANK(B43),ISBLANK(C43)),"",C43-B43)</x:f>
        <x:v>5</x:v>
      </x:c>
      <x:c r="AA43" t="str">
        <x:f>IF(ISBLANK(B43),"",TEXT(B43,"mmm"))</x:f>
        <x:v>Mar</x:v>
      </x:c>
      <x:c r="AB43" s="9" t="n">
        <x:f>IF(ISBLANK(B43),"",YEAR(B43))</x:f>
        <x:v>2024</x:v>
      </x:c>
      <x:c r="AC43" s="10" t="str">
        <x:v>EXCLUDE: Cancelled order</x:v>
      </x:c>
      <x:c r="AD43" t="str">
        <x:f>IF(AND(U43="Completed",T43="Paid",ISERROR(SEARCH("INVALID",AC43)),ISERROR(SEARCH("REVIEW",AC43))),"Include","Exclude")</x:f>
        <x:v>Exclude</x:v>
      </x:c>
      <x:c r="AE43" t="str">
        <x:f>IF(T43="Refunded","Refunded","")</x:f>
      </x:c>
    </x:row>
    <x:row r="44">
      <x:c r="A44" t="str">
        <x:v>ORD-2025-10043</x:v>
      </x:c>
      <x:c r="B44" s="5" t="n">
        <x:v>45940</x:v>
      </x:c>
      <x:c r="C44" s="5" t="n">
        <x:v>45945</x:v>
      </x:c>
      <x:c r="D44" t="str">
        <x:v>CUST-6708</x:v>
      </x:c>
      <x:c r="E44" t="str">
        <x:v>Arjun Bose</x:v>
      </x:c>
      <x:c r="F44" t="str">
        <x:v>Corporate</x:v>
      </x:c>
      <x:c r="G44" t="str">
        <x:v>East</x:v>
      </x:c>
      <x:c r="H44" t="str">
        <x:v>Jharkhand</x:v>
      </x:c>
      <x:c r="I44" t="str">
        <x:v>Ranchi</x:v>
      </x:c>
      <x:c r="J44" t="str">
        <x:v>Technology</x:v>
      </x:c>
      <x:c r="K44" t="str">
        <x:v>Phones</x:v>
      </x:c>
      <x:c r="L44" t="str">
        <x:v>Eco Phones 702</x:v>
      </x:c>
      <x:c r="M44" t="str">
        <x:v>Standard Class</x:v>
      </x:c>
      <x:c r="N44" t="n">
        <x:v>8</x:v>
      </x:c>
      <x:c r="O44" s="7" t="n">
        <x:v>979.87</x:v>
      </x:c>
      <x:c r="P44" s="6" t="n">
        <x:v>0.05</x:v>
      </x:c>
      <x:c r="Q44" s="7" t="n">
        <x:v>7447.01</x:v>
      </x:c>
      <x:c r="R44" s="7" t="n">
        <x:v>4496.22</x:v>
      </x:c>
      <x:c r="S44" s="7" t="n">
        <x:v>2950.79</x:v>
      </x:c>
      <x:c r="T44" t="str">
        <x:v>Paid</x:v>
      </x:c>
      <x:c r="U44" t="str">
        <x:v>Completed</x:v>
      </x:c>
      <x:c r="V44" s="6" t="n">
        <x:f>IF(ISBLANK(P44),IF(AND(ISNUMBER(N44),N44&gt;0,ISNUMBER(O44),O44&gt;=0,ISNUMBER(Q44),Q44&gt;=0,ISNUMBER(R44),R44&gt;=0,ISNUMBER(S44)),0,""),P44)</x:f>
        <x:v>0.05</x:v>
      </x:c>
      <x:c r="W44" s="7" t="n">
        <x:f>IF(ISBLANK(V44),"",N44*O44*(1-V44))</x:f>
        <x:v>7447.012</x:v>
      </x:c>
      <x:c r="X44" s="7" t="n">
        <x:f>IF(OR(ISBLANK(W44),ISBLANK(R44)),"",W44-R44)</x:f>
        <x:v>2950.7919999999995</x:v>
      </x:c>
      <x:c r="Y44" s="8" t="n">
        <x:f>IF(OR(ISBLANK(W44),W44=0),"",X44/W44)</x:f>
        <x:v>0.396238383931703</x:v>
      </x:c>
      <x:c r="Z44" s="9" t="n">
        <x:f>IF(OR(ISBLANK(B44),ISBLANK(C44)),"",C44-B44)</x:f>
        <x:v>5</x:v>
      </x:c>
      <x:c r="AA44" t="str">
        <x:f>IF(ISBLANK(B44),"",TEXT(B44,"mmm"))</x:f>
        <x:v>Oct</x:v>
      </x:c>
      <x:c r="AB44" s="9" t="n">
        <x:f>IF(ISBLANK(B44),"",YEAR(B44))</x:f>
        <x:v>2025</x:v>
      </x:c>
      <x:c r="AC44" s="10" t="str"/>
      <x:c r="AD44" t="str">
        <x:f>IF(AND(U44="Completed",T44="Paid",ISERROR(SEARCH("INVALID",AC44)),ISERROR(SEARCH("REVIEW",AC44))),"Include","Exclude")</x:f>
        <x:v>Include</x:v>
      </x:c>
      <x:c r="AE44" t="str">
        <x:f>IF(T44="Refunded","Refunded","")</x:f>
      </x:c>
    </x:row>
    <x:row r="45">
      <x:c r="A45" t="str">
        <x:v>ORD-2024-10044</x:v>
      </x:c>
      <x:c r="B45" s="5" t="n">
        <x:v>45481</x:v>
      </x:c>
      <x:c r="C45" s="5" t="n">
        <x:v>45487</x:v>
      </x:c>
      <x:c r="D45" t="str">
        <x:v>CUST-7119</x:v>
      </x:c>
      <x:c r="E45" t="str">
        <x:v>Priya Menon</x:v>
      </x:c>
      <x:c r="F45" t="str">
        <x:v>Small Business</x:v>
      </x:c>
      <x:c r="G45" t="str">
        <x:v>East</x:v>
      </x:c>
      <x:c r="H45" t="str">
        <x:v>Odisha</x:v>
      </x:c>
      <x:c r="I45" t="str">
        <x:v>Bhubaneswar</x:v>
      </x:c>
      <x:c r="J45" t="str">
        <x:v>Furniture</x:v>
      </x:c>
      <x:c r="K45" t="str">
        <x:v>Furnishings</x:v>
      </x:c>
      <x:c r="L45" t="str">
        <x:v>Smart Furnishings 956</x:v>
      </x:c>
      <x:c r="M45" t="str">
        <x:v>Same Day</x:v>
      </x:c>
      <x:c r="N45" t="n">
        <x:v>3</x:v>
      </x:c>
      <x:c r="O45" s="7" t="n">
        <x:v>1010.23</x:v>
      </x:c>
      <x:c r="P45" s="6" t="n">
        <x:v>0</x:v>
      </x:c>
      <x:c r="Q45" s="7" t="n">
        <x:v>3030.69</x:v>
      </x:c>
      <x:c r="R45" s="7" t="n">
        <x:v>1721.08</x:v>
      </x:c>
      <x:c r="S45" s="7" t="n">
        <x:v>1309.61</x:v>
      </x:c>
      <x:c r="T45" t="str">
        <x:v>Paid</x:v>
      </x:c>
      <x:c r="U45" t="str">
        <x:v>Completed</x:v>
      </x:c>
      <x:c r="V45" s="6" t="n">
        <x:f>IF(ISBLANK(P45),IF(AND(ISNUMBER(N45),N45&gt;0,ISNUMBER(O45),O45&gt;=0,ISNUMBER(Q45),Q45&gt;=0,ISNUMBER(R45),R45&gt;=0,ISNUMBER(S45)),0,""),P45)</x:f>
        <x:v>0</x:v>
      </x:c>
      <x:c r="W45" s="7" t="n">
        <x:f>IF(ISBLANK(V45),"",N45*O45*(1-V45))</x:f>
        <x:v>3030.69</x:v>
      </x:c>
      <x:c r="X45" s="7" t="n">
        <x:f>IF(OR(ISBLANK(W45),ISBLANK(R45)),"",W45-R45)</x:f>
        <x:v>1309.6100000000001</x:v>
      </x:c>
      <x:c r="Y45" s="8" t="n">
        <x:f>IF(OR(ISBLANK(W45),W45=0),"",X45/W45)</x:f>
        <x:v>0.4321161187716329</x:v>
      </x:c>
      <x:c r="Z45" s="9" t="n">
        <x:f>IF(OR(ISBLANK(B45),ISBLANK(C45)),"",C45-B45)</x:f>
        <x:v>6</x:v>
      </x:c>
      <x:c r="AA45" t="str">
        <x:f>IF(ISBLANK(B45),"",TEXT(B45,"mmm"))</x:f>
        <x:v>Jul</x:v>
      </x:c>
      <x:c r="AB45" s="9" t="n">
        <x:f>IF(ISBLANK(B45),"",YEAR(B45))</x:f>
        <x:v>2024</x:v>
      </x:c>
      <x:c r="AC45" s="10" t="str"/>
      <x:c r="AD45" t="str">
        <x:f>IF(AND(U45="Completed",T45="Paid",ISERROR(SEARCH("INVALID",AC45)),ISERROR(SEARCH("REVIEW",AC45))),"Include","Exclude")</x:f>
        <x:v>Include</x:v>
      </x:c>
      <x:c r="AE45" t="str">
        <x:f>IF(T45="Refunded","Refunded","")</x:f>
      </x:c>
    </x:row>
    <x:row r="46">
      <x:c r="A46" t="str">
        <x:v>ORD-2024-10045</x:v>
      </x:c>
      <x:c r="B46" s="5" t="n">
        <x:v>45465</x:v>
      </x:c>
      <x:c r="C46" s="5" t="n">
        <x:v>45468</x:v>
      </x:c>
      <x:c r="D46" t="str">
        <x:v>CUST-3373</x:v>
      </x:c>
      <x:c r="E46" t="str">
        <x:v>Rohan Mehta</x:v>
      </x:c>
      <x:c r="F46" t="str">
        <x:v>Small Business</x:v>
      </x:c>
      <x:c r="G46" t="str">
        <x:v>North</x:v>
      </x:c>
      <x:c r="H46" t="str">
        <x:v>Haryana</x:v>
      </x:c>
      <x:c r="I46" t="str">
        <x:v>Gurugram</x:v>
      </x:c>
      <x:c r="J46" t="str">
        <x:v>Furniture</x:v>
      </x:c>
      <x:c r="K46" t="str">
        <x:v>Chairs</x:v>
      </x:c>
      <x:c r="L46" t="str">
        <x:v>Max Chairs 393</x:v>
      </x:c>
      <x:c r="M46" t="str">
        <x:v>Standard Class</x:v>
      </x:c>
      <x:c r="N46" t="n">
        <x:v>9</x:v>
      </x:c>
      <x:c r="O46" s="7" t="n">
        <x:v>3329.77</x:v>
      </x:c>
      <x:c r="P46" s="6" t="n">
        <x:v>0.1</x:v>
      </x:c>
      <x:c r="Q46" s="7" t="n">
        <x:v>26971.14</x:v>
      </x:c>
      <x:c r="R46" s="7" t="n">
        <x:v>17376.2</x:v>
      </x:c>
      <x:c r="S46" s="7" t="n">
        <x:v>9594.94</x:v>
      </x:c>
      <x:c r="T46" t="str">
        <x:v>Paid</x:v>
      </x:c>
      <x:c r="U46" t="str">
        <x:v>Completed</x:v>
      </x:c>
      <x:c r="V46" s="6" t="n">
        <x:f>IF(ISBLANK(P46),IF(AND(ISNUMBER(N46),N46&gt;0,ISNUMBER(O46),O46&gt;=0,ISNUMBER(Q46),Q46&gt;=0,ISNUMBER(R46),R46&gt;=0,ISNUMBER(S46)),0,""),P46)</x:f>
        <x:v>0.1</x:v>
      </x:c>
      <x:c r="W46" s="7" t="n">
        <x:f>IF(ISBLANK(V46),"",N46*O46*(1-V46))</x:f>
        <x:v>26971.137000000002</x:v>
      </x:c>
      <x:c r="X46" s="7" t="n">
        <x:f>IF(OR(ISBLANK(W46),ISBLANK(R46)),"",W46-R46)</x:f>
        <x:v>9594.937000000002</x:v>
      </x:c>
      <x:c r="Y46" s="8" t="n">
        <x:f>IF(OR(ISBLANK(W46),W46=0),"",X46/W46)</x:f>
        <x:v>0.3557483320039493</x:v>
      </x:c>
      <x:c r="Z46" s="9" t="n">
        <x:f>IF(OR(ISBLANK(B46),ISBLANK(C46)),"",C46-B46)</x:f>
        <x:v>3</x:v>
      </x:c>
      <x:c r="AA46" t="str">
        <x:f>IF(ISBLANK(B46),"",TEXT(B46,"mmm"))</x:f>
        <x:v>Jun</x:v>
      </x:c>
      <x:c r="AB46" s="9" t="n">
        <x:f>IF(ISBLANK(B46),"",YEAR(B46))</x:f>
        <x:v>2024</x:v>
      </x:c>
      <x:c r="AC46" s="10" t="str"/>
      <x:c r="AD46" t="str">
        <x:f>IF(AND(U46="Completed",T46="Paid",ISERROR(SEARCH("INVALID",AC46)),ISERROR(SEARCH("REVIEW",AC46))),"Include","Exclude")</x:f>
        <x:v>Include</x:v>
      </x:c>
      <x:c r="AE46" t="str">
        <x:f>IF(T46="Refunded","Refunded","")</x:f>
      </x:c>
    </x:row>
    <x:row r="47">
      <x:c r="A47" t="str">
        <x:v>ORD-2024-10046</x:v>
      </x:c>
      <x:c r="B47" s="5" t="n">
        <x:v>45309</x:v>
      </x:c>
      <x:c r="C47" s="5" t="n">
        <x:v>45315</x:v>
      </x:c>
      <x:c r="D47" t="str">
        <x:v>CUST-8896</x:v>
      </x:c>
      <x:c r="E47" t="str">
        <x:v>Isha Nair</x:v>
      </x:c>
      <x:c r="F47" t="str">
        <x:v>Home Office</x:v>
      </x:c>
      <x:c r="G47" t="str">
        <x:v>East</x:v>
      </x:c>
      <x:c r="H47" t="str">
        <x:v>Bihar</x:v>
      </x:c>
      <x:c r="I47" t="str">
        <x:v>Patna</x:v>
      </x:c>
      <x:c r="J47" t="str">
        <x:v>Office Supplies</x:v>
      </x:c>
      <x:c r="K47" t="str">
        <x:v>Art</x:v>
      </x:c>
      <x:c r="L47" t="str">
        <x:v>Prime Art 221</x:v>
      </x:c>
      <x:c r="M47" t="str">
        <x:v>Second Class</x:v>
      </x:c>
      <x:c r="N47" t="n">
        <x:v>8</x:v>
      </x:c>
      <x:c r="O47" s="7" t="n">
        <x:v>3927.82</x:v>
      </x:c>
      <x:c r="P47" s="6" t="n">
        <x:v>0.05</x:v>
      </x:c>
      <x:c r="Q47" s="7" t="n">
        <x:v>29851.43</x:v>
      </x:c>
      <x:c r="R47" s="7" t="n">
        <x:v>17487.48</x:v>
      </x:c>
      <x:c r="S47" s="7" t="n">
        <x:v>12363.95</x:v>
      </x:c>
      <x:c r="T47" t="str">
        <x:v>Pending</x:v>
      </x:c>
      <x:c r="U47" t="str">
        <x:v>Returned</x:v>
      </x:c>
      <x:c r="V47" s="6" t="n">
        <x:f>IF(ISBLANK(P47),IF(AND(ISNUMBER(N47),N47&gt;0,ISNUMBER(O47),O47&gt;=0,ISNUMBER(Q47),Q47&gt;=0,ISNUMBER(R47),R47&gt;=0,ISNUMBER(S47)),0,""),P47)</x:f>
        <x:v>0.05</x:v>
      </x:c>
      <x:c r="W47" s="7" t="n">
        <x:f>IF(ISBLANK(V47),"",N47*O47*(1-V47))</x:f>
        <x:v>29851.432</x:v>
      </x:c>
      <x:c r="X47" s="7" t="n">
        <x:f>IF(OR(ISBLANK(W47),ISBLANK(R47)),"",W47-R47)</x:f>
        <x:v>12363.952000000001</x:v>
      </x:c>
      <x:c r="Y47" s="8" t="n">
        <x:f>IF(OR(ISBLANK(W47),W47=0),"",X47/W47)</x:f>
        <x:v>0.4141828773909406</x:v>
      </x:c>
      <x:c r="Z47" s="9" t="n">
        <x:f>IF(OR(ISBLANK(B47),ISBLANK(C47)),"",C47-B47)</x:f>
        <x:v>6</x:v>
      </x:c>
      <x:c r="AA47" t="str">
        <x:f>IF(ISBLANK(B47),"",TEXT(B47,"mmm"))</x:f>
        <x:v>Jan</x:v>
      </x:c>
      <x:c r="AB47" s="9" t="n">
        <x:f>IF(ISBLANK(B47),"",YEAR(B47))</x:f>
        <x:v>2024</x:v>
      </x:c>
      <x:c r="AC47" s="10" t="str"/>
      <x:c r="AD47" t="str">
        <x:f>IF(AND(U47="Completed",T47="Paid",ISERROR(SEARCH("INVALID",AC47)),ISERROR(SEARCH("REVIEW",AC47))),"Include","Exclude")</x:f>
        <x:v>Exclude</x:v>
      </x:c>
      <x:c r="AE47" t="str">
        <x:f>IF(T47="Refunded","Refunded","")</x:f>
      </x:c>
    </x:row>
    <x:row r="48">
      <x:c r="A48" t="str">
        <x:v>ORD-2024-10047</x:v>
      </x:c>
      <x:c r="B48" s="5" t="n">
        <x:v>45492</x:v>
      </x:c>
      <x:c r="C48" s="5" t="n">
        <x:v>45492</x:v>
      </x:c>
      <x:c r="D48" t="str">
        <x:v>CUST-8517</x:v>
      </x:c>
      <x:c r="E48" t="str">
        <x:v>Ananya Rao</x:v>
      </x:c>
      <x:c r="F48" t="str">
        <x:v>Small Business</x:v>
      </x:c>
      <x:c r="G48" t="str">
        <x:v>South</x:v>
      </x:c>
      <x:c r="H48" t="str">
        <x:v>Kerala</x:v>
      </x:c>
      <x:c r="I48" t="str">
        <x:v>Kochi</x:v>
      </x:c>
      <x:c r="J48" t="str">
        <x:v>Furniture</x:v>
      </x:c>
      <x:c r="K48" t="str">
        <x:v>Bookcases</x:v>
      </x:c>
      <x:c r="L48" t="str">
        <x:v>Elite Bookcases 671</x:v>
      </x:c>
      <x:c r="M48" t="str">
        <x:v>Standard Class</x:v>
      </x:c>
      <x:c r="N48" t="n">
        <x:v>9</x:v>
      </x:c>
      <x:c r="O48" s="7" t="n">
        <x:v>2386.79</x:v>
      </x:c>
      <x:c r="P48" s="6" t="n">
        <x:v>0.25</x:v>
      </x:c>
      <x:c r="Q48" s="7" t="n">
        <x:v>16110.83</x:v>
      </x:c>
      <x:c r="R48" s="7" t="n">
        <x:v>10680.03</x:v>
      </x:c>
      <x:c r="S48" s="7" t="n">
        <x:v>5430.8</x:v>
      </x:c>
      <x:c r="T48" t="str">
        <x:v>Refunded</x:v>
      </x:c>
      <x:c r="U48" t="str">
        <x:v>Returned</x:v>
      </x:c>
      <x:c r="V48" s="6" t="n">
        <x:f>IF(ISBLANK(P48),IF(AND(ISNUMBER(N48),N48&gt;0,ISNUMBER(O48),O48&gt;=0,ISNUMBER(Q48),Q48&gt;=0,ISNUMBER(R48),R48&gt;=0,ISNUMBER(S48)),0,""),P48)</x:f>
        <x:v>0.25</x:v>
      </x:c>
      <x:c r="W48" s="7" t="n">
        <x:f>IF(ISBLANK(V48),"",N48*O48*(1-V48))</x:f>
        <x:v>16110.8325</x:v>
      </x:c>
      <x:c r="X48" s="7" t="n">
        <x:f>IF(OR(ISBLANK(W48),ISBLANK(R48)),"",W48-R48)</x:f>
        <x:v>5430.8025</x:v>
      </x:c>
      <x:c r="Y48" s="8" t="n">
        <x:f>IF(OR(ISBLANK(W48),W48=0),"",X48/W48)</x:f>
        <x:v>0.33709012243780695</x:v>
      </x:c>
      <x:c r="Z48" s="9" t="n">
        <x:f>IF(OR(ISBLANK(B48),ISBLANK(C48)),"",C48-B48)</x:f>
        <x:v>0</x:v>
      </x:c>
      <x:c r="AA48" t="str">
        <x:f>IF(ISBLANK(B48),"",TEXT(B48,"mmm"))</x:f>
        <x:v>Jul</x:v>
      </x:c>
      <x:c r="AB48" s="9" t="n">
        <x:f>IF(ISBLANK(B48),"",YEAR(B48))</x:f>
        <x:v>2024</x:v>
      </x:c>
      <x:c r="AC48" s="10" t="str">
        <x:v>REFUND: Summarize separately</x:v>
      </x:c>
      <x:c r="AD48" t="str">
        <x:f>IF(AND(U48="Completed",T48="Paid",ISERROR(SEARCH("INVALID",AC48)),ISERROR(SEARCH("REVIEW",AC48))),"Include","Exclude")</x:f>
        <x:v>Exclude</x:v>
      </x:c>
      <x:c r="AE48" t="str">
        <x:f>IF(T48="Refunded","Refunded","")</x:f>
        <x:v>Refunded</x:v>
      </x:c>
    </x:row>
    <x:row r="49">
      <x:c r="A49" t="str">
        <x:v>ORD-2024-10048</x:v>
      </x:c>
      <x:c r="B49" s="5" t="n">
        <x:v>45516</x:v>
      </x:c>
      <x:c r="C49" s="5" t="n">
        <x:v>45516</x:v>
      </x:c>
      <x:c r="D49" t="str">
        <x:v>CUST-1987</x:v>
      </x:c>
      <x:c r="E49" t="str">
        <x:v>Rahul Verma</x:v>
      </x:c>
      <x:c r="F49" t="str">
        <x:v>Corporate</x:v>
      </x:c>
      <x:c r="G49" t="str">
        <x:v>South</x:v>
      </x:c>
      <x:c r="H49" t="str">
        <x:v>Tamil Nadu</x:v>
      </x:c>
      <x:c r="I49" t="str">
        <x:v>Chennai</x:v>
      </x:c>
      <x:c r="J49" t="str">
        <x:v>Office Supplies</x:v>
      </x:c>
      <x:c r="K49" t="str">
        <x:v>Storage</x:v>
      </x:c>
      <x:c r="L49" t="str">
        <x:v>Max Storage 432</x:v>
      </x:c>
      <x:c r="M49" t="str">
        <x:v>Standard Class</x:v>
      </x:c>
      <x:c r="N49" t="n">
        <x:v>8</x:v>
      </x:c>
      <x:c r="O49" s="7" t="n">
        <x:v>2445.31</x:v>
      </x:c>
      <x:c r="P49" s="6" t="n">
        <x:v>0.1</x:v>
      </x:c>
      <x:c r="Q49" s="7" t="n">
        <x:v>17606.23</x:v>
      </x:c>
      <x:c r="R49" s="7" t="n">
        <x:v>12438.96</x:v>
      </x:c>
      <x:c r="S49" s="7" t="n">
        <x:v>5167.27</x:v>
      </x:c>
      <x:c r="T49" t="str">
        <x:v>Paid</x:v>
      </x:c>
      <x:c r="U49" t="str">
        <x:v>Completed</x:v>
      </x:c>
      <x:c r="V49" s="6" t="n">
        <x:f>IF(ISBLANK(P49),IF(AND(ISNUMBER(N49),N49&gt;0,ISNUMBER(O49),O49&gt;=0,ISNUMBER(Q49),Q49&gt;=0,ISNUMBER(R49),R49&gt;=0,ISNUMBER(S49)),0,""),P49)</x:f>
        <x:v>0.1</x:v>
      </x:c>
      <x:c r="W49" s="7" t="n">
        <x:f>IF(ISBLANK(V49),"",N49*O49*(1-V49))</x:f>
        <x:v>17606.232</x:v>
      </x:c>
      <x:c r="X49" s="7" t="n">
        <x:f>IF(OR(ISBLANK(W49),ISBLANK(R49)),"",W49-R49)</x:f>
        <x:v>5167.272000000001</x:v>
      </x:c>
      <x:c r="Y49" s="8" t="n">
        <x:f>IF(OR(ISBLANK(W49),W49=0),"",X49/W49)</x:f>
        <x:v>0.2934910774775659</x:v>
      </x:c>
      <x:c r="Z49" s="9" t="n">
        <x:f>IF(OR(ISBLANK(B49),ISBLANK(C49)),"",C49-B49)</x:f>
        <x:v>0</x:v>
      </x:c>
      <x:c r="AA49" t="str">
        <x:f>IF(ISBLANK(B49),"",TEXT(B49,"mmm"))</x:f>
        <x:v>Aug</x:v>
      </x:c>
      <x:c r="AB49" s="9" t="n">
        <x:f>IF(ISBLANK(B49),"",YEAR(B49))</x:f>
        <x:v>2024</x:v>
      </x:c>
      <x:c r="AC49" s="10" t="str"/>
      <x:c r="AD49" t="str">
        <x:f>IF(AND(U49="Completed",T49="Paid",ISERROR(SEARCH("INVALID",AC49)),ISERROR(SEARCH("REVIEW",AC49))),"Include","Exclude")</x:f>
        <x:v>Include</x:v>
      </x:c>
      <x:c r="AE49" t="str">
        <x:f>IF(T49="Refunded","Refunded","")</x:f>
      </x:c>
    </x:row>
    <x:row r="50">
      <x:c r="A50" t="str">
        <x:v>ORD-2025-10049</x:v>
      </x:c>
      <x:c r="B50" s="5" t="n">
        <x:v>45687</x:v>
      </x:c>
      <x:c r="C50" s="5" t="n">
        <x:v>45693</x:v>
      </x:c>
      <x:c r="D50" t="str">
        <x:v>CUST-8183</x:v>
      </x:c>
      <x:c r="E50" t="str">
        <x:v>Neha Gupta</x:v>
      </x:c>
      <x:c r="F50" t="str">
        <x:v>Corporate</x:v>
      </x:c>
      <x:c r="G50" t="str">
        <x:v>West</x:v>
      </x:c>
      <x:c r="H50" t="str">
        <x:v>Maharashtra</x:v>
      </x:c>
      <x:c r="I50" t="str">
        <x:v>Mumbai</x:v>
      </x:c>
      <x:c r="J50" t="str">
        <x:v>Furniture</x:v>
      </x:c>
      <x:c r="K50" t="str">
        <x:v>Chairs</x:v>
      </x:c>
      <x:c r="L50" t="str">
        <x:v>Basic Chairs 837</x:v>
      </x:c>
      <x:c r="M50" t="str">
        <x:v>Second Class</x:v>
      </x:c>
      <x:c r="N50" t="n">
        <x:v>7</x:v>
      </x:c>
      <x:c r="O50" s="7" t="n">
        <x:v>4063.66</x:v>
      </x:c>
      <x:c r="P50" s="6" t="n">
        <x:v>0</x:v>
      </x:c>
      <x:c r="Q50" s="7" t="n">
        <x:v>28445.62</x:v>
      </x:c>
      <x:c r="R50" s="7" t="n">
        <x:v>20938.59</x:v>
      </x:c>
      <x:c r="S50" s="7" t="n">
        <x:v>7507.03</x:v>
      </x:c>
      <x:c r="T50" t="str">
        <x:v>Paid</x:v>
      </x:c>
      <x:c r="U50" t="str">
        <x:v>Completed</x:v>
      </x:c>
      <x:c r="V50" s="6" t="n">
        <x:f>IF(ISBLANK(P50),IF(AND(ISNUMBER(N50),N50&gt;0,ISNUMBER(O50),O50&gt;=0,ISNUMBER(Q50),Q50&gt;=0,ISNUMBER(R50),R50&gt;=0,ISNUMBER(S50)),0,""),P50)</x:f>
        <x:v>0</x:v>
      </x:c>
      <x:c r="W50" s="7" t="n">
        <x:f>IF(ISBLANK(V50),"",N50*O50*(1-V50))</x:f>
        <x:v>28445.62</x:v>
      </x:c>
      <x:c r="X50" s="7" t="n">
        <x:f>IF(OR(ISBLANK(W50),ISBLANK(R50)),"",W50-R50)</x:f>
        <x:v>7507.029999999999</x:v>
      </x:c>
      <x:c r="Y50" s="8" t="n">
        <x:f>IF(OR(ISBLANK(W50),W50=0),"",X50/W50)</x:f>
        <x:v>0.2639081166098682</x:v>
      </x:c>
      <x:c r="Z50" s="9" t="n">
        <x:f>IF(OR(ISBLANK(B50),ISBLANK(C50)),"",C50-B50)</x:f>
        <x:v>6</x:v>
      </x:c>
      <x:c r="AA50" t="str">
        <x:f>IF(ISBLANK(B50),"",TEXT(B50,"mmm"))</x:f>
        <x:v>Jan</x:v>
      </x:c>
      <x:c r="AB50" s="9" t="n">
        <x:f>IF(ISBLANK(B50),"",YEAR(B50))</x:f>
        <x:v>2025</x:v>
      </x:c>
      <x:c r="AC50" s="10" t="str"/>
      <x:c r="AD50" t="str">
        <x:f>IF(AND(U50="Completed",T50="Paid",ISERROR(SEARCH("INVALID",AC50)),ISERROR(SEARCH("REVIEW",AC50))),"Include","Exclude")</x:f>
        <x:v>Include</x:v>
      </x:c>
      <x:c r="AE50" t="str">
        <x:f>IF(T50="Refunded","Refunded","")</x:f>
      </x:c>
    </x:row>
    <x:row r="51">
      <x:c r="A51" t="str">
        <x:v>ORD-2024-10050</x:v>
      </x:c>
      <x:c r="B51" s="5" t="n">
        <x:v>45388</x:v>
      </x:c>
      <x:c r="C51" s="5" t="n">
        <x:v>45395</x:v>
      </x:c>
      <x:c r="D51" t="str">
        <x:v>CUST-2380</x:v>
      </x:c>
      <x:c r="E51" t="str">
        <x:v>Aarav Sharma</x:v>
      </x:c>
      <x:c r="F51" t="str">
        <x:v>Home Office</x:v>
      </x:c>
      <x:c r="G51" t="str">
        <x:v>North</x:v>
      </x:c>
      <x:c r="H51" t="str">
        <x:v>Uttar Pradesh</x:v>
      </x:c>
      <x:c r="I51" t="str">
        <x:v>Noida</x:v>
      </x:c>
      <x:c r="J51" t="str">
        <x:v>Technology</x:v>
      </x:c>
      <x:c r="K51" t="str">
        <x:v>Copiers</x:v>
      </x:c>
      <x:c r="L51" t="str">
        <x:v>Classic Copiers 295</x:v>
      </x:c>
      <x:c r="M51" t="str">
        <x:v>Second Class</x:v>
      </x:c>
      <x:c r="N51" t="n">
        <x:v>9</x:v>
      </x:c>
      <x:c r="O51" s="7" t="n">
        <x:v>792.11</x:v>
      </x:c>
      <x:c r="P51" s="6" t="n">
        <x:v>0.05</x:v>
      </x:c>
      <x:c r="Q51" s="7" t="n">
        <x:v>6772.54</x:v>
      </x:c>
      <x:c r="R51" s="7" t="n">
        <x:v>5755.46</x:v>
      </x:c>
      <x:c r="S51" s="7" t="n">
        <x:v>1017.08</x:v>
      </x:c>
      <x:c r="T51" t="str">
        <x:v>Paid</x:v>
      </x:c>
      <x:c r="U51" t="str">
        <x:v>Completed</x:v>
      </x:c>
      <x:c r="V51" s="6" t="n">
        <x:f>IF(ISBLANK(P51),IF(AND(ISNUMBER(N51),N51&gt;0,ISNUMBER(O51),O51&gt;=0,ISNUMBER(Q51),Q51&gt;=0,ISNUMBER(R51),R51&gt;=0,ISNUMBER(S51)),0,""),P51)</x:f>
        <x:v>0.05</x:v>
      </x:c>
      <x:c r="W51" s="7" t="n">
        <x:f>IF(ISBLANK(V51),"",N51*O51*(1-V51))</x:f>
        <x:v>6772.540499999999</x:v>
      </x:c>
      <x:c r="X51" s="7" t="n">
        <x:f>IF(OR(ISBLANK(W51),ISBLANK(R51)),"",W51-R51)</x:f>
        <x:v>1017.0804999999991</x:v>
      </x:c>
      <x:c r="Y51" s="8" t="n">
        <x:f>IF(OR(ISBLANK(W51),W51=0),"",X51/W51)</x:f>
        <x:v>0.1501771011926764</x:v>
      </x:c>
      <x:c r="Z51" s="9" t="n">
        <x:f>IF(OR(ISBLANK(B51),ISBLANK(C51)),"",C51-B51)</x:f>
        <x:v>7</x:v>
      </x:c>
      <x:c r="AA51" t="str">
        <x:f>IF(ISBLANK(B51),"",TEXT(B51,"mmm"))</x:f>
        <x:v>Apr</x:v>
      </x:c>
      <x:c r="AB51" s="9" t="n">
        <x:f>IF(ISBLANK(B51),"",YEAR(B51))</x:f>
        <x:v>2024</x:v>
      </x:c>
      <x:c r="AC51" s="10" t="str"/>
      <x:c r="AD51" t="str">
        <x:f>IF(AND(U51="Completed",T51="Paid",ISERROR(SEARCH("INVALID",AC51)),ISERROR(SEARCH("REVIEW",AC51))),"Include","Exclude")</x:f>
        <x:v>Include</x:v>
      </x:c>
      <x:c r="AE51" t="str">
        <x:f>IF(T51="Refunded","Refunded","")</x:f>
      </x:c>
    </x:row>
    <x:row r="52">
      <x:c r="A52" t="str">
        <x:v>ORD-2025-10051</x:v>
      </x:c>
      <x:c r="B52" s="5" t="n">
        <x:v>45788</x:v>
      </x:c>
      <x:c r="C52" s="5" t="n">
        <x:v>45796</x:v>
      </x:c>
      <x:c r="D52" t="str">
        <x:v>CUST-8787</x:v>
      </x:c>
      <x:c r="E52" t="str">
        <x:v>Sneha Kapoor</x:v>
      </x:c>
      <x:c r="F52" t="str">
        <x:v>Consumer</x:v>
      </x:c>
      <x:c r="G52" t="str">
        <x:v>East</x:v>
      </x:c>
      <x:c r="H52" t="str">
        <x:v>West Bengal</x:v>
      </x:c>
      <x:c r="I52" t="str">
        <x:v>Kolkata</x:v>
      </x:c>
      <x:c r="J52" t="str">
        <x:v>Technology</x:v>
      </x:c>
      <x:c r="K52" t="str">
        <x:v>Copiers</x:v>
      </x:c>
      <x:c r="L52" t="str">
        <x:v>Pro Copiers 963</x:v>
      </x:c>
      <x:c r="M52" t="str">
        <x:v>Standard Class</x:v>
      </x:c>
      <x:c r="N52" t="n">
        <x:v>1</x:v>
      </x:c>
      <x:c r="O52" s="7" t="n">
        <x:v>2382.8</x:v>
      </x:c>
      <x:c r="P52" s="6" t="n">
        <x:v>0.15</x:v>
      </x:c>
      <x:c r="Q52" s="7" t="n">
        <x:v>2025.38</x:v>
      </x:c>
      <x:c r="R52" s="7" t="n">
        <x:v>1140.65</x:v>
      </x:c>
      <x:c r="S52" s="7" t="n">
        <x:v>884.73</x:v>
      </x:c>
      <x:c r="T52" t="str">
        <x:v>Paid</x:v>
      </x:c>
      <x:c r="U52" t="str">
        <x:v>Completed</x:v>
      </x:c>
      <x:c r="V52" s="6" t="n">
        <x:f>IF(ISBLANK(P52),IF(AND(ISNUMBER(N52),N52&gt;0,ISNUMBER(O52),O52&gt;=0,ISNUMBER(Q52),Q52&gt;=0,ISNUMBER(R52),R52&gt;=0,ISNUMBER(S52)),0,""),P52)</x:f>
        <x:v>0.15</x:v>
      </x:c>
      <x:c r="W52" s="7" t="n">
        <x:f>IF(ISBLANK(V52),"",N52*O52*(1-V52))</x:f>
        <x:v>2025.38</x:v>
      </x:c>
      <x:c r="X52" s="7" t="n">
        <x:f>IF(OR(ISBLANK(W52),ISBLANK(R52)),"",W52-R52)</x:f>
        <x:v>884.73</x:v>
      </x:c>
      <x:c r="Y52" s="8" t="n">
        <x:f>IF(OR(ISBLANK(W52),W52=0),"",X52/W52)</x:f>
        <x:v>0.4368217322181516</x:v>
      </x:c>
      <x:c r="Z52" s="9" t="n">
        <x:f>IF(OR(ISBLANK(B52),ISBLANK(C52)),"",C52-B52)</x:f>
        <x:v>8</x:v>
      </x:c>
      <x:c r="AA52" t="str">
        <x:f>IF(ISBLANK(B52),"",TEXT(B52,"mmm"))</x:f>
        <x:v>May</x:v>
      </x:c>
      <x:c r="AB52" s="9" t="n">
        <x:f>IF(ISBLANK(B52),"",YEAR(B52))</x:f>
        <x:v>2025</x:v>
      </x:c>
      <x:c r="AC52" s="10" t="str"/>
      <x:c r="AD52" t="str">
        <x:f>IF(AND(U52="Completed",T52="Paid",ISERROR(SEARCH("INVALID",AC52)),ISERROR(SEARCH("REVIEW",AC52))),"Include","Exclude")</x:f>
        <x:v>Include</x:v>
      </x:c>
      <x:c r="AE52" t="str">
        <x:f>IF(T52="Refunded","Refunded","")</x:f>
      </x:c>
    </x:row>
    <x:row r="53">
      <x:c r="A53" t="str">
        <x:v>ORD-2024-10052</x:v>
      </x:c>
      <x:c r="B53" s="5" t="n">
        <x:v>45406</x:v>
      </x:c>
      <x:c r="C53" s="5" t="n">
        <x:v>45411</x:v>
      </x:c>
      <x:c r="D53" t="str">
        <x:v>CUST-3557</x:v>
      </x:c>
      <x:c r="E53" t="str">
        <x:v>Ananya Rao</x:v>
      </x:c>
      <x:c r="F53" t="str">
        <x:v>Corporate</x:v>
      </x:c>
      <x:c r="G53" t="str">
        <x:v>South</x:v>
      </x:c>
      <x:c r="H53" t="str">
        <x:v>Telangana</x:v>
      </x:c>
      <x:c r="I53" t="str">
        <x:v>Hyderabad</x:v>
      </x:c>
      <x:c r="J53" t="str">
        <x:v>Office Supplies</x:v>
      </x:c>
      <x:c r="K53" t="str">
        <x:v>Art</x:v>
      </x:c>
      <x:c r="L53" t="str">
        <x:v>Pro Art 907</x:v>
      </x:c>
      <x:c r="M53" t="str">
        <x:v>Standard Class</x:v>
      </x:c>
      <x:c r="N53" t="n">
        <x:v>6</x:v>
      </x:c>
      <x:c r="O53" s="7" t="n">
        <x:v>1528.08</x:v>
      </x:c>
      <x:c r="P53" s="6" t="n">
        <x:v>0</x:v>
      </x:c>
      <x:c r="Q53" s="7" t="n">
        <x:v>9168.48</x:v>
      </x:c>
      <x:c r="R53" s="7" t="n">
        <x:v>7439.77</x:v>
      </x:c>
      <x:c r="S53" s="7" t="n">
        <x:v>1728.71</x:v>
      </x:c>
      <x:c r="T53" t="str">
        <x:v>Paid</x:v>
      </x:c>
      <x:c r="U53" t="str">
        <x:v>Completed</x:v>
      </x:c>
      <x:c r="V53" s="6" t="n">
        <x:f>IF(ISBLANK(P53),IF(AND(ISNUMBER(N53),N53&gt;0,ISNUMBER(O53),O53&gt;=0,ISNUMBER(Q53),Q53&gt;=0,ISNUMBER(R53),R53&gt;=0,ISNUMBER(S53)),0,""),P53)</x:f>
        <x:v>0</x:v>
      </x:c>
      <x:c r="W53" s="7" t="n">
        <x:f>IF(ISBLANK(V53),"",N53*O53*(1-V53))</x:f>
        <x:v>9168.48</x:v>
      </x:c>
      <x:c r="X53" s="7" t="n">
        <x:f>IF(OR(ISBLANK(W53),ISBLANK(R53)),"",W53-R53)</x:f>
        <x:v>1728.7099999999991</x:v>
      </x:c>
      <x:c r="Y53" s="8" t="n">
        <x:f>IF(OR(ISBLANK(W53),W53=0),"",X53/W53)</x:f>
        <x:v>0.18854924698532355</x:v>
      </x:c>
      <x:c r="Z53" s="9" t="n">
        <x:f>IF(OR(ISBLANK(B53),ISBLANK(C53)),"",C53-B53)</x:f>
        <x:v>5</x:v>
      </x:c>
      <x:c r="AA53" t="str">
        <x:f>IF(ISBLANK(B53),"",TEXT(B53,"mmm"))</x:f>
        <x:v>Apr</x:v>
      </x:c>
      <x:c r="AB53" s="9" t="n">
        <x:f>IF(ISBLANK(B53),"",YEAR(B53))</x:f>
        <x:v>2024</x:v>
      </x:c>
      <x:c r="AC53" s="10" t="str"/>
      <x:c r="AD53" t="str">
        <x:f>IF(AND(U53="Completed",T53="Paid",ISERROR(SEARCH("INVALID",AC53)),ISERROR(SEARCH("REVIEW",AC53))),"Include","Exclude")</x:f>
        <x:v>Include</x:v>
      </x:c>
      <x:c r="AE53" t="str">
        <x:f>IF(T53="Refunded","Refunded","")</x:f>
      </x:c>
    </x:row>
    <x:row r="54">
      <x:c r="A54" t="str">
        <x:v>ORD-2024-10053</x:v>
      </x:c>
      <x:c r="B54" s="5" t="n">
        <x:v>45591</x:v>
      </x:c>
      <x:c r="C54" s="5" t="n">
        <x:v>45593</x:v>
      </x:c>
      <x:c r="D54" t="str">
        <x:v>CUST-2778</x:v>
      </x:c>
      <x:c r="E54" t="str">
        <x:v>Kabir Singh</x:v>
      </x:c>
      <x:c r="F54" t="str">
        <x:v>Small Business</x:v>
      </x:c>
      <x:c r="G54" t="str">
        <x:v>North</x:v>
      </x:c>
      <x:c r="H54" t="str">
        <x:v>Rajasthan</x:v>
      </x:c>
      <x:c r="I54" t="str">
        <x:v>Jaipur</x:v>
      </x:c>
      <x:c r="J54" t="str">
        <x:v>Furniture</x:v>
      </x:c>
      <x:c r="K54" t="str">
        <x:v>Chairs</x:v>
      </x:c>
      <x:c r="L54" t="str">
        <x:v>Pro Chairs 526</x:v>
      </x:c>
      <x:c r="M54" t="str">
        <x:v>First Class</x:v>
      </x:c>
      <x:c r="N54" t="n">
        <x:v>9</x:v>
      </x:c>
      <x:c r="O54" s="7" t="n">
        <x:v>1399.63</x:v>
      </x:c>
      <x:c r="P54" s="6" t="n">
        <x:v>0</x:v>
      </x:c>
      <x:c r="Q54" s="7" t="n">
        <x:v>12596.67</x:v>
      </x:c>
      <x:c r="R54" s="7" t="n">
        <x:v>10603.29</x:v>
      </x:c>
      <x:c r="S54" s="7" t="n">
        <x:v>1993.38</x:v>
      </x:c>
      <x:c r="T54" t="str">
        <x:v>Failed</x:v>
      </x:c>
      <x:c r="U54" t="str">
        <x:v>Cancelled</x:v>
      </x:c>
      <x:c r="V54" s="6" t="n">
        <x:f>IF(ISBLANK(P54),IF(AND(ISNUMBER(N54),N54&gt;0,ISNUMBER(O54),O54&gt;=0,ISNUMBER(Q54),Q54&gt;=0,ISNUMBER(R54),R54&gt;=0,ISNUMBER(S54)),0,""),P54)</x:f>
        <x:v>0</x:v>
      </x:c>
      <x:c r="W54" s="7" t="n">
        <x:f>IF(ISBLANK(V54),"",N54*O54*(1-V54))</x:f>
        <x:v>12596.670000000002</x:v>
      </x:c>
      <x:c r="X54" s="7" t="n">
        <x:f>IF(OR(ISBLANK(W54),ISBLANK(R54)),"",W54-R54)</x:f>
        <x:v>1993.380000000001</x:v>
      </x:c>
      <x:c r="Y54" s="8" t="n">
        <x:f>IF(OR(ISBLANK(W54),W54=0),"",X54/W54)</x:f>
        <x:v>0.15824658421630483</x:v>
      </x:c>
      <x:c r="Z54" s="9" t="n">
        <x:f>IF(OR(ISBLANK(B54),ISBLANK(C54)),"",C54-B54)</x:f>
        <x:v>2</x:v>
      </x:c>
      <x:c r="AA54" t="str">
        <x:f>IF(ISBLANK(B54),"",TEXT(B54,"mmm"))</x:f>
        <x:v>Oct</x:v>
      </x:c>
      <x:c r="AB54" s="9" t="n">
        <x:f>IF(ISBLANK(B54),"",YEAR(B54))</x:f>
        <x:v>2024</x:v>
      </x:c>
      <x:c r="AC54" s="10" t="str">
        <x:v>EXCLUDE: Cancelled order; EXCLUDE: Failed payment</x:v>
      </x:c>
      <x:c r="AD54" t="str">
        <x:f>IF(AND(U54="Completed",T54="Paid",ISERROR(SEARCH("INVALID",AC54)),ISERROR(SEARCH("REVIEW",AC54))),"Include","Exclude")</x:f>
        <x:v>Exclude</x:v>
      </x:c>
      <x:c r="AE54" t="str">
        <x:f>IF(T54="Refunded","Refunded","")</x:f>
      </x:c>
    </x:row>
    <x:row r="55">
      <x:c r="A55" t="str">
        <x:v>ORD-2025-10054</x:v>
      </x:c>
      <x:c r="B55" s="5" t="n">
        <x:v>45747</x:v>
      </x:c>
      <x:c r="C55" s="5" t="n">
        <x:v>45747</x:v>
      </x:c>
      <x:c r="D55" t="str">
        <x:v>CUST-7195</x:v>
      </x:c>
      <x:c r="E55" t="str">
        <x:v>Kabir Singh</x:v>
      </x:c>
      <x:c r="F55" t="str">
        <x:v>Home Office</x:v>
      </x:c>
      <x:c r="G55" t="str">
        <x:v>West</x:v>
      </x:c>
      <x:c r="H55" t="str">
        <x:v>Gujarat</x:v>
      </x:c>
      <x:c r="I55" t="str">
        <x:v>Ahmedabad</x:v>
      </x:c>
      <x:c r="J55" t="str">
        <x:v>Office Supplies</x:v>
      </x:c>
      <x:c r="K55" t="str">
        <x:v>Storage</x:v>
      </x:c>
      <x:c r="L55" t="str">
        <x:v>Elite Storage 924</x:v>
      </x:c>
      <x:c r="M55" t="str">
        <x:v>First Class</x:v>
      </x:c>
      <x:c r="N55" t="n">
        <x:v>5</x:v>
      </x:c>
      <x:c r="O55" s="7" t="n">
        <x:v>1207.47</x:v>
      </x:c>
      <x:c r="P55" s="6" t="n">
        <x:v>0.15</x:v>
      </x:c>
      <x:c r="Q55" s="7" t="n">
        <x:v>5131.75</x:v>
      </x:c>
      <x:c r="R55" s="7" t="n">
        <x:v>2838.68</x:v>
      </x:c>
      <x:c r="S55" s="7" t="n">
        <x:v>2293.07</x:v>
      </x:c>
      <x:c r="T55" t="str">
        <x:v>Paid</x:v>
      </x:c>
      <x:c r="U55" t="str">
        <x:v>Completed</x:v>
      </x:c>
      <x:c r="V55" s="6" t="n">
        <x:f>IF(ISBLANK(P55),IF(AND(ISNUMBER(N55),N55&gt;0,ISNUMBER(O55),O55&gt;=0,ISNUMBER(Q55),Q55&gt;=0,ISNUMBER(R55),R55&gt;=0,ISNUMBER(S55)),0,""),P55)</x:f>
        <x:v>0.15</x:v>
      </x:c>
      <x:c r="W55" s="7" t="n">
        <x:f>IF(ISBLANK(V55),"",N55*O55*(1-V55))</x:f>
        <x:v>5131.7475</x:v>
      </x:c>
      <x:c r="X55" s="7" t="n">
        <x:f>IF(OR(ISBLANK(W55),ISBLANK(R55)),"",W55-R55)</x:f>
        <x:v>2293.0675000000006</x:v>
      </x:c>
      <x:c r="Y55" s="8" t="n">
        <x:f>IF(OR(ISBLANK(W55),W55=0),"",X55/W55)</x:f>
        <x:v>0.446839502528135</x:v>
      </x:c>
      <x:c r="Z55" s="9" t="n">
        <x:f>IF(OR(ISBLANK(B55),ISBLANK(C55)),"",C55-B55)</x:f>
        <x:v>0</x:v>
      </x:c>
      <x:c r="AA55" t="str">
        <x:f>IF(ISBLANK(B55),"",TEXT(B55,"mmm"))</x:f>
        <x:v>Mar</x:v>
      </x:c>
      <x:c r="AB55" s="9" t="n">
        <x:f>IF(ISBLANK(B55),"",YEAR(B55))</x:f>
        <x:v>2025</x:v>
      </x:c>
      <x:c r="AC55" s="10" t="str"/>
      <x:c r="AD55" t="str">
        <x:f>IF(AND(U55="Completed",T55="Paid",ISERROR(SEARCH("INVALID",AC55)),ISERROR(SEARCH("REVIEW",AC55))),"Include","Exclude")</x:f>
        <x:v>Include</x:v>
      </x:c>
      <x:c r="AE55" t="str">
        <x:f>IF(T55="Refunded","Refunded","")</x:f>
      </x:c>
    </x:row>
    <x:row r="56">
      <x:c r="A56" t="str">
        <x:v>ORD-2025-10055</x:v>
      </x:c>
      <x:c r="B56" s="5" t="n">
        <x:v>45807</x:v>
      </x:c>
      <x:c r="C56" s="5" t="n">
        <x:v>45810</x:v>
      </x:c>
      <x:c r="D56" t="str">
        <x:v>CUST-9039</x:v>
      </x:c>
      <x:c r="E56" t="str">
        <x:v>Arjun Bose</x:v>
      </x:c>
      <x:c r="F56" t="str">
        <x:v>Corporate</x:v>
      </x:c>
      <x:c r="G56" t="str">
        <x:v>South</x:v>
      </x:c>
      <x:c r="H56" t="str">
        <x:v>Tamil Nadu</x:v>
      </x:c>
      <x:c r="I56" t="str">
        <x:v>Chennai</x:v>
      </x:c>
      <x:c r="J56" t="str">
        <x:v>Office Supplies</x:v>
      </x:c>
      <x:c r="K56" t="str">
        <x:v>Labels</x:v>
      </x:c>
      <x:c r="L56" t="str">
        <x:v>Pro Labels 957</x:v>
      </x:c>
      <x:c r="M56" t="str">
        <x:v>Same Day</x:v>
      </x:c>
      <x:c r="N56" t="n">
        <x:v>8</x:v>
      </x:c>
      <x:c r="O56" s="7" t="n">
        <x:v>474.37</x:v>
      </x:c>
      <x:c r="P56" s="6" t="n">
        <x:v>0.1</x:v>
      </x:c>
      <x:c r="Q56" s="7" t="n">
        <x:v>3415.46</x:v>
      </x:c>
      <x:c r="R56" s="7" t="n">
        <x:v>1993.23</x:v>
      </x:c>
      <x:c r="S56" s="7" t="n">
        <x:v>1422.23</x:v>
      </x:c>
      <x:c r="T56" t="str">
        <x:v>Failed</x:v>
      </x:c>
      <x:c r="U56" t="str">
        <x:v>Cancelled</x:v>
      </x:c>
      <x:c r="V56" s="6" t="n">
        <x:f>IF(ISBLANK(P56),IF(AND(ISNUMBER(N56),N56&gt;0,ISNUMBER(O56),O56&gt;=0,ISNUMBER(Q56),Q56&gt;=0,ISNUMBER(R56),R56&gt;=0,ISNUMBER(S56)),0,""),P56)</x:f>
        <x:v>0.1</x:v>
      </x:c>
      <x:c r="W56" s="7" t="n">
        <x:f>IF(ISBLANK(V56),"",N56*O56*(1-V56))</x:f>
        <x:v>3415.464</x:v>
      </x:c>
      <x:c r="X56" s="7" t="n">
        <x:f>IF(OR(ISBLANK(W56),ISBLANK(R56)),"",W56-R56)</x:f>
        <x:v>1422.234</x:v>
      </x:c>
      <x:c r="Y56" s="8" t="n">
        <x:f>IF(OR(ISBLANK(W56),W56=0),"",X56/W56)</x:f>
        <x:v>0.4164101861416194</x:v>
      </x:c>
      <x:c r="Z56" s="9" t="n">
        <x:f>IF(OR(ISBLANK(B56),ISBLANK(C56)),"",C56-B56)</x:f>
        <x:v>3</x:v>
      </x:c>
      <x:c r="AA56" t="str">
        <x:f>IF(ISBLANK(B56),"",TEXT(B56,"mmm"))</x:f>
        <x:v>May</x:v>
      </x:c>
      <x:c r="AB56" s="9" t="n">
        <x:f>IF(ISBLANK(B56),"",YEAR(B56))</x:f>
        <x:v>2025</x:v>
      </x:c>
      <x:c r="AC56" s="10" t="str">
        <x:v>EXCLUDE: Cancelled order; EXCLUDE: Failed payment</x:v>
      </x:c>
      <x:c r="AD56" t="str">
        <x:f>IF(AND(U56="Completed",T56="Paid",ISERROR(SEARCH("INVALID",AC56)),ISERROR(SEARCH("REVIEW",AC56))),"Include","Exclude")</x:f>
        <x:v>Exclude</x:v>
      </x:c>
      <x:c r="AE56" t="str">
        <x:f>IF(T56="Refunded","Refunded","")</x:f>
      </x:c>
    </x:row>
    <x:row r="57">
      <x:c r="A57" t="str">
        <x:v>ORD-2025-10056</x:v>
      </x:c>
      <x:c r="B57" s="5" t="n">
        <x:v>45839</x:v>
      </x:c>
      <x:c r="C57" s="5" t="n">
        <x:v>45841</x:v>
      </x:c>
      <x:c r="D57" t="str">
        <x:v>CUST-9821</x:v>
      </x:c>
      <x:c r="E57" t="str">
        <x:v>Mira Das</x:v>
      </x:c>
      <x:c r="F57" t="str">
        <x:v>Small Business</x:v>
      </x:c>
      <x:c r="G57" t="str">
        <x:v>South</x:v>
      </x:c>
      <x:c r="H57" t="str">
        <x:v>Andhra Pradesh</x:v>
      </x:c>
      <x:c r="I57" t="str">
        <x:v>Vijayawada</x:v>
      </x:c>
      <x:c r="J57" t="str">
        <x:v>Technology</x:v>
      </x:c>
      <x:c r="K57" t="str">
        <x:v>Machines</x:v>
      </x:c>
      <x:c r="L57" t="str">
        <x:v>Classic Machines 310</x:v>
      </x:c>
      <x:c r="M57" t="str">
        <x:v>Same Day</x:v>
      </x:c>
      <x:c r="N57" t="n">
        <x:v>3</x:v>
      </x:c>
      <x:c r="O57" s="7" t="n">
        <x:v>1516.24</x:v>
      </x:c>
      <x:c r="P57" s="6" t="n">
        <x:v>0.25</x:v>
      </x:c>
      <x:c r="Q57" s="7" t="n">
        <x:v>3411.54</x:v>
      </x:c>
      <x:c r="R57" s="7" t="n">
        <x:v>2803.13</x:v>
      </x:c>
      <x:c r="S57" s="7" t="n">
        <x:v>608.41</x:v>
      </x:c>
      <x:c r="T57" t="str">
        <x:v>Paid</x:v>
      </x:c>
      <x:c r="U57" t="str">
        <x:v>Completed</x:v>
      </x:c>
      <x:c r="V57" s="6" t="n">
        <x:f>IF(ISBLANK(P57),IF(AND(ISNUMBER(N57),N57&gt;0,ISNUMBER(O57),O57&gt;=0,ISNUMBER(Q57),Q57&gt;=0,ISNUMBER(R57),R57&gt;=0,ISNUMBER(S57)),0,""),P57)</x:f>
        <x:v>0.25</x:v>
      </x:c>
      <x:c r="W57" s="7" t="n">
        <x:f>IF(ISBLANK(V57),"",N57*O57*(1-V57))</x:f>
        <x:v>3411.54</x:v>
      </x:c>
      <x:c r="X57" s="7" t="n">
        <x:f>IF(OR(ISBLANK(W57),ISBLANK(R57)),"",W57-R57)</x:f>
        <x:v>608.4099999999999</x:v>
      </x:c>
      <x:c r="Y57" s="8" t="n">
        <x:f>IF(OR(ISBLANK(W57),W57=0),"",X57/W57)</x:f>
        <x:v>0.1783388147288321</x:v>
      </x:c>
      <x:c r="Z57" s="9" t="n">
        <x:f>IF(OR(ISBLANK(B57),ISBLANK(C57)),"",C57-B57)</x:f>
        <x:v>2</x:v>
      </x:c>
      <x:c r="AA57" t="str">
        <x:f>IF(ISBLANK(B57),"",TEXT(B57,"mmm"))</x:f>
        <x:v>Jul</x:v>
      </x:c>
      <x:c r="AB57" s="9" t="n">
        <x:f>IF(ISBLANK(B57),"",YEAR(B57))</x:f>
        <x:v>2025</x:v>
      </x:c>
      <x:c r="AC57" s="10" t="str"/>
      <x:c r="AD57" t="str">
        <x:f>IF(AND(U57="Completed",T57="Paid",ISERROR(SEARCH("INVALID",AC57)),ISERROR(SEARCH("REVIEW",AC57))),"Include","Exclude")</x:f>
        <x:v>Include</x:v>
      </x:c>
      <x:c r="AE57" t="str">
        <x:f>IF(T57="Refunded","Refunded","")</x:f>
      </x:c>
    </x:row>
    <x:row r="58">
      <x:c r="A58" t="str">
        <x:v>ORD-2025-10057</x:v>
      </x:c>
      <x:c r="B58" s="5" t="n">
        <x:v>45662</x:v>
      </x:c>
      <x:c r="C58" s="5" t="n">
        <x:v>45663</x:v>
      </x:c>
      <x:c r="D58" t="str">
        <x:v>CUST-8701</x:v>
      </x:c>
      <x:c r="E58" t="str">
        <x:v>Karan Malhotra</x:v>
      </x:c>
      <x:c r="F58" t="str">
        <x:v>Consumer</x:v>
      </x:c>
      <x:c r="G58" t="str">
        <x:v>South</x:v>
      </x:c>
      <x:c r="H58" t="str">
        <x:v>Karnataka</x:v>
      </x:c>
      <x:c r="I58" t="str">
        <x:v>Bengaluru</x:v>
      </x:c>
      <x:c r="J58" t="str">
        <x:v>Office Supplies</x:v>
      </x:c>
      <x:c r="K58" t="str">
        <x:v>Binders</x:v>
      </x:c>
      <x:c r="L58" t="str">
        <x:v>Smart Binders 393</x:v>
      </x:c>
      <x:c r="M58" t="str">
        <x:v>Second Class</x:v>
      </x:c>
      <x:c r="N58" t="n">
        <x:v>3</x:v>
      </x:c>
      <x:c r="O58" s="7" t="n">
        <x:v>3155.61</x:v>
      </x:c>
      <x:c r="P58" s="6" t="n">
        <x:v>0</x:v>
      </x:c>
      <x:c r="Q58" s="7" t="n">
        <x:v>9466.83</x:v>
      </x:c>
      <x:c r="R58" s="7" t="n">
        <x:v>6557.83</x:v>
      </x:c>
      <x:c r="S58" s="7" t="n">
        <x:v>2909</x:v>
      </x:c>
      <x:c r="T58" t="str">
        <x:v>Refunded</x:v>
      </x:c>
      <x:c r="U58" t="str">
        <x:v>Cancelled</x:v>
      </x:c>
      <x:c r="V58" s="6" t="n">
        <x:f>IF(ISBLANK(P58),IF(AND(ISNUMBER(N58),N58&gt;0,ISNUMBER(O58),O58&gt;=0,ISNUMBER(Q58),Q58&gt;=0,ISNUMBER(R58),R58&gt;=0,ISNUMBER(S58)),0,""),P58)</x:f>
        <x:v>0</x:v>
      </x:c>
      <x:c r="W58" s="7" t="n">
        <x:f>IF(ISBLANK(V58),"",N58*O58*(1-V58))</x:f>
        <x:v>9466.83</x:v>
      </x:c>
      <x:c r="X58" s="7" t="n">
        <x:f>IF(OR(ISBLANK(W58),ISBLANK(R58)),"",W58-R58)</x:f>
        <x:v>2909</x:v>
      </x:c>
      <x:c r="Y58" s="8" t="n">
        <x:f>IF(OR(ISBLANK(W58),W58=0),"",X58/W58)</x:f>
        <x:v>0.3072834306732032</x:v>
      </x:c>
      <x:c r="Z58" s="9" t="n">
        <x:f>IF(OR(ISBLANK(B58),ISBLANK(C58)),"",C58-B58)</x:f>
        <x:v>1</x:v>
      </x:c>
      <x:c r="AA58" t="str">
        <x:f>IF(ISBLANK(B58),"",TEXT(B58,"mmm"))</x:f>
        <x:v>Jan</x:v>
      </x:c>
      <x:c r="AB58" s="9" t="n">
        <x:f>IF(ISBLANK(B58),"",YEAR(B58))</x:f>
        <x:v>2025</x:v>
      </x:c>
      <x:c r="AC58" s="10" t="str">
        <x:v>EXCLUDE: Cancelled order; REFUND: Summarize separately</x:v>
      </x:c>
      <x:c r="AD58" t="str">
        <x:f>IF(AND(U58="Completed",T58="Paid",ISERROR(SEARCH("INVALID",AC58)),ISERROR(SEARCH("REVIEW",AC58))),"Include","Exclude")</x:f>
        <x:v>Exclude</x:v>
      </x:c>
      <x:c r="AE58" t="str">
        <x:f>IF(T58="Refunded","Refunded","")</x:f>
        <x:v>Refunded</x:v>
      </x:c>
    </x:row>
    <x:row r="59">
      <x:c r="A59" t="str">
        <x:v>ORD-2024-10058</x:v>
      </x:c>
      <x:c r="B59" s="5" t="n">
        <x:v>45329</x:v>
      </x:c>
      <x:c r="C59" s="5" t="n">
        <x:v>45337</x:v>
      </x:c>
      <x:c r="D59" t="str">
        <x:v>CUST-9941</x:v>
      </x:c>
      <x:c r="E59" t="str">
        <x:v>Priya Menon</x:v>
      </x:c>
      <x:c r="F59" t="str">
        <x:v>Consumer</x:v>
      </x:c>
      <x:c r="G59" t="str">
        <x:v>West</x:v>
      </x:c>
      <x:c r="H59" t="str">
        <x:v>Goa</x:v>
      </x:c>
      <x:c r="I59" t="str">
        <x:v>Panaji</x:v>
      </x:c>
      <x:c r="J59" t="str">
        <x:v>Furniture</x:v>
      </x:c>
      <x:c r="K59" t="str">
        <x:v>Chairs</x:v>
      </x:c>
      <x:c r="L59" t="str">
        <x:v>Max Chairs 813</x:v>
      </x:c>
      <x:c r="M59" t="str">
        <x:v>Same Day</x:v>
      </x:c>
      <x:c r="N59" t="n">
        <x:v>5</x:v>
      </x:c>
      <x:c r="O59" s="7" t="n">
        <x:v>255.87</x:v>
      </x:c>
      <x:c r="P59" s="6" t="n">
        <x:v>0</x:v>
      </x:c>
      <x:c r="Q59" s="7" t="n">
        <x:v>1279.35</x:v>
      </x:c>
      <x:c r="R59" s="7" t="n">
        <x:v>1091.54</x:v>
      </x:c>
      <x:c r="S59" s="7" t="n">
        <x:v>187.81</x:v>
      </x:c>
      <x:c r="T59" t="str">
        <x:v>Paid</x:v>
      </x:c>
      <x:c r="U59" t="str">
        <x:v>Completed</x:v>
      </x:c>
      <x:c r="V59" s="6" t="n">
        <x:f>IF(ISBLANK(P59),IF(AND(ISNUMBER(N59),N59&gt;0,ISNUMBER(O59),O59&gt;=0,ISNUMBER(Q59),Q59&gt;=0,ISNUMBER(R59),R59&gt;=0,ISNUMBER(S59)),0,""),P59)</x:f>
        <x:v>0</x:v>
      </x:c>
      <x:c r="W59" s="7" t="n">
        <x:f>IF(ISBLANK(V59),"",N59*O59*(1-V59))</x:f>
        <x:v>1279.35</x:v>
      </x:c>
      <x:c r="X59" s="7" t="n">
        <x:f>IF(OR(ISBLANK(W59),ISBLANK(R59)),"",W59-R59)</x:f>
        <x:v>187.80999999999995</x:v>
      </x:c>
      <x:c r="Y59" s="8" t="n">
        <x:f>IF(OR(ISBLANK(W59),W59=0),"",X59/W59)</x:f>
        <x:v>0.14680110993864068</x:v>
      </x:c>
      <x:c r="Z59" s="9" t="n">
        <x:f>IF(OR(ISBLANK(B59),ISBLANK(C59)),"",C59-B59)</x:f>
        <x:v>8</x:v>
      </x:c>
      <x:c r="AA59" t="str">
        <x:f>IF(ISBLANK(B59),"",TEXT(B59,"mmm"))</x:f>
        <x:v>Feb</x:v>
      </x:c>
      <x:c r="AB59" s="9" t="n">
        <x:f>IF(ISBLANK(B59),"",YEAR(B59))</x:f>
        <x:v>2024</x:v>
      </x:c>
      <x:c r="AC59" s="10" t="str"/>
      <x:c r="AD59" t="str">
        <x:f>IF(AND(U59="Completed",T59="Paid",ISERROR(SEARCH("INVALID",AC59)),ISERROR(SEARCH("REVIEW",AC59))),"Include","Exclude")</x:f>
        <x:v>Include</x:v>
      </x:c>
      <x:c r="AE59" t="str">
        <x:f>IF(T59="Refunded","Refunded","")</x:f>
      </x:c>
    </x:row>
    <x:row r="60">
      <x:c r="A60" t="str">
        <x:v>ORD-2024-10059</x:v>
      </x:c>
      <x:c r="B60" s="5" t="n">
        <x:v>45536</x:v>
      </x:c>
      <x:c r="C60" s="5" t="n">
        <x:v>45542</x:v>
      </x:c>
      <x:c r="D60" t="str">
        <x:v>CUST-3983</x:v>
      </x:c>
      <x:c r="E60" t="str">
        <x:v>Isha Nair</x:v>
      </x:c>
      <x:c r="F60" t="str">
        <x:v>Home Office</x:v>
      </x:c>
      <x:c r="G60" t="str">
        <x:v>North</x:v>
      </x:c>
      <x:c r="H60" t="str">
        <x:v>Rajasthan</x:v>
      </x:c>
      <x:c r="I60" t="str">
        <x:v>Jaipur</x:v>
      </x:c>
      <x:c r="J60" t="str">
        <x:v>Office Supplies</x:v>
      </x:c>
      <x:c r="K60" t="str">
        <x:v>Storage</x:v>
      </x:c>
      <x:c r="L60" t="str">
        <x:v>Basic Storage 872</x:v>
      </x:c>
      <x:c r="M60" t="str">
        <x:v>Unknown</x:v>
      </x:c>
      <x:c r="N60" t="n">
        <x:v>9</x:v>
      </x:c>
      <x:c r="O60" s="7" t="n">
        <x:v>1389.48</x:v>
      </x:c>
      <x:c r="P60" s="6" t="n">
        <x:v>0.1</x:v>
      </x:c>
      <x:c r="Q60" s="7" t="n">
        <x:v>11254.79</x:v>
      </x:c>
      <x:c r="R60" s="7" t="n">
        <x:v>6578.06</x:v>
      </x:c>
      <x:c r="S60" s="7" t="n">
        <x:v>4676.73</x:v>
      </x:c>
      <x:c r="T60" t="str">
        <x:v>Pending</x:v>
      </x:c>
      <x:c r="U60" t="str">
        <x:v>Returned</x:v>
      </x:c>
      <x:c r="V60" s="6" t="n">
        <x:f>IF(ISBLANK(P60),IF(AND(ISNUMBER(N60),N60&gt;0,ISNUMBER(O60),O60&gt;=0,ISNUMBER(Q60),Q60&gt;=0,ISNUMBER(R60),R60&gt;=0,ISNUMBER(S60)),0,""),P60)</x:f>
        <x:v>0.1</x:v>
      </x:c>
      <x:c r="W60" s="7" t="n">
        <x:f>IF(ISBLANK(V60),"",N60*O60*(1-V60))</x:f>
        <x:v>11254.788</x:v>
      </x:c>
      <x:c r="X60" s="7" t="n">
        <x:f>IF(OR(ISBLANK(W60),ISBLANK(R60)),"",W60-R60)</x:f>
        <x:v>4676.728</x:v>
      </x:c>
      <x:c r="Y60" s="8" t="n">
        <x:f>IF(OR(ISBLANK(W60),W60=0),"",X60/W60)</x:f>
        <x:v>0.41553230500654476</x:v>
      </x:c>
      <x:c r="Z60" s="9" t="n">
        <x:f>IF(OR(ISBLANK(B60),ISBLANK(C60)),"",C60-B60)</x:f>
        <x:v>6</x:v>
      </x:c>
      <x:c r="AA60" t="str">
        <x:f>IF(ISBLANK(B60),"",TEXT(B60,"mmm"))</x:f>
        <x:v>Sep</x:v>
      </x:c>
      <x:c r="AB60" s="9" t="n">
        <x:f>IF(ISBLANK(B60),"",YEAR(B60))</x:f>
        <x:v>2024</x:v>
      </x:c>
      <x:c r="AC60" s="10" t="str">
        <x:v>FLAG: Missing ship mode filled as Unknown</x:v>
      </x:c>
      <x:c r="AD60" t="str">
        <x:f>IF(AND(U60="Completed",T60="Paid",ISERROR(SEARCH("INVALID",AC60)),ISERROR(SEARCH("REVIEW",AC60))),"Include","Exclude")</x:f>
        <x:v>Exclude</x:v>
      </x:c>
      <x:c r="AE60" t="str">
        <x:f>IF(T60="Refunded","Refunded","")</x:f>
      </x:c>
    </x:row>
    <x:row r="61">
      <x:c r="A61" t="str">
        <x:v>ORD-2024-10060</x:v>
      </x:c>
      <x:c r="B61" s="5" t="n">
        <x:v>45493</x:v>
      </x:c>
      <x:c r="C61" s="5" t="n">
        <x:v>45498</x:v>
      </x:c>
      <x:c r="D61" t="str">
        <x:v>CUST-2418</x:v>
      </x:c>
      <x:c r="E61" t="str">
        <x:v>Priya Menon</x:v>
      </x:c>
      <x:c r="F61" t="str">
        <x:v>Corporate</x:v>
      </x:c>
      <x:c r="G61" t="str">
        <x:v>East</x:v>
      </x:c>
      <x:c r="H61" t="str">
        <x:v>Assam</x:v>
      </x:c>
      <x:c r="I61" t="str">
        <x:v>Guwahati</x:v>
      </x:c>
      <x:c r="J61" t="str">
        <x:v>Office Supplies</x:v>
      </x:c>
      <x:c r="K61" t="str">
        <x:v>Labels</x:v>
      </x:c>
      <x:c r="L61" t="str">
        <x:v>Smart Labels 655</x:v>
      </x:c>
      <x:c r="M61" t="str">
        <x:v>Same Day</x:v>
      </x:c>
      <x:c r="N61" t="n">
        <x:v>5</x:v>
      </x:c>
      <x:c r="O61" s="7" t="n">
        <x:v>4133.85</x:v>
      </x:c>
      <x:c r="P61" s="6" t="n">
        <x:v>0.2</x:v>
      </x:c>
      <x:c r="Q61" s="7" t="n">
        <x:v>16535.4</x:v>
      </x:c>
      <x:c r="R61" s="7" t="n">
        <x:v>12990.21</x:v>
      </x:c>
      <x:c r="S61" s="7" t="n">
        <x:v>3545.19</x:v>
      </x:c>
      <x:c r="T61" t="str">
        <x:v>Paid</x:v>
      </x:c>
      <x:c r="U61" t="str">
        <x:v>Cancelled</x:v>
      </x:c>
      <x:c r="V61" s="6" t="n">
        <x:f>IF(ISBLANK(P61),IF(AND(ISNUMBER(N61),N61&gt;0,ISNUMBER(O61),O61&gt;=0,ISNUMBER(Q61),Q61&gt;=0,ISNUMBER(R61),R61&gt;=0,ISNUMBER(S61)),0,""),P61)</x:f>
        <x:v>0.2</x:v>
      </x:c>
      <x:c r="W61" s="7" t="n">
        <x:f>IF(ISBLANK(V61),"",N61*O61*(1-V61))</x:f>
        <x:v>16535.4</x:v>
      </x:c>
      <x:c r="X61" s="7" t="n">
        <x:f>IF(OR(ISBLANK(W61),ISBLANK(R61)),"",W61-R61)</x:f>
        <x:v>3545.1900000000023</x:v>
      </x:c>
      <x:c r="Y61" s="8" t="n">
        <x:f>IF(OR(ISBLANK(W61),W61=0),"",X61/W61)</x:f>
        <x:v>0.21440001451431487</x:v>
      </x:c>
      <x:c r="Z61" s="9" t="n">
        <x:f>IF(OR(ISBLANK(B61),ISBLANK(C61)),"",C61-B61)</x:f>
        <x:v>5</x:v>
      </x:c>
      <x:c r="AA61" t="str">
        <x:f>IF(ISBLANK(B61),"",TEXT(B61,"mmm"))</x:f>
        <x:v>Jul</x:v>
      </x:c>
      <x:c r="AB61" s="9" t="n">
        <x:f>IF(ISBLANK(B61),"",YEAR(B61))</x:f>
        <x:v>2024</x:v>
      </x:c>
      <x:c r="AC61" s="10" t="str">
        <x:v>EXCLUDE: Cancelled order</x:v>
      </x:c>
      <x:c r="AD61" t="str">
        <x:f>IF(AND(U61="Completed",T61="Paid",ISERROR(SEARCH("INVALID",AC61)),ISERROR(SEARCH("REVIEW",AC61))),"Include","Exclude")</x:f>
        <x:v>Exclude</x:v>
      </x:c>
      <x:c r="AE61" t="str">
        <x:f>IF(T61="Refunded","Refunded","")</x:f>
      </x:c>
    </x:row>
    <x:row r="62">
      <x:c r="A62" t="str">
        <x:v>ORD-2024-10061</x:v>
      </x:c>
      <x:c r="B62" s="5" t="n">
        <x:v>45486</x:v>
      </x:c>
      <x:c r="C62" s="5" t="n">
        <x:v>45492</x:v>
      </x:c>
      <x:c r="D62" t="str">
        <x:v>CUST-2892</x:v>
      </x:c>
      <x:c r="E62" t="str">
        <x:v>Ananya Rao</x:v>
      </x:c>
      <x:c r="F62" t="str">
        <x:v>Corporate</x:v>
      </x:c>
      <x:c r="G62" t="str">
        <x:v>East</x:v>
      </x:c>
      <x:c r="H62" t="str">
        <x:v>Assam</x:v>
      </x:c>
      <x:c r="I62" t="str">
        <x:v>Guwahati</x:v>
      </x:c>
      <x:c r="J62" t="str">
        <x:v>Office Supplies</x:v>
      </x:c>
      <x:c r="K62" t="str">
        <x:v>Labels</x:v>
      </x:c>
      <x:c r="L62" t="str">
        <x:v>Eco Labels 210</x:v>
      </x:c>
      <x:c r="M62" t="str">
        <x:v>Same Day</x:v>
      </x:c>
      <x:c r="N62" t="n">
        <x:v>3</x:v>
      </x:c>
      <x:c r="O62" s="7" t="n">
        <x:v>275.76</x:v>
      </x:c>
      <x:c r="P62" s="6" t="n">
        <x:v>0.2</x:v>
      </x:c>
      <x:c r="Q62" s="7" t="n">
        <x:v>661.82</x:v>
      </x:c>
      <x:c r="R62" s="7" t="n">
        <x:v>481.47</x:v>
      </x:c>
      <x:c r="S62" s="7" t="n">
        <x:v>180.35</x:v>
      </x:c>
      <x:c r="T62" t="str">
        <x:v>Refunded</x:v>
      </x:c>
      <x:c r="U62" t="str">
        <x:v>Cancelled</x:v>
      </x:c>
      <x:c r="V62" s="6" t="n">
        <x:f>IF(ISBLANK(P62),IF(AND(ISNUMBER(N62),N62&gt;0,ISNUMBER(O62),O62&gt;=0,ISNUMBER(Q62),Q62&gt;=0,ISNUMBER(R62),R62&gt;=0,ISNUMBER(S62)),0,""),P62)</x:f>
        <x:v>0.2</x:v>
      </x:c>
      <x:c r="W62" s="7" t="n">
        <x:f>IF(ISBLANK(V62),"",N62*O62*(1-V62))</x:f>
        <x:v>661.8240000000001</x:v>
      </x:c>
      <x:c r="X62" s="7" t="n">
        <x:f>IF(OR(ISBLANK(W62),ISBLANK(R62)),"",W62-R62)</x:f>
        <x:v>180.35400000000004</x:v>
      </x:c>
      <x:c r="Y62" s="8" t="n">
        <x:f>IF(OR(ISBLANK(W62),W62=0),"",X62/W62)</x:f>
        <x:v>0.2725105163910647</x:v>
      </x:c>
      <x:c r="Z62" s="9" t="n">
        <x:f>IF(OR(ISBLANK(B62),ISBLANK(C62)),"",C62-B62)</x:f>
        <x:v>6</x:v>
      </x:c>
      <x:c r="AA62" t="str">
        <x:f>IF(ISBLANK(B62),"",TEXT(B62,"mmm"))</x:f>
        <x:v>Jul</x:v>
      </x:c>
      <x:c r="AB62" s="9" t="n">
        <x:f>IF(ISBLANK(B62),"",YEAR(B62))</x:f>
        <x:v>2024</x:v>
      </x:c>
      <x:c r="AC62" s="10" t="str">
        <x:v>EXCLUDE: Cancelled order; REFUND: Summarize separately</x:v>
      </x:c>
      <x:c r="AD62" t="str">
        <x:f>IF(AND(U62="Completed",T62="Paid",ISERROR(SEARCH("INVALID",AC62)),ISERROR(SEARCH("REVIEW",AC62))),"Include","Exclude")</x:f>
        <x:v>Exclude</x:v>
      </x:c>
      <x:c r="AE62" t="str">
        <x:f>IF(T62="Refunded","Refunded","")</x:f>
        <x:v>Refunded</x:v>
      </x:c>
    </x:row>
    <x:row r="63">
      <x:c r="A63" t="str">
        <x:v>ORD-2024-10062</x:v>
      </x:c>
      <x:c r="B63" s="5" t="n">
        <x:v>45398</x:v>
      </x:c>
      <x:c r="C63" s="5" t="n">
        <x:v>45398</x:v>
      </x:c>
      <x:c r="D63" t="str">
        <x:v>CUST-7008</x:v>
      </x:c>
      <x:c r="E63" t="str">
        <x:v>Vikram Iyer</x:v>
      </x:c>
      <x:c r="F63" t="str">
        <x:v>Home Office</x:v>
      </x:c>
      <x:c r="G63" t="str">
        <x:v>East</x:v>
      </x:c>
      <x:c r="H63" t="str">
        <x:v>Bihar</x:v>
      </x:c>
      <x:c r="I63" t="str">
        <x:v>Patna</x:v>
      </x:c>
      <x:c r="J63" t="str">
        <x:v>Furniture</x:v>
      </x:c>
      <x:c r="K63" t="str">
        <x:v>Bookcases</x:v>
      </x:c>
      <x:c r="L63" t="str">
        <x:v>Classic Bookcases 296</x:v>
      </x:c>
      <x:c r="M63" t="str">
        <x:v>Standard Class</x:v>
      </x:c>
      <x:c r="N63" t="n">
        <x:v>1</x:v>
      </x:c>
      <x:c r="O63" s="7" t="n">
        <x:v>949.59</x:v>
      </x:c>
      <x:c r="P63" s="6" t="n">
        <x:v>0</x:v>
      </x:c>
      <x:c r="Q63" s="7" t="n">
        <x:v>949.59</x:v>
      </x:c>
      <x:c r="R63" s="7" t="n">
        <x:v>751.25</x:v>
      </x:c>
      <x:c r="S63" s="7" t="n">
        <x:v>198.34</x:v>
      </x:c>
      <x:c r="T63" t="str">
        <x:v>Paid</x:v>
      </x:c>
      <x:c r="U63" t="str">
        <x:v>Completed</x:v>
      </x:c>
      <x:c r="V63" s="6" t="n">
        <x:f>IF(ISBLANK(P63),IF(AND(ISNUMBER(N63),N63&gt;0,ISNUMBER(O63),O63&gt;=0,ISNUMBER(Q63),Q63&gt;=0,ISNUMBER(R63),R63&gt;=0,ISNUMBER(S63)),0,""),P63)</x:f>
        <x:v>0</x:v>
      </x:c>
      <x:c r="W63" s="7" t="n">
        <x:f>IF(ISBLANK(V63),"",N63*O63*(1-V63))</x:f>
        <x:v>949.59</x:v>
      </x:c>
      <x:c r="X63" s="7" t="n">
        <x:f>IF(OR(ISBLANK(W63),ISBLANK(R63)),"",W63-R63)</x:f>
        <x:v>198.34000000000003</x:v>
      </x:c>
      <x:c r="Y63" s="8" t="n">
        <x:f>IF(OR(ISBLANK(W63),W63=0),"",X63/W63)</x:f>
        <x:v>0.2088690908707969</x:v>
      </x:c>
      <x:c r="Z63" s="9" t="n">
        <x:f>IF(OR(ISBLANK(B63),ISBLANK(C63)),"",C63-B63)</x:f>
        <x:v>0</x:v>
      </x:c>
      <x:c r="AA63" t="str">
        <x:f>IF(ISBLANK(B63),"",TEXT(B63,"mmm"))</x:f>
        <x:v>Apr</x:v>
      </x:c>
      <x:c r="AB63" s="9" t="n">
        <x:f>IF(ISBLANK(B63),"",YEAR(B63))</x:f>
        <x:v>2024</x:v>
      </x:c>
      <x:c r="AC63" s="10" t="str"/>
      <x:c r="AD63" t="str">
        <x:f>IF(AND(U63="Completed",T63="Paid",ISERROR(SEARCH("INVALID",AC63)),ISERROR(SEARCH("REVIEW",AC63))),"Include","Exclude")</x:f>
        <x:v>Include</x:v>
      </x:c>
      <x:c r="AE63" t="str">
        <x:f>IF(T63="Refunded","Refunded","")</x:f>
      </x:c>
    </x:row>
    <x:row r="64">
      <x:c r="A64" t="str">
        <x:v>ORD-2024-10063</x:v>
      </x:c>
      <x:c r="B64" s="5" t="n">
        <x:v>45595</x:v>
      </x:c>
      <x:c r="C64" s="5" t="n">
        <x:v>45598</x:v>
      </x:c>
      <x:c r="D64" t="str">
        <x:v>CUST-4900</x:v>
      </x:c>
      <x:c r="E64" t="str">
        <x:v>Sneha Kapoor</x:v>
      </x:c>
      <x:c r="F64" t="str">
        <x:v>Home Office</x:v>
      </x:c>
      <x:c r="G64" t="str">
        <x:v>North</x:v>
      </x:c>
      <x:c r="H64" t="str">
        <x:v>Rajasthan</x:v>
      </x:c>
      <x:c r="I64" t="str">
        <x:v>Jaipur</x:v>
      </x:c>
      <x:c r="J64" t="str">
        <x:v>Technology</x:v>
      </x:c>
      <x:c r="K64" t="str">
        <x:v>Phones</x:v>
      </x:c>
      <x:c r="L64" t="str">
        <x:v>Basic Phones 230</x:v>
      </x:c>
      <x:c r="M64" t="str">
        <x:v>Standard Class</x:v>
      </x:c>
      <x:c r="N64" t="n">
        <x:v>9</x:v>
      </x:c>
      <x:c r="O64" s="7" t="n">
        <x:v>3042.29</x:v>
      </x:c>
      <x:c r="P64" s="6" t="n">
        <x:v>0.2</x:v>
      </x:c>
      <x:c r="Q64" s="7" t="n">
        <x:v>21904.49</x:v>
      </x:c>
      <x:c r="R64" s="7" t="n">
        <x:v>13570.55</x:v>
      </x:c>
      <x:c r="S64" s="7" t="n">
        <x:v>8333.94</x:v>
      </x:c>
      <x:c r="T64" t="str">
        <x:v>Paid</x:v>
      </x:c>
      <x:c r="U64" t="str">
        <x:v>Completed</x:v>
      </x:c>
      <x:c r="V64" s="6" t="n">
        <x:f>IF(ISBLANK(P64),IF(AND(ISNUMBER(N64),N64&gt;0,ISNUMBER(O64),O64&gt;=0,ISNUMBER(Q64),Q64&gt;=0,ISNUMBER(R64),R64&gt;=0,ISNUMBER(S64)),0,""),P64)</x:f>
        <x:v>0.2</x:v>
      </x:c>
      <x:c r="W64" s="7" t="n">
        <x:f>IF(ISBLANK(V64),"",N64*O64*(1-V64))</x:f>
        <x:v>21904.488</x:v>
      </x:c>
      <x:c r="X64" s="7" t="n">
        <x:f>IF(OR(ISBLANK(W64),ISBLANK(R64)),"",W64-R64)</x:f>
        <x:v>8333.938000000002</x:v>
      </x:c>
      <x:c r="Y64" s="8" t="n">
        <x:f>IF(OR(ISBLANK(W64),W64=0),"",X64/W64)</x:f>
        <x:v>0.38046714445003244</x:v>
      </x:c>
      <x:c r="Z64" s="9" t="n">
        <x:f>IF(OR(ISBLANK(B64),ISBLANK(C64)),"",C64-B64)</x:f>
        <x:v>3</x:v>
      </x:c>
      <x:c r="AA64" t="str">
        <x:f>IF(ISBLANK(B64),"",TEXT(B64,"mmm"))</x:f>
        <x:v>Oct</x:v>
      </x:c>
      <x:c r="AB64" s="9" t="n">
        <x:f>IF(ISBLANK(B64),"",YEAR(B64))</x:f>
        <x:v>2024</x:v>
      </x:c>
      <x:c r="AC64" s="10" t="str"/>
      <x:c r="AD64" t="str">
        <x:f>IF(AND(U64="Completed",T64="Paid",ISERROR(SEARCH("INVALID",AC64)),ISERROR(SEARCH("REVIEW",AC64))),"Include","Exclude")</x:f>
        <x:v>Include</x:v>
      </x:c>
      <x:c r="AE64" t="str">
        <x:f>IF(T64="Refunded","Refunded","")</x:f>
      </x:c>
    </x:row>
    <x:row r="65">
      <x:c r="A65" t="str">
        <x:v>ORD-2024-10064</x:v>
      </x:c>
      <x:c r="B65" s="5" t="n">
        <x:v>45316</x:v>
      </x:c>
      <x:c r="C65" s="5" t="n">
        <x:v>45323</x:v>
      </x:c>
      <x:c r="D65" t="str">
        <x:v>CUST-5382</x:v>
      </x:c>
      <x:c r="E65" t="str">
        <x:v>Sneha Kapoor</x:v>
      </x:c>
      <x:c r="F65" t="str">
        <x:v>Home Office</x:v>
      </x:c>
      <x:c r="G65" t="str">
        <x:v>North</x:v>
      </x:c>
      <x:c r="H65" t="str">
        <x:v>Haryana</x:v>
      </x:c>
      <x:c r="I65" t="str">
        <x:v>Gurugram</x:v>
      </x:c>
      <x:c r="J65" t="str">
        <x:v>Office Supplies</x:v>
      </x:c>
      <x:c r="K65" t="str">
        <x:v>Binders</x:v>
      </x:c>
      <x:c r="L65" t="str">
        <x:v>Pro Binders 690</x:v>
      </x:c>
      <x:c r="M65" t="str">
        <x:v>Same Day</x:v>
      </x:c>
      <x:c r="N65" t="n">
        <x:v>2</x:v>
      </x:c>
      <x:c r="O65" s="7" t="n">
        <x:v>2832.77</x:v>
      </x:c>
      <x:c r="P65" s="6" t="n">
        <x:v>0.15</x:v>
      </x:c>
      <x:c r="Q65" s="7" t="n">
        <x:v>4815.71</x:v>
      </x:c>
      <x:c r="R65" s="7" t="n">
        <x:v>3027.75</x:v>
      </x:c>
      <x:c r="S65" s="7" t="n">
        <x:v>1917.47</x:v>
      </x:c>
      <x:c r="T65" t="str">
        <x:v>Paid</x:v>
      </x:c>
      <x:c r="U65" t="str">
        <x:v>Completed</x:v>
      </x:c>
      <x:c r="V65" s="6" t="n">
        <x:f>IF(ISBLANK(P65),IF(AND(ISNUMBER(N65),N65&gt;0,ISNUMBER(O65),O65&gt;=0,ISNUMBER(Q65),Q65&gt;=0,ISNUMBER(R65),R65&gt;=0,ISNUMBER(S65)),0,""),P65)</x:f>
        <x:v>0.15</x:v>
      </x:c>
      <x:c r="W65" s="7" t="n">
        <x:f>IF(ISBLANK(V65),"",N65*O65*(1-V65))</x:f>
        <x:v>4815.709</x:v>
      </x:c>
      <x:c r="X65" s="7" t="n">
        <x:f>IF(OR(ISBLANK(W65),ISBLANK(R65)),"",W65-R65)</x:f>
        <x:v>1787.9589999999998</x:v>
      </x:c>
      <x:c r="Y65" s="8" t="n">
        <x:f>IF(OR(ISBLANK(W65),W65=0),"",X65/W65)</x:f>
        <x:v>0.3712763790336999</x:v>
      </x:c>
      <x:c r="Z65" s="9" t="n">
        <x:f>IF(OR(ISBLANK(B65),ISBLANK(C65)),"",C65-B65)</x:f>
        <x:v>7</x:v>
      </x:c>
      <x:c r="AA65" t="str">
        <x:f>IF(ISBLANK(B65),"",TEXT(B65,"mmm"))</x:f>
        <x:v>Jan</x:v>
      </x:c>
      <x:c r="AB65" s="9" t="n">
        <x:f>IF(ISBLANK(B65),"",YEAR(B65))</x:f>
        <x:v>2024</x:v>
      </x:c>
      <x:c r="AC65" s="10" t="str"/>
      <x:c r="AD65" t="str">
        <x:f>IF(AND(U65="Completed",T65="Paid",ISERROR(SEARCH("INVALID",AC65)),ISERROR(SEARCH("REVIEW",AC65))),"Include","Exclude")</x:f>
        <x:v>Include</x:v>
      </x:c>
      <x:c r="AE65" t="str">
        <x:f>IF(T65="Refunded","Refunded","")</x:f>
      </x:c>
    </x:row>
    <x:row r="66">
      <x:c r="A66" t="str">
        <x:v>ORD-2024-10065</x:v>
      </x:c>
      <x:c r="B66" s="5" t="n">
        <x:v>45649</x:v>
      </x:c>
      <x:c r="C66" s="5" t="n">
        <x:v>45655</x:v>
      </x:c>
      <x:c r="D66" t="str">
        <x:v>CUST-2749</x:v>
      </x:c>
      <x:c r="E66" t="str">
        <x:v>Aarav Sharma</x:v>
      </x:c>
      <x:c r="F66" t="str">
        <x:v>Corporate</x:v>
      </x:c>
      <x:c r="G66" t="str">
        <x:v>East</x:v>
      </x:c>
      <x:c r="H66" t="str">
        <x:v>Jharkhand</x:v>
      </x:c>
      <x:c r="I66" t="str">
        <x:v>Ranchi</x:v>
      </x:c>
      <x:c r="J66" t="str">
        <x:v>Office Supplies</x:v>
      </x:c>
      <x:c r="K66" t="str">
        <x:v>Paper</x:v>
      </x:c>
      <x:c r="L66" t="str">
        <x:v>Classic Paper 458</x:v>
      </x:c>
      <x:c r="M66" t="str">
        <x:v>First Class</x:v>
      </x:c>
      <x:c r="N66" t="n">
        <x:v>7</x:v>
      </x:c>
      <x:c r="O66" s="7" t="n">
        <x:v>447.84</x:v>
      </x:c>
      <x:c r="P66" s="6" t="n">
        <x:v>0</x:v>
      </x:c>
      <x:c r="Q66" s="7" t="n">
        <x:v>3134.88</x:v>
      </x:c>
      <x:c r="R66" s="7" t="n">
        <x:v>2367.63</x:v>
      </x:c>
      <x:c r="S66" s="7" t="n">
        <x:v>767.25</x:v>
      </x:c>
      <x:c r="T66" t="str">
        <x:v>Refunded</x:v>
      </x:c>
      <x:c r="U66" t="str">
        <x:v>Returned</x:v>
      </x:c>
      <x:c r="V66" s="6" t="n">
        <x:f>IF(ISBLANK(P66),IF(AND(ISNUMBER(N66),N66&gt;0,ISNUMBER(O66),O66&gt;=0,ISNUMBER(Q66),Q66&gt;=0,ISNUMBER(R66),R66&gt;=0,ISNUMBER(S66)),0,""),P66)</x:f>
        <x:v>0</x:v>
      </x:c>
      <x:c r="W66" s="7" t="n">
        <x:f>IF(ISBLANK(V66),"",N66*O66*(1-V66))</x:f>
        <x:v>3134.8799999999997</x:v>
      </x:c>
      <x:c r="X66" s="7" t="n">
        <x:f>IF(OR(ISBLANK(W66),ISBLANK(R66)),"",W66-R66)</x:f>
        <x:v>767.2499999999995</x:v>
      </x:c>
      <x:c r="Y66" s="8" t="n">
        <x:f>IF(OR(ISBLANK(W66),W66=0),"",X66/W66)</x:f>
        <x:v>0.2447462103812585</x:v>
      </x:c>
      <x:c r="Z66" s="9" t="n">
        <x:f>IF(OR(ISBLANK(B66),ISBLANK(C66)),"",C66-B66)</x:f>
        <x:v>6</x:v>
      </x:c>
      <x:c r="AA66" t="str">
        <x:f>IF(ISBLANK(B66),"",TEXT(B66,"mmm"))</x:f>
        <x:v>Dec</x:v>
      </x:c>
      <x:c r="AB66" s="9" t="n">
        <x:f>IF(ISBLANK(B66),"",YEAR(B66))</x:f>
        <x:v>2024</x:v>
      </x:c>
      <x:c r="AC66" s="10" t="str">
        <x:v>REFUND: Summarize separately</x:v>
      </x:c>
      <x:c r="AD66" t="str">
        <x:f>IF(AND(U66="Completed",T66="Paid",ISERROR(SEARCH("INVALID",AC66)),ISERROR(SEARCH("REVIEW",AC66))),"Include","Exclude")</x:f>
        <x:v>Exclude</x:v>
      </x:c>
      <x:c r="AE66" t="str">
        <x:f>IF(T66="Refunded","Refunded","")</x:f>
        <x:v>Refunded</x:v>
      </x:c>
    </x:row>
    <x:row r="67">
      <x:c r="A67" t="str">
        <x:v>ORD-2024-10066</x:v>
      </x:c>
      <x:c r="B67" s="5" t="n">
        <x:v>45404</x:v>
      </x:c>
      <x:c r="C67" s="5" t="n">
        <x:v>45409</x:v>
      </x:c>
      <x:c r="D67" t="str">
        <x:v>CUST-2463</x:v>
      </x:c>
      <x:c r="E67" t="str">
        <x:v>Mira Das</x:v>
      </x:c>
      <x:c r="F67" t="str">
        <x:v>Home Office</x:v>
      </x:c>
      <x:c r="G67" t="str">
        <x:v>West</x:v>
      </x:c>
      <x:c r="H67" t="str">
        <x:v>Maharashtra</x:v>
      </x:c>
      <x:c r="I67" t="str">
        <x:v>Mumbai</x:v>
      </x:c>
      <x:c r="J67" t="str">
        <x:v>Office Supplies</x:v>
      </x:c>
      <x:c r="K67" t="str">
        <x:v>Paper</x:v>
      </x:c>
      <x:c r="L67" t="str">
        <x:v>Pro Paper 552</x:v>
      </x:c>
      <x:c r="M67" t="str">
        <x:v>Second Class</x:v>
      </x:c>
      <x:c r="N67" t="n">
        <x:v>1</x:v>
      </x:c>
      <x:c r="O67" s="7" t="n">
        <x:v>4280.19</x:v>
      </x:c>
      <x:c r="P67" s="6" t="n">
        <x:v>0.05</x:v>
      </x:c>
      <x:c r="Q67" s="7" t="n">
        <x:v>4066.18</x:v>
      </x:c>
      <x:c r="R67" s="7" t="n">
        <x:v>2628.92</x:v>
      </x:c>
      <x:c r="S67" s="7" t="n">
        <x:v>1437.26</x:v>
      </x:c>
      <x:c r="T67" t="str">
        <x:v>Paid</x:v>
      </x:c>
      <x:c r="U67" t="str">
        <x:v>Completed</x:v>
      </x:c>
      <x:c r="V67" s="6" t="n">
        <x:f>IF(ISBLANK(P67),IF(AND(ISNUMBER(N67),N67&gt;0,ISNUMBER(O67),O67&gt;=0,ISNUMBER(Q67),Q67&gt;=0,ISNUMBER(R67),R67&gt;=0,ISNUMBER(S67)),0,""),P67)</x:f>
        <x:v>0.05</x:v>
      </x:c>
      <x:c r="W67" s="7" t="n">
        <x:f>IF(ISBLANK(V67),"",N67*O67*(1-V67))</x:f>
        <x:v>4066.1804999999995</x:v>
      </x:c>
      <x:c r="X67" s="7" t="n">
        <x:f>IF(OR(ISBLANK(W67),ISBLANK(R67)),"",W67-R67)</x:f>
        <x:v>1437.2604999999994</x:v>
      </x:c>
      <x:c r="Y67" s="8" t="n">
        <x:f>IF(OR(ISBLANK(W67),W67=0),"",X67/W67)</x:f>
        <x:v>0.35346696980126674</x:v>
      </x:c>
      <x:c r="Z67" s="9" t="n">
        <x:f>IF(OR(ISBLANK(B67),ISBLANK(C67)),"",C67-B67)</x:f>
        <x:v>5</x:v>
      </x:c>
      <x:c r="AA67" t="str">
        <x:f>IF(ISBLANK(B67),"",TEXT(B67,"mmm"))</x:f>
        <x:v>Apr</x:v>
      </x:c>
      <x:c r="AB67" s="9" t="n">
        <x:f>IF(ISBLANK(B67),"",YEAR(B67))</x:f>
        <x:v>2024</x:v>
      </x:c>
      <x:c r="AC67" s="10" t="str"/>
      <x:c r="AD67" t="str">
        <x:f>IF(AND(U67="Completed",T67="Paid",ISERROR(SEARCH("INVALID",AC67)),ISERROR(SEARCH("REVIEW",AC67))),"Include","Exclude")</x:f>
        <x:v>Include</x:v>
      </x:c>
      <x:c r="AE67" t="str">
        <x:f>IF(T67="Refunded","Refunded","")</x:f>
      </x:c>
    </x:row>
    <x:row r="68">
      <x:c r="A68" t="str">
        <x:v>ORD-2025-10067</x:v>
      </x:c>
      <x:c r="B68" s="5" t="n">
        <x:v>45897</x:v>
      </x:c>
      <x:c r="C68" s="5" t="n">
        <x:v>45901</x:v>
      </x:c>
      <x:c r="D68" t="str">
        <x:v>CUST-1504</x:v>
      </x:c>
      <x:c r="E68" t="str">
        <x:v>Karan Malhotra</x:v>
      </x:c>
      <x:c r="F68" t="str">
        <x:v>Small Business</x:v>
      </x:c>
      <x:c r="G68" t="str">
        <x:v>South</x:v>
      </x:c>
      <x:c r="H68" t="str">
        <x:v>Tamil Nadu</x:v>
      </x:c>
      <x:c r="I68" t="str">
        <x:v>Chennai</x:v>
      </x:c>
      <x:c r="J68" t="str">
        <x:v>Technology</x:v>
      </x:c>
      <x:c r="K68" t="str">
        <x:v>Accessories</x:v>
      </x:c>
      <x:c r="L68" t="str">
        <x:v>Elite Accessories 187</x:v>
      </x:c>
      <x:c r="M68" t="str">
        <x:v>Same Day</x:v>
      </x:c>
      <x:c r="N68" t="n">
        <x:v>7</x:v>
      </x:c>
      <x:c r="O68" s="7" t="n">
        <x:v>1057.46</x:v>
      </x:c>
      <x:c r="P68" s="6" t="n">
        <x:v>0.05</x:v>
      </x:c>
      <x:c r="Q68" s="7" t="n">
        <x:v>7032.11</x:v>
      </x:c>
      <x:c r="R68" s="7" t="n">
        <x:v>4610.34</x:v>
      </x:c>
      <x:c r="S68" s="7" t="n">
        <x:v>2421.77</x:v>
      </x:c>
      <x:c r="T68" t="str">
        <x:v>Paid</x:v>
      </x:c>
      <x:c r="U68" t="str">
        <x:v>Completed</x:v>
      </x:c>
      <x:c r="V68" s="6" t="n">
        <x:f>IF(ISBLANK(P68),IF(AND(ISNUMBER(N68),N68&gt;0,ISNUMBER(O68),O68&gt;=0,ISNUMBER(Q68),Q68&gt;=0,ISNUMBER(R68),R68&gt;=0,ISNUMBER(S68)),0,""),P68)</x:f>
        <x:v>0.05</x:v>
      </x:c>
      <x:c r="W68" s="7" t="n">
        <x:f>IF(ISBLANK(V68),"",N68*O68*(1-V68))</x:f>
        <x:v>7032.1089999999995</x:v>
      </x:c>
      <x:c r="X68" s="7" t="n">
        <x:f>IF(OR(ISBLANK(W68),ISBLANK(R68)),"",W68-R68)</x:f>
        <x:v>2421.7689999999993</x:v>
      </x:c>
      <x:c r="Y68" s="8" t="n">
        <x:f>IF(OR(ISBLANK(W68),W68=0),"",X68/W68)</x:f>
        <x:v>0.3443872954756531</x:v>
      </x:c>
      <x:c r="Z68" s="9" t="n">
        <x:f>IF(OR(ISBLANK(B68),ISBLANK(C68)),"",C68-B68)</x:f>
        <x:v>4</x:v>
      </x:c>
      <x:c r="AA68" t="str">
        <x:f>IF(ISBLANK(B68),"",TEXT(B68,"mmm"))</x:f>
        <x:v>Aug</x:v>
      </x:c>
      <x:c r="AB68" s="9" t="n">
        <x:f>IF(ISBLANK(B68),"",YEAR(B68))</x:f>
        <x:v>2025</x:v>
      </x:c>
      <x:c r="AC68" s="10" t="str"/>
      <x:c r="AD68" t="str">
        <x:f>IF(AND(U68="Completed",T68="Paid",ISERROR(SEARCH("INVALID",AC68)),ISERROR(SEARCH("REVIEW",AC68))),"Include","Exclude")</x:f>
        <x:v>Include</x:v>
      </x:c>
      <x:c r="AE68" t="str">
        <x:f>IF(T68="Refunded","Refunded","")</x:f>
      </x:c>
    </x:row>
    <x:row r="69">
      <x:c r="A69" t="str">
        <x:v>ORD-2025-10068</x:v>
      </x:c>
      <x:c r="B69" s="5" t="n">
        <x:v>45691</x:v>
      </x:c>
      <x:c r="C69" s="5" t="n">
        <x:v>45695</x:v>
      </x:c>
      <x:c r="D69" t="str">
        <x:v>CUST-8282</x:v>
      </x:c>
      <x:c r="E69" t="str">
        <x:v>Kabir Singh</x:v>
      </x:c>
      <x:c r="F69" t="str">
        <x:v>Consumer</x:v>
      </x:c>
      <x:c r="G69" t="str">
        <x:v>North</x:v>
      </x:c>
      <x:c r="H69" t="str">
        <x:v>Haryana</x:v>
      </x:c>
      <x:c r="I69" t="str">
        <x:v>Gurugram</x:v>
      </x:c>
      <x:c r="J69" t="str">
        <x:v>Office Supplies</x:v>
      </x:c>
      <x:c r="K69" t="str">
        <x:v>Paper</x:v>
      </x:c>
      <x:c r="L69" t="str">
        <x:v>Eco Paper 922</x:v>
      </x:c>
      <x:c r="M69" t="str">
        <x:v>First Class</x:v>
      </x:c>
      <x:c r="N69" t="n">
        <x:v>7</x:v>
      </x:c>
      <x:c r="O69" s="7" t="n">
        <x:v>3609.34</x:v>
      </x:c>
      <x:c r="P69" s="6" t="n">
        <x:v>0.05</x:v>
      </x:c>
      <x:c r="Q69" s="7" t="n">
        <x:v>24002.11</x:v>
      </x:c>
      <x:c r="R69" s="7" t="n">
        <x:v>18707.57</x:v>
      </x:c>
      <x:c r="S69" s="7" t="n">
        <x:v>5294.54</x:v>
      </x:c>
      <x:c r="T69" t="str">
        <x:v>Paid</x:v>
      </x:c>
      <x:c r="U69" t="str">
        <x:v>Completed</x:v>
      </x:c>
      <x:c r="V69" s="6" t="n">
        <x:f>IF(ISBLANK(P69),IF(AND(ISNUMBER(N69),N69&gt;0,ISNUMBER(O69),O69&gt;=0,ISNUMBER(Q69),Q69&gt;=0,ISNUMBER(R69),R69&gt;=0,ISNUMBER(S69)),0,""),P69)</x:f>
        <x:v>0.05</x:v>
      </x:c>
      <x:c r="W69" s="7" t="n">
        <x:f>IF(ISBLANK(V69),"",N69*O69*(1-V69))</x:f>
        <x:v>24002.111</x:v>
      </x:c>
      <x:c r="X69" s="7" t="n">
        <x:f>IF(OR(ISBLANK(W69),ISBLANK(R69)),"",W69-R69)</x:f>
        <x:v>5294.541000000001</x:v>
      </x:c>
      <x:c r="Y69" s="8" t="n">
        <x:f>IF(OR(ISBLANK(W69),W69=0),"",X69/W69)</x:f>
        <x:v>0.2205864725815159</x:v>
      </x:c>
      <x:c r="Z69" s="9" t="n">
        <x:f>IF(OR(ISBLANK(B69),ISBLANK(C69)),"",C69-B69)</x:f>
        <x:v>4</x:v>
      </x:c>
      <x:c r="AA69" t="str">
        <x:f>IF(ISBLANK(B69),"",TEXT(B69,"mmm"))</x:f>
        <x:v>Feb</x:v>
      </x:c>
      <x:c r="AB69" s="9" t="n">
        <x:f>IF(ISBLANK(B69),"",YEAR(B69))</x:f>
        <x:v>2025</x:v>
      </x:c>
      <x:c r="AC69" s="10" t="str"/>
      <x:c r="AD69" t="str">
        <x:f>IF(AND(U69="Completed",T69="Paid",ISERROR(SEARCH("INVALID",AC69)),ISERROR(SEARCH("REVIEW",AC69))),"Include","Exclude")</x:f>
        <x:v>Include</x:v>
      </x:c>
      <x:c r="AE69" t="str">
        <x:f>IF(T69="Refunded","Refunded","")</x:f>
      </x:c>
    </x:row>
    <x:row r="70">
      <x:c r="A70" t="str">
        <x:v>ORD-2024-10069</x:v>
      </x:c>
      <x:c r="B70" s="5" t="n">
        <x:v>45606</x:v>
      </x:c>
      <x:c r="C70" s="5" t="n">
        <x:v>45609</x:v>
      </x:c>
      <x:c r="D70" t="str">
        <x:v>CUST-6054</x:v>
      </x:c>
      <x:c r="E70" t="str">
        <x:v>Isha Nair</x:v>
      </x:c>
      <x:c r="F70" t="str">
        <x:v>Corporate</x:v>
      </x:c>
      <x:c r="G70" t="str">
        <x:v>East</x:v>
      </x:c>
      <x:c r="H70" t="str">
        <x:v>Jharkhand</x:v>
      </x:c>
      <x:c r="I70" t="str">
        <x:v>Ranchi</x:v>
      </x:c>
      <x:c r="J70" t="str">
        <x:v>Office Supplies</x:v>
      </x:c>
      <x:c r="K70" t="str">
        <x:v>Storage</x:v>
      </x:c>
      <x:c r="L70" t="str">
        <x:v>Pro Storage 975</x:v>
      </x:c>
      <x:c r="M70" t="str">
        <x:v>Second Class</x:v>
      </x:c>
      <x:c r="N70" t="n">
        <x:v>9</x:v>
      </x:c>
      <x:c r="O70" s="7" t="n">
        <x:v>2211.12</x:v>
      </x:c>
      <x:c r="P70" s="6" t="n">
        <x:v>0</x:v>
      </x:c>
      <x:c r="Q70" s="7" t="n">
        <x:v>19900.08</x:v>
      </x:c>
      <x:c r="R70" s="7" t="n">
        <x:v>10962.66</x:v>
      </x:c>
      <x:c r="S70" s="7" t="n">
        <x:v>8937.42</x:v>
      </x:c>
      <x:c r="T70" t="str">
        <x:v>Failed</x:v>
      </x:c>
      <x:c r="U70" t="str">
        <x:v>Returned</x:v>
      </x:c>
      <x:c r="V70" s="6" t="n">
        <x:f>IF(ISBLANK(P70),IF(AND(ISNUMBER(N70),N70&gt;0,ISNUMBER(O70),O70&gt;=0,ISNUMBER(Q70),Q70&gt;=0,ISNUMBER(R70),R70&gt;=0,ISNUMBER(S70)),0,""),P70)</x:f>
        <x:v>0</x:v>
      </x:c>
      <x:c r="W70" s="7" t="n">
        <x:f>IF(ISBLANK(V70),"",N70*O70*(1-V70))</x:f>
        <x:v>19900.079999999998</x:v>
      </x:c>
      <x:c r="X70" s="7" t="n">
        <x:f>IF(OR(ISBLANK(W70),ISBLANK(R70)),"",W70-R70)</x:f>
        <x:v>8937.419999999998</x:v>
      </x:c>
      <x:c r="Y70" s="8" t="n">
        <x:f>IF(OR(ISBLANK(W70),W70=0),"",X70/W70)</x:f>
        <x:v>0.4491147774280304</x:v>
      </x:c>
      <x:c r="Z70" s="9" t="n">
        <x:f>IF(OR(ISBLANK(B70),ISBLANK(C70)),"",C70-B70)</x:f>
        <x:v>3</x:v>
      </x:c>
      <x:c r="AA70" t="str">
        <x:f>IF(ISBLANK(B70),"",TEXT(B70,"mmm"))</x:f>
        <x:v>Nov</x:v>
      </x:c>
      <x:c r="AB70" s="9" t="n">
        <x:f>IF(ISBLANK(B70),"",YEAR(B70))</x:f>
        <x:v>2024</x:v>
      </x:c>
      <x:c r="AC70" s="10" t="str">
        <x:v>EXCLUDE: Failed payment</x:v>
      </x:c>
      <x:c r="AD70" t="str">
        <x:f>IF(AND(U70="Completed",T70="Paid",ISERROR(SEARCH("INVALID",AC70)),ISERROR(SEARCH("REVIEW",AC70))),"Include","Exclude")</x:f>
        <x:v>Exclude</x:v>
      </x:c>
      <x:c r="AE70" t="str">
        <x:f>IF(T70="Refunded","Refunded","")</x:f>
      </x:c>
    </x:row>
    <x:row r="71">
      <x:c r="A71" t="str">
        <x:v>ORD-2024-10070</x:v>
      </x:c>
      <x:c r="B71" s="5" t="n">
        <x:v>45391</x:v>
      </x:c>
      <x:c r="C71" s="5" t="n">
        <x:v>45396</x:v>
      </x:c>
      <x:c r="D71" t="str">
        <x:v>CUST-5979</x:v>
      </x:c>
      <x:c r="E71" t="str">
        <x:v>Neha Gupta</x:v>
      </x:c>
      <x:c r="F71" t="str">
        <x:v>Small Business</x:v>
      </x:c>
      <x:c r="G71" t="str">
        <x:v>West</x:v>
      </x:c>
      <x:c r="H71" t="str">
        <x:v>Gujarat</x:v>
      </x:c>
      <x:c r="I71" t="str">
        <x:v>Ahmedabad</x:v>
      </x:c>
      <x:c r="J71" t="str">
        <x:v>Technology</x:v>
      </x:c>
      <x:c r="K71" t="str">
        <x:v>Machines</x:v>
      </x:c>
      <x:c r="L71" t="str">
        <x:v>Prime Machines 782</x:v>
      </x:c>
      <x:c r="M71" t="str">
        <x:v>Same Day</x:v>
      </x:c>
      <x:c r="N71" t="n">
        <x:v>7</x:v>
      </x:c>
      <x:c r="O71" s="7" t="n">
        <x:v>3417.09</x:v>
      </x:c>
      <x:c r="P71" s="6" t="n">
        <x:v>0.1</x:v>
      </x:c>
      <x:c r="Q71" s="7" t="n">
        <x:v>21527.67</x:v>
      </x:c>
      <x:c r="R71" s="7" t="n">
        <x:v>18287.58</x:v>
      </x:c>
      <x:c r="S71" s="7" t="n">
        <x:v>3240.09</x:v>
      </x:c>
      <x:c r="T71" t="str">
        <x:v>Refunded</x:v>
      </x:c>
      <x:c r="U71" t="str">
        <x:v>Returned</x:v>
      </x:c>
      <x:c r="V71" s="6" t="n">
        <x:f>IF(ISBLANK(P71),IF(AND(ISNUMBER(N71),N71&gt;0,ISNUMBER(O71),O71&gt;=0,ISNUMBER(Q71),Q71&gt;=0,ISNUMBER(R71),R71&gt;=0,ISNUMBER(S71)),0,""),P71)</x:f>
        <x:v>0.1</x:v>
      </x:c>
      <x:c r="W71" s="7" t="n">
        <x:f>IF(ISBLANK(V71),"",N71*O71*(1-V71))</x:f>
        <x:v>21527.667</x:v>
      </x:c>
      <x:c r="X71" s="7" t="n">
        <x:f>IF(OR(ISBLANK(W71),ISBLANK(R71)),"",W71-R71)</x:f>
        <x:v>3240.0869999999995</x:v>
      </x:c>
      <x:c r="Y71" s="8" t="n">
        <x:f>IF(OR(ISBLANK(W71),W71=0),"",X71/W71)</x:f>
        <x:v>0.15050804158202555</x:v>
      </x:c>
      <x:c r="Z71" s="9" t="n">
        <x:f>IF(OR(ISBLANK(B71),ISBLANK(C71)),"",C71-B71)</x:f>
        <x:v>5</x:v>
      </x:c>
      <x:c r="AA71" t="str">
        <x:f>IF(ISBLANK(B71),"",TEXT(B71,"mmm"))</x:f>
        <x:v>Apr</x:v>
      </x:c>
      <x:c r="AB71" s="9" t="n">
        <x:f>IF(ISBLANK(B71),"",YEAR(B71))</x:f>
        <x:v>2024</x:v>
      </x:c>
      <x:c r="AC71" s="10" t="str">
        <x:v>REFUND: Summarize separately</x:v>
      </x:c>
      <x:c r="AD71" t="str">
        <x:f>IF(AND(U71="Completed",T71="Paid",ISERROR(SEARCH("INVALID",AC71)),ISERROR(SEARCH("REVIEW",AC71))),"Include","Exclude")</x:f>
        <x:v>Exclude</x:v>
      </x:c>
      <x:c r="AE71" t="str">
        <x:f>IF(T71="Refunded","Refunded","")</x:f>
        <x:v>Refunded</x:v>
      </x:c>
    </x:row>
    <x:row r="72">
      <x:c r="A72" t="str">
        <x:v>ORD-2025-10071</x:v>
      </x:c>
      <x:c r="B72" s="5" t="n">
        <x:v>45891</x:v>
      </x:c>
      <x:c r="C72" s="5" t="n">
        <x:v>45896</x:v>
      </x:c>
      <x:c r="D72" t="str">
        <x:v>CUST-5582</x:v>
      </x:c>
      <x:c r="E72" t="str">
        <x:v>Karan Malhotra</x:v>
      </x:c>
      <x:c r="F72" t="str">
        <x:v>Corporate</x:v>
      </x:c>
      <x:c r="G72" t="str">
        <x:v>South</x:v>
      </x:c>
      <x:c r="H72" t="str">
        <x:v>Andhra Pradesh</x:v>
      </x:c>
      <x:c r="I72" t="str">
        <x:v>Vijayawada</x:v>
      </x:c>
      <x:c r="J72" t="str">
        <x:v>Technology</x:v>
      </x:c>
      <x:c r="K72" t="str">
        <x:v>Phones</x:v>
      </x:c>
      <x:c r="L72" t="str">
        <x:v>Max Phones 661</x:v>
      </x:c>
      <x:c r="M72" t="str">
        <x:v>First Class</x:v>
      </x:c>
      <x:c r="N72" t="n">
        <x:v>2</x:v>
      </x:c>
      <x:c r="O72" s="7" t="n">
        <x:v>905.87</x:v>
      </x:c>
      <x:c r="P72" s="6" t="n">
        <x:v>0.15</x:v>
      </x:c>
      <x:c r="Q72" s="7" t="n">
        <x:v>1539.98</x:v>
      </x:c>
      <x:c r="R72" s="7" t="n">
        <x:v>1070.2</x:v>
      </x:c>
      <x:c r="S72" s="7" t="n">
        <x:v>469.78</x:v>
      </x:c>
      <x:c r="T72" t="str">
        <x:v>Paid</x:v>
      </x:c>
      <x:c r="U72" t="str">
        <x:v>Completed</x:v>
      </x:c>
      <x:c r="V72" s="6" t="n">
        <x:f>IF(ISBLANK(P72),IF(AND(ISNUMBER(N72),N72&gt;0,ISNUMBER(O72),O72&gt;=0,ISNUMBER(Q72),Q72&gt;=0,ISNUMBER(R72),R72&gt;=0,ISNUMBER(S72)),0,""),P72)</x:f>
        <x:v>0.15</x:v>
      </x:c>
      <x:c r="W72" s="7" t="n">
        <x:f>IF(ISBLANK(V72),"",N72*O72*(1-V72))</x:f>
        <x:v>1539.979</x:v>
      </x:c>
      <x:c r="X72" s="7" t="n">
        <x:f>IF(OR(ISBLANK(W72),ISBLANK(R72)),"",W72-R72)</x:f>
        <x:v>469.779</x:v>
      </x:c>
      <x:c r="Y72" s="8" t="n">
        <x:f>IF(OR(ISBLANK(W72),W72=0),"",X72/W72)</x:f>
        <x:v>0.3050554585484607</x:v>
      </x:c>
      <x:c r="Z72" s="9" t="n">
        <x:f>IF(OR(ISBLANK(B72),ISBLANK(C72)),"",C72-B72)</x:f>
        <x:v>5</x:v>
      </x:c>
      <x:c r="AA72" t="str">
        <x:f>IF(ISBLANK(B72),"",TEXT(B72,"mmm"))</x:f>
        <x:v>Aug</x:v>
      </x:c>
      <x:c r="AB72" s="9" t="n">
        <x:f>IF(ISBLANK(B72),"",YEAR(B72))</x:f>
        <x:v>2025</x:v>
      </x:c>
      <x:c r="AC72" s="10" t="str"/>
      <x:c r="AD72" t="str">
        <x:f>IF(AND(U72="Completed",T72="Paid",ISERROR(SEARCH("INVALID",AC72)),ISERROR(SEARCH("REVIEW",AC72))),"Include","Exclude")</x:f>
        <x:v>Include</x:v>
      </x:c>
      <x:c r="AE72" t="str">
        <x:f>IF(T72="Refunded","Refunded","")</x:f>
      </x:c>
    </x:row>
    <x:row r="73">
      <x:c r="A73" t="str">
        <x:v>ORD-2025-10072</x:v>
      </x:c>
      <x:c r="B73" s="5" t="n">
        <x:v>45763</x:v>
      </x:c>
      <x:c r="C73" s="5" t="n">
        <x:v>45770</x:v>
      </x:c>
      <x:c r="D73" t="str">
        <x:v>CUST-3308</x:v>
      </x:c>
      <x:c r="E73" t="str">
        <x:v>Mira Das</x:v>
      </x:c>
      <x:c r="F73" t="str">
        <x:v>Small Business</x:v>
      </x:c>
      <x:c r="G73" t="str">
        <x:v>West</x:v>
      </x:c>
      <x:c r="H73" t="str">
        <x:v>Goa</x:v>
      </x:c>
      <x:c r="I73" t="str">
        <x:v>Panaji</x:v>
      </x:c>
      <x:c r="J73" t="str">
        <x:v>Technology</x:v>
      </x:c>
      <x:c r="K73" t="str">
        <x:v>Machines</x:v>
      </x:c>
      <x:c r="L73" t="str">
        <x:v>Elite Machines 836</x:v>
      </x:c>
      <x:c r="M73" t="str">
        <x:v>Standard Class</x:v>
      </x:c>
      <x:c r="N73" t="n">
        <x:v>6</x:v>
      </x:c>
      <x:c r="O73" s="7" t="n">
        <x:v>2027.32</x:v>
      </x:c>
      <x:c r="P73" s="6" t="n">
        <x:v>0.1</x:v>
      </x:c>
      <x:c r="Q73" s="7" t="n">
        <x:v>10947.53</x:v>
      </x:c>
      <x:c r="R73" s="7" t="n">
        <x:v>6447.36</x:v>
      </x:c>
      <x:c r="S73" s="7" t="n">
        <x:v>4500.17</x:v>
      </x:c>
      <x:c r="T73" t="str">
        <x:v>Paid</x:v>
      </x:c>
      <x:c r="U73" t="str">
        <x:v>Completed</x:v>
      </x:c>
      <x:c r="V73" s="6" t="n">
        <x:f>IF(ISBLANK(P73),IF(AND(ISNUMBER(N73),N73&gt;0,ISNUMBER(O73),O73&gt;=0,ISNUMBER(Q73),Q73&gt;=0,ISNUMBER(R73),R73&gt;=0,ISNUMBER(S73)),0,""),P73)</x:f>
        <x:v>0.1</x:v>
      </x:c>
      <x:c r="W73" s="7" t="n">
        <x:f>IF(ISBLANK(V73),"",N73*O73*(1-V73))</x:f>
        <x:v>10947.528</x:v>
      </x:c>
      <x:c r="X73" s="7" t="n">
        <x:f>IF(OR(ISBLANK(W73),ISBLANK(R73)),"",W73-R73)</x:f>
        <x:v>4500.168000000001</x:v>
      </x:c>
      <x:c r="Y73" s="8" t="n">
        <x:f>IF(OR(ISBLANK(W73),W73=0),"",X73/W73)</x:f>
        <x:v>0.41106704636882413</x:v>
      </x:c>
      <x:c r="Z73" s="9" t="n">
        <x:f>IF(OR(ISBLANK(B73),ISBLANK(C73)),"",C73-B73)</x:f>
        <x:v>7</x:v>
      </x:c>
      <x:c r="AA73" t="str">
        <x:f>IF(ISBLANK(B73),"",TEXT(B73,"mmm"))</x:f>
        <x:v>Apr</x:v>
      </x:c>
      <x:c r="AB73" s="9" t="n">
        <x:f>IF(ISBLANK(B73),"",YEAR(B73))</x:f>
        <x:v>2025</x:v>
      </x:c>
      <x:c r="AC73" s="10" t="str"/>
      <x:c r="AD73" t="str">
        <x:f>IF(AND(U73="Completed",T73="Paid",ISERROR(SEARCH("INVALID",AC73)),ISERROR(SEARCH("REVIEW",AC73))),"Include","Exclude")</x:f>
        <x:v>Include</x:v>
      </x:c>
      <x:c r="AE73" t="str">
        <x:f>IF(T73="Refunded","Refunded","")</x:f>
      </x:c>
    </x:row>
    <x:row r="74">
      <x:c r="A74" t="str">
        <x:v>ORD-2024-10073</x:v>
      </x:c>
      <x:c r="B74" s="5" t="n">
        <x:v>45333</x:v>
      </x:c>
      <x:c r="C74" s="5" t="n">
        <x:v>45329</x:v>
      </x:c>
      <x:c r="D74" t="str">
        <x:v>CUST-5018</x:v>
      </x:c>
      <x:c r="E74" t="str">
        <x:v>Karan Malhotra</x:v>
      </x:c>
      <x:c r="F74" t="str">
        <x:v>Home Office</x:v>
      </x:c>
      <x:c r="G74" t="str">
        <x:v>South</x:v>
      </x:c>
      <x:c r="H74" t="str">
        <x:v>Tamil Nadu</x:v>
      </x:c>
      <x:c r="I74" t="str">
        <x:v>Chennai</x:v>
      </x:c>
      <x:c r="J74" t="str">
        <x:v>Furniture</x:v>
      </x:c>
      <x:c r="K74" t="str">
        <x:v>Tables</x:v>
      </x:c>
      <x:c r="L74" t="str">
        <x:v>Prime Tables 902</x:v>
      </x:c>
      <x:c r="M74" t="str">
        <x:v>First Class</x:v>
      </x:c>
      <x:c r="N74" t="n">
        <x:v>7</x:v>
      </x:c>
      <x:c r="O74" s="7" t="n">
        <x:v>2287.47</x:v>
      </x:c>
      <x:c r="P74" s="6" t="n">
        <x:v>0.15</x:v>
      </x:c>
      <x:c r="Q74" s="7" t="n">
        <x:v>13610.45</x:v>
      </x:c>
      <x:c r="R74" s="7" t="n">
        <x:v>10039.05</x:v>
      </x:c>
      <x:c r="S74" s="7" t="n">
        <x:v>3571.4</x:v>
      </x:c>
      <x:c r="T74" t="str">
        <x:v>Paid</x:v>
      </x:c>
      <x:c r="U74" t="str">
        <x:v>Completed</x:v>
      </x:c>
      <x:c r="V74" s="6" t="n">
        <x:f>IF(ISBLANK(P74),IF(AND(ISNUMBER(N74),N74&gt;0,ISNUMBER(O74),O74&gt;=0,ISNUMBER(Q74),Q74&gt;=0,ISNUMBER(R74),R74&gt;=0,ISNUMBER(S74)),0,""),P74)</x:f>
        <x:v>0.15</x:v>
      </x:c>
      <x:c r="W74" s="7" t="n">
        <x:f>IF(ISBLANK(V74),"",N74*O74*(1-V74))</x:f>
        <x:v>13610.446499999998</x:v>
      </x:c>
      <x:c r="X74" s="7" t="n">
        <x:f>IF(OR(ISBLANK(W74),ISBLANK(R74)),"",W74-R74)</x:f>
        <x:v>3571.396499999999</x:v>
      </x:c>
      <x:c r="Y74" s="8" t="n">
        <x:f>IF(OR(ISBLANK(W74),W74=0),"",X74/W74)</x:f>
        <x:v>0.26240112695788487</x:v>
      </x:c>
      <x:c r="Z74" s="9" t="n">
        <x:f>IF(OR(ISBLANK(B74),ISBLANK(C74)),"",C74-B74)</x:f>
        <x:v>-4</x:v>
      </x:c>
      <x:c r="AA74" t="str">
        <x:f>IF(ISBLANK(B74),"",TEXT(B74,"mmm"))</x:f>
        <x:v>Feb</x:v>
      </x:c>
      <x:c r="AB74" s="9" t="n">
        <x:f>IF(ISBLANK(B74),"",YEAR(B74))</x:f>
        <x:v>2024</x:v>
      </x:c>
      <x:c r="AC74" s="10" t="str">
        <x:v>INVALID: Ship date before order date</x:v>
      </x:c>
      <x:c r="AD74" t="str">
        <x:f>IF(AND(U74="Completed",T74="Paid",ISERROR(SEARCH("INVALID",AC74)),ISERROR(SEARCH("REVIEW",AC74))),"Include","Exclude")</x:f>
        <x:v>Exclude</x:v>
      </x:c>
      <x:c r="AE74" t="str">
        <x:f>IF(T74="Refunded","Refunded","")</x:f>
      </x:c>
    </x:row>
    <x:row r="75">
      <x:c r="A75" t="str">
        <x:v>ORD-2025-10074</x:v>
      </x:c>
      <x:c r="B75" s="5" t="n">
        <x:v>45745</x:v>
      </x:c>
      <x:c r="C75" s="5" t="n">
        <x:v>45750</x:v>
      </x:c>
      <x:c r="D75" t="str">
        <x:v>CUST-2342</x:v>
      </x:c>
      <x:c r="E75" t="str">
        <x:v>Sneha Kapoor</x:v>
      </x:c>
      <x:c r="F75" t="str">
        <x:v>Corporate</x:v>
      </x:c>
      <x:c r="G75" t="str">
        <x:v>East</x:v>
      </x:c>
      <x:c r="H75" t="str">
        <x:v>West Bengal</x:v>
      </x:c>
      <x:c r="I75" t="str">
        <x:v>Kolkata</x:v>
      </x:c>
      <x:c r="J75" t="str">
        <x:v>Furniture</x:v>
      </x:c>
      <x:c r="K75" t="str">
        <x:v>Bookcases</x:v>
      </x:c>
      <x:c r="L75" t="str">
        <x:v>Smart Bookcases 167</x:v>
      </x:c>
      <x:c r="M75" t="str">
        <x:v>First Class</x:v>
      </x:c>
      <x:c r="N75" t="n">
        <x:v>5</x:v>
      </x:c>
      <x:c r="O75" s="7" t="n">
        <x:v>1425.74</x:v>
      </x:c>
      <x:c r="P75" s="6" t="n">
        <x:v>0</x:v>
      </x:c>
      <x:c r="Q75" s="7" t="n">
        <x:v>7128.7</x:v>
      </x:c>
      <x:c r="R75" s="7" t="n">
        <x:v>4382.15</x:v>
      </x:c>
      <x:c r="S75" s="7" t="n">
        <x:v>2746.55</x:v>
      </x:c>
      <x:c r="T75" t="str">
        <x:v>Paid</x:v>
      </x:c>
      <x:c r="U75" t="str">
        <x:v>Completed</x:v>
      </x:c>
      <x:c r="V75" s="6" t="n">
        <x:f>IF(ISBLANK(P75),IF(AND(ISNUMBER(N75),N75&gt;0,ISNUMBER(O75),O75&gt;=0,ISNUMBER(Q75),Q75&gt;=0,ISNUMBER(R75),R75&gt;=0,ISNUMBER(S75)),0,""),P75)</x:f>
        <x:v>0</x:v>
      </x:c>
      <x:c r="W75" s="7" t="n">
        <x:f>IF(ISBLANK(V75),"",N75*O75*(1-V75))</x:f>
        <x:v>7128.7</x:v>
      </x:c>
      <x:c r="X75" s="7" t="n">
        <x:f>IF(OR(ISBLANK(W75),ISBLANK(R75)),"",W75-R75)</x:f>
        <x:v>2746.55</x:v>
      </x:c>
      <x:c r="Y75" s="8" t="n">
        <x:f>IF(OR(ISBLANK(W75),W75=0),"",X75/W75)</x:f>
        <x:v>0.3852806262011307</x:v>
      </x:c>
      <x:c r="Z75" s="9" t="n">
        <x:f>IF(OR(ISBLANK(B75),ISBLANK(C75)),"",C75-B75)</x:f>
        <x:v>5</x:v>
      </x:c>
      <x:c r="AA75" t="str">
        <x:f>IF(ISBLANK(B75),"",TEXT(B75,"mmm"))</x:f>
        <x:v>Mar</x:v>
      </x:c>
      <x:c r="AB75" s="9" t="n">
        <x:f>IF(ISBLANK(B75),"",YEAR(B75))</x:f>
        <x:v>2025</x:v>
      </x:c>
      <x:c r="AC75" s="10" t="str"/>
      <x:c r="AD75" t="str">
        <x:f>IF(AND(U75="Completed",T75="Paid",ISERROR(SEARCH("INVALID",AC75)),ISERROR(SEARCH("REVIEW",AC75))),"Include","Exclude")</x:f>
        <x:v>Include</x:v>
      </x:c>
      <x:c r="AE75" t="str">
        <x:f>IF(T75="Refunded","Refunded","")</x:f>
      </x:c>
    </x:row>
    <x:row r="76">
      <x:c r="A76" t="str">
        <x:v>ORD-2025-10075</x:v>
      </x:c>
      <x:c r="B76" s="5" t="n">
        <x:v>45715</x:v>
      </x:c>
      <x:c r="C76" s="5" t="n">
        <x:v>45717</x:v>
      </x:c>
      <x:c r="D76" t="str">
        <x:v>CUST-6201</x:v>
      </x:c>
      <x:c r="E76" t="str">
        <x:v>Vikram Iyer</x:v>
      </x:c>
      <x:c r="F76" t="str">
        <x:v>Small Business</x:v>
      </x:c>
      <x:c r="G76" t="str">
        <x:v>East</x:v>
      </x:c>
      <x:c r="H76" t="str">
        <x:v>West Bengal</x:v>
      </x:c>
      <x:c r="I76" t="str">
        <x:v>Kolkata</x:v>
      </x:c>
      <x:c r="J76" t="str">
        <x:v>Furniture</x:v>
      </x:c>
      <x:c r="K76" t="str">
        <x:v>Chairs</x:v>
      </x:c>
      <x:c r="L76" t="str">
        <x:v>Max Chairs 244</x:v>
      </x:c>
      <x:c r="M76" t="str">
        <x:v>Standard Class</x:v>
      </x:c>
      <x:c r="N76" t="n">
        <x:v>6</x:v>
      </x:c>
      <x:c r="O76" s="7" t="n">
        <x:v>551.64</x:v>
      </x:c>
      <x:c r="P76" s="6" t="n">
        <x:v>0</x:v>
      </x:c>
      <x:c r="Q76" s="7" t="n">
        <x:v>3309.84</x:v>
      </x:c>
      <x:c r="R76" s="7" t="n">
        <x:v>2671.08</x:v>
      </x:c>
      <x:c r="S76" s="7" t="n">
        <x:v>638.76</x:v>
      </x:c>
      <x:c r="T76" t="str">
        <x:v>Paid</x:v>
      </x:c>
      <x:c r="U76" t="str">
        <x:v>Completed</x:v>
      </x:c>
      <x:c r="V76" s="6" t="n">
        <x:f>IF(ISBLANK(P76),IF(AND(ISNUMBER(N76),N76&gt;0,ISNUMBER(O76),O76&gt;=0,ISNUMBER(Q76),Q76&gt;=0,ISNUMBER(R76),R76&gt;=0,ISNUMBER(S76)),0,""),P76)</x:f>
        <x:v>0</x:v>
      </x:c>
      <x:c r="W76" s="7" t="n">
        <x:f>IF(ISBLANK(V76),"",N76*O76*(1-V76))</x:f>
        <x:v>3309.84</x:v>
      </x:c>
      <x:c r="X76" s="7" t="n">
        <x:f>IF(OR(ISBLANK(W76),ISBLANK(R76)),"",W76-R76)</x:f>
        <x:v>638.7600000000002</x:v>
      </x:c>
      <x:c r="Y76" s="8" t="n">
        <x:f>IF(OR(ISBLANK(W76),W76=0),"",X76/W76)</x:f>
        <x:v>0.19298818069755644</x:v>
      </x:c>
      <x:c r="Z76" s="9" t="n">
        <x:f>IF(OR(ISBLANK(B76),ISBLANK(C76)),"",C76-B76)</x:f>
        <x:v>2</x:v>
      </x:c>
      <x:c r="AA76" t="str">
        <x:f>IF(ISBLANK(B76),"",TEXT(B76,"mmm"))</x:f>
        <x:v>Feb</x:v>
      </x:c>
      <x:c r="AB76" s="9" t="n">
        <x:f>IF(ISBLANK(B76),"",YEAR(B76))</x:f>
        <x:v>2025</x:v>
      </x:c>
      <x:c r="AC76" s="10" t="str"/>
      <x:c r="AD76" t="str">
        <x:f>IF(AND(U76="Completed",T76="Paid",ISERROR(SEARCH("INVALID",AC76)),ISERROR(SEARCH("REVIEW",AC76))),"Include","Exclude")</x:f>
        <x:v>Include</x:v>
      </x:c>
      <x:c r="AE76" t="str">
        <x:f>IF(T76="Refunded","Refunded","")</x:f>
      </x:c>
    </x:row>
    <x:row r="77">
      <x:c r="A77" t="str">
        <x:v>ORD-2025-10076</x:v>
      </x:c>
      <x:c r="B77" s="5" t="n">
        <x:v>45891</x:v>
      </x:c>
      <x:c r="C77" s="5" t="n">
        <x:v>45896</x:v>
      </x:c>
      <x:c r="D77" t="str">
        <x:v>CUST-5808</x:v>
      </x:c>
      <x:c r="E77" t="str">
        <x:v>Priya Menon</x:v>
      </x:c>
      <x:c r="F77" t="str">
        <x:v>Small Business</x:v>
      </x:c>
      <x:c r="G77" t="str">
        <x:v>East</x:v>
      </x:c>
      <x:c r="H77" t="str">
        <x:v>Odisha</x:v>
      </x:c>
      <x:c r="I77" t="str">
        <x:v>Bhubaneswar</x:v>
      </x:c>
      <x:c r="J77" t="str">
        <x:v>Office Supplies</x:v>
      </x:c>
      <x:c r="K77" t="str">
        <x:v>Labels</x:v>
      </x:c>
      <x:c r="L77" t="str">
        <x:v>Eco Labels 653</x:v>
      </x:c>
      <x:c r="M77" t="str">
        <x:v>First Class</x:v>
      </x:c>
      <x:c r="N77" t="n">
        <x:v>3</x:v>
      </x:c>
      <x:c r="O77" s="7" t="n">
        <x:v>3294.82</x:v>
      </x:c>
      <x:c r="P77" s="6" t="n">
        <x:v>0.2</x:v>
      </x:c>
      <x:c r="Q77" s="7" t="n">
        <x:v>7907.57</x:v>
      </x:c>
      <x:c r="R77" s="7" t="n">
        <x:v>5391.18</x:v>
      </x:c>
      <x:c r="S77" s="7" t="n">
        <x:v>2516.39</x:v>
      </x:c>
      <x:c r="T77" t="str">
        <x:v>Paid</x:v>
      </x:c>
      <x:c r="U77" t="str">
        <x:v>Completed</x:v>
      </x:c>
      <x:c r="V77" s="6" t="n">
        <x:f>IF(ISBLANK(P77),IF(AND(ISNUMBER(N77),N77&gt;0,ISNUMBER(O77),O77&gt;=0,ISNUMBER(Q77),Q77&gt;=0,ISNUMBER(R77),R77&gt;=0,ISNUMBER(S77)),0,""),P77)</x:f>
        <x:v>0.2</x:v>
      </x:c>
      <x:c r="W77" s="7" t="n">
        <x:f>IF(ISBLANK(V77),"",N77*O77*(1-V77))</x:f>
        <x:v>7907.568000000001</x:v>
      </x:c>
      <x:c r="X77" s="7" t="n">
        <x:f>IF(OR(ISBLANK(W77),ISBLANK(R77)),"",W77-R77)</x:f>
        <x:v>2516.388000000001</x:v>
      </x:c>
      <x:c r="Y77" s="8" t="n">
        <x:f>IF(OR(ISBLANK(W77),W77=0),"",X77/W77)</x:f>
        <x:v>0.31822527482533197</x:v>
      </x:c>
      <x:c r="Z77" s="9" t="n">
        <x:f>IF(OR(ISBLANK(B77),ISBLANK(C77)),"",C77-B77)</x:f>
        <x:v>5</x:v>
      </x:c>
      <x:c r="AA77" t="str">
        <x:f>IF(ISBLANK(B77),"",TEXT(B77,"mmm"))</x:f>
        <x:v>Aug</x:v>
      </x:c>
      <x:c r="AB77" s="9" t="n">
        <x:f>IF(ISBLANK(B77),"",YEAR(B77))</x:f>
        <x:v>2025</x:v>
      </x:c>
      <x:c r="AC77" s="10" t="str"/>
      <x:c r="AD77" t="str">
        <x:f>IF(AND(U77="Completed",T77="Paid",ISERROR(SEARCH("INVALID",AC77)),ISERROR(SEARCH("REVIEW",AC77))),"Include","Exclude")</x:f>
        <x:v>Include</x:v>
      </x:c>
      <x:c r="AE77" t="str">
        <x:f>IF(T77="Refunded","Refunded","")</x:f>
      </x:c>
    </x:row>
    <x:row r="78">
      <x:c r="A78" t="str">
        <x:v>ORD-2024-10077</x:v>
      </x:c>
      <x:c r="B78" s="5" t="n">
        <x:v>45599</x:v>
      </x:c>
      <x:c r="C78" s="5" t="n">
        <x:v>45607</x:v>
      </x:c>
      <x:c r="D78" t="str">
        <x:v>CUST-2642</x:v>
      </x:c>
      <x:c r="E78" t="str">
        <x:v>Ananya Rao</x:v>
      </x:c>
      <x:c r="F78" t="str">
        <x:v>Corporate</x:v>
      </x:c>
      <x:c r="G78" t="str">
        <x:v>East</x:v>
      </x:c>
      <x:c r="H78" t="str">
        <x:v>Jharkhand</x:v>
      </x:c>
      <x:c r="I78" t="str">
        <x:v>Ranchi</x:v>
      </x:c>
      <x:c r="J78" t="str">
        <x:v>Office Supplies</x:v>
      </x:c>
      <x:c r="K78" t="str">
        <x:v>Labels</x:v>
      </x:c>
      <x:c r="L78" t="str">
        <x:v>Max Labels 617</x:v>
      </x:c>
      <x:c r="M78" t="str">
        <x:v>Second Class</x:v>
      </x:c>
      <x:c r="N78" t="n">
        <x:v>3</x:v>
      </x:c>
      <x:c r="O78" s="7" t="n">
        <x:v>3406.27</x:v>
      </x:c>
      <x:c r="P78" s="6" t="n">
        <x:v>0</x:v>
      </x:c>
      <x:c r="Q78" s="7" t="n">
        <x:v>10218.81</x:v>
      </x:c>
      <x:c r="R78" s="7" t="n">
        <x:v>7616.97</x:v>
      </x:c>
      <x:c r="S78" s="7" t="n">
        <x:v>2601.84</x:v>
      </x:c>
      <x:c r="T78" t="str">
        <x:v>Paid</x:v>
      </x:c>
      <x:c r="U78" t="str">
        <x:v>Completed</x:v>
      </x:c>
      <x:c r="V78" s="6" t="n">
        <x:f>IF(ISBLANK(P78),IF(AND(ISNUMBER(N78),N78&gt;0,ISNUMBER(O78),O78&gt;=0,ISNUMBER(Q78),Q78&gt;=0,ISNUMBER(R78),R78&gt;=0,ISNUMBER(S78)),0,""),P78)</x:f>
        <x:v>0</x:v>
      </x:c>
      <x:c r="W78" s="7" t="n">
        <x:f>IF(ISBLANK(V78),"",N78*O78*(1-V78))</x:f>
        <x:v>10218.81</x:v>
      </x:c>
      <x:c r="X78" s="7" t="n">
        <x:f>IF(OR(ISBLANK(W78),ISBLANK(R78)),"",W78-R78)</x:f>
        <x:v>2601.8399999999992</x:v>
      </x:c>
      <x:c r="Y78" s="8" t="n">
        <x:f>IF(OR(ISBLANK(W78),W78=0),"",X78/W78)</x:f>
        <x:v>0.2546128169522674</x:v>
      </x:c>
      <x:c r="Z78" s="9" t="n">
        <x:f>IF(OR(ISBLANK(B78),ISBLANK(C78)),"",C78-B78)</x:f>
        <x:v>8</x:v>
      </x:c>
      <x:c r="AA78" t="str">
        <x:f>IF(ISBLANK(B78),"",TEXT(B78,"mmm"))</x:f>
        <x:v>Nov</x:v>
      </x:c>
      <x:c r="AB78" s="9" t="n">
        <x:f>IF(ISBLANK(B78),"",YEAR(B78))</x:f>
        <x:v>2024</x:v>
      </x:c>
      <x:c r="AC78" s="10" t="str"/>
      <x:c r="AD78" t="str">
        <x:f>IF(AND(U78="Completed",T78="Paid",ISERROR(SEARCH("INVALID",AC78)),ISERROR(SEARCH("REVIEW",AC78))),"Include","Exclude")</x:f>
        <x:v>Include</x:v>
      </x:c>
      <x:c r="AE78" t="str">
        <x:f>IF(T78="Refunded","Refunded","")</x:f>
      </x:c>
    </x:row>
    <x:row r="79">
      <x:c r="A79" t="str">
        <x:v>ORD-2025-10078</x:v>
      </x:c>
      <x:c r="B79" s="5" t="n">
        <x:v>45846</x:v>
      </x:c>
      <x:c r="C79" s="5" t="n">
        <x:v>45850</x:v>
      </x:c>
      <x:c r="D79" t="str">
        <x:v>CUST-4385</x:v>
      </x:c>
      <x:c r="E79" t="str">
        <x:v>Rohan Mehta</x:v>
      </x:c>
      <x:c r="F79" t="str">
        <x:v>Home Office</x:v>
      </x:c>
      <x:c r="G79" t="str">
        <x:v>North</x:v>
      </x:c>
      <x:c r="H79" t="str">
        <x:v>Uttar Pradesh</x:v>
      </x:c>
      <x:c r="I79" t="str">
        <x:v>Noida</x:v>
      </x:c>
      <x:c r="J79" t="str">
        <x:v>Furniture</x:v>
      </x:c>
      <x:c r="K79" t="str">
        <x:v>Furnishings</x:v>
      </x:c>
      <x:c r="L79" t="str">
        <x:v>Pro Furnishings 529</x:v>
      </x:c>
      <x:c r="M79" t="str">
        <x:v>Standard Class</x:v>
      </x:c>
      <x:c r="N79" t="n">
        <x:v>1</x:v>
      </x:c>
      <x:c r="O79" s="7" t="n">
        <x:v>2582.2</x:v>
      </x:c>
      <x:c r="P79" s="6" t="n">
        <x:v>0.15</x:v>
      </x:c>
      <x:c r="Q79" s="7" t="n">
        <x:v>2194.87</x:v>
      </x:c>
      <x:c r="R79" s="7" t="n">
        <x:v>1223.17</x:v>
      </x:c>
      <x:c r="S79" s="7" t="n">
        <x:v>971.7</x:v>
      </x:c>
      <x:c r="T79" t="str">
        <x:v>Refunded</x:v>
      </x:c>
      <x:c r="U79" t="str">
        <x:v>Cancelled</x:v>
      </x:c>
      <x:c r="V79" s="6" t="n">
        <x:f>IF(ISBLANK(P79),IF(AND(ISNUMBER(N79),N79&gt;0,ISNUMBER(O79),O79&gt;=0,ISNUMBER(Q79),Q79&gt;=0,ISNUMBER(R79),R79&gt;=0,ISNUMBER(S79)),0,""),P79)</x:f>
        <x:v>0.15</x:v>
      </x:c>
      <x:c r="W79" s="7" t="n">
        <x:f>IF(ISBLANK(V79),"",N79*O79*(1-V79))</x:f>
        <x:v>2194.87</x:v>
      </x:c>
      <x:c r="X79" s="7" t="n">
        <x:f>IF(OR(ISBLANK(W79),ISBLANK(R79)),"",W79-R79)</x:f>
        <x:v>971.6999999999998</x:v>
      </x:c>
      <x:c r="Y79" s="8" t="n">
        <x:f>IF(OR(ISBLANK(W79),W79=0),"",X79/W79)</x:f>
        <x:v>0.4427141470793258</x:v>
      </x:c>
      <x:c r="Z79" s="9" t="n">
        <x:f>IF(OR(ISBLANK(B79),ISBLANK(C79)),"",C79-B79)</x:f>
        <x:v>4</x:v>
      </x:c>
      <x:c r="AA79" t="str">
        <x:f>IF(ISBLANK(B79),"",TEXT(B79,"mmm"))</x:f>
        <x:v>Jul</x:v>
      </x:c>
      <x:c r="AB79" s="9" t="n">
        <x:f>IF(ISBLANK(B79),"",YEAR(B79))</x:f>
        <x:v>2025</x:v>
      </x:c>
      <x:c r="AC79" s="10" t="str">
        <x:v>EXCLUDE: Cancelled order; REFUND: Summarize separately</x:v>
      </x:c>
      <x:c r="AD79" t="str">
        <x:f>IF(AND(U79="Completed",T79="Paid",ISERROR(SEARCH("INVALID",AC79)),ISERROR(SEARCH("REVIEW",AC79))),"Include","Exclude")</x:f>
        <x:v>Exclude</x:v>
      </x:c>
      <x:c r="AE79" t="str">
        <x:f>IF(T79="Refunded","Refunded","")</x:f>
        <x:v>Refunded</x:v>
      </x:c>
    </x:row>
    <x:row r="80">
      <x:c r="A80" t="str">
        <x:v>ORD-2025-10079</x:v>
      </x:c>
      <x:c r="B80" s="5" t="n">
        <x:v>45854</x:v>
      </x:c>
      <x:c r="C80" s="5" t="n">
        <x:v>45859</x:v>
      </x:c>
      <x:c r="D80" t="str">
        <x:v>CUST-8043</x:v>
      </x:c>
      <x:c r="E80" t="str">
        <x:v>Sneha Kapoor</x:v>
      </x:c>
      <x:c r="F80" t="str">
        <x:v>Corporate</x:v>
      </x:c>
      <x:c r="G80" t="str">
        <x:v>East</x:v>
      </x:c>
      <x:c r="H80" t="str">
        <x:v>West Bengal</x:v>
      </x:c>
      <x:c r="I80" t="str">
        <x:v>Kolkata</x:v>
      </x:c>
      <x:c r="J80" t="str">
        <x:v>Furniture</x:v>
      </x:c>
      <x:c r="K80" t="str">
        <x:v>Tables</x:v>
      </x:c>
      <x:c r="L80" t="str">
        <x:v>Smart Tables 561</x:v>
      </x:c>
      <x:c r="M80" t="str">
        <x:v>First Class</x:v>
      </x:c>
      <x:c r="N80" t="n">
        <x:v>5</x:v>
      </x:c>
      <x:c r="O80" s="7" t="n">
        <x:v>2129.51</x:v>
      </x:c>
      <x:c r="P80" s="6" t="n">
        <x:v>0.15</x:v>
      </x:c>
      <x:c r="Q80" s="7" t="n">
        <x:v>9050.42</x:v>
      </x:c>
      <x:c r="R80" s="7" t="n">
        <x:v>6778.85</x:v>
      </x:c>
      <x:c r="S80" s="7" t="n">
        <x:v>2271.57</x:v>
      </x:c>
      <x:c r="T80" t="str">
        <x:v>Paid</x:v>
      </x:c>
      <x:c r="U80" t="str">
        <x:v>Completed</x:v>
      </x:c>
      <x:c r="V80" s="6" t="n">
        <x:f>IF(ISBLANK(P80),IF(AND(ISNUMBER(N80),N80&gt;0,ISNUMBER(O80),O80&gt;=0,ISNUMBER(Q80),Q80&gt;=0,ISNUMBER(R80),R80&gt;=0,ISNUMBER(S80)),0,""),P80)</x:f>
        <x:v>0.15</x:v>
      </x:c>
      <x:c r="W80" s="7" t="n">
        <x:f>IF(ISBLANK(V80),"",N80*O80*(1-V80))</x:f>
        <x:v>9050.417500000001</x:v>
      </x:c>
      <x:c r="X80" s="7" t="n">
        <x:f>IF(OR(ISBLANK(W80),ISBLANK(R80)),"",W80-R80)</x:f>
        <x:v>2271.567500000001</x:v>
      </x:c>
      <x:c r="Y80" s="8" t="n">
        <x:f>IF(OR(ISBLANK(W80),W80=0),"",X80/W80)</x:f>
        <x:v>0.2509903548648447</x:v>
      </x:c>
      <x:c r="Z80" s="9" t="n">
        <x:f>IF(OR(ISBLANK(B80),ISBLANK(C80)),"",C80-B80)</x:f>
        <x:v>5</x:v>
      </x:c>
      <x:c r="AA80" t="str">
        <x:f>IF(ISBLANK(B80),"",TEXT(B80,"mmm"))</x:f>
        <x:v>Jul</x:v>
      </x:c>
      <x:c r="AB80" s="9" t="n">
        <x:f>IF(ISBLANK(B80),"",YEAR(B80))</x:f>
        <x:v>2025</x:v>
      </x:c>
      <x:c r="AC80" s="10" t="str"/>
      <x:c r="AD80" t="str">
        <x:f>IF(AND(U80="Completed",T80="Paid",ISERROR(SEARCH("INVALID",AC80)),ISERROR(SEARCH("REVIEW",AC80))),"Include","Exclude")</x:f>
        <x:v>Include</x:v>
      </x:c>
      <x:c r="AE80" t="str">
        <x:f>IF(T80="Refunded","Refunded","")</x:f>
      </x:c>
    </x:row>
    <x:row r="81">
      <x:c r="A81" t="str">
        <x:v>ORD-2025-10080</x:v>
      </x:c>
      <x:c r="B81" s="5" t="n">
        <x:v>45927</x:v>
      </x:c>
      <x:c r="C81" s="5" t="n">
        <x:v>45933</x:v>
      </x:c>
      <x:c r="D81" t="str">
        <x:v>CUST-9978</x:v>
      </x:c>
      <x:c r="E81" t="str">
        <x:v>Diya Patel</x:v>
      </x:c>
      <x:c r="F81" t="str">
        <x:v>Home Office</x:v>
      </x:c>
      <x:c r="G81" t="str">
        <x:v>South</x:v>
      </x:c>
      <x:c r="H81" t="str">
        <x:v>Tamil Nadu</x:v>
      </x:c>
      <x:c r="I81" t="str">
        <x:v>Chennai</x:v>
      </x:c>
      <x:c r="J81" t="str">
        <x:v>Furniture</x:v>
      </x:c>
      <x:c r="K81" t="str">
        <x:v>Chairs</x:v>
      </x:c>
      <x:c r="L81" t="str">
        <x:v>Prime Chairs 838</x:v>
      </x:c>
      <x:c r="M81" t="str">
        <x:v>Same Day</x:v>
      </x:c>
      <x:c r="N81" t="n">
        <x:v>9</x:v>
      </x:c>
      <x:c r="O81" s="7" t="n">
        <x:v>4131.52</x:v>
      </x:c>
      <x:c r="P81" s="6" t="n">
        <x:v>0.1</x:v>
      </x:c>
      <x:c r="Q81" s="7" t="n">
        <x:v>33465.31</x:v>
      </x:c>
      <x:c r="R81" s="7" t="n">
        <x:v>24781.26</x:v>
      </x:c>
      <x:c r="S81" s="7" t="n">
        <x:v>8684.05</x:v>
      </x:c>
      <x:c r="T81" t="str">
        <x:v>Paid</x:v>
      </x:c>
      <x:c r="U81" t="str">
        <x:v>Completed</x:v>
      </x:c>
      <x:c r="V81" s="6" t="n">
        <x:f>IF(ISBLANK(P81),IF(AND(ISNUMBER(N81),N81&gt;0,ISNUMBER(O81),O81&gt;=0,ISNUMBER(Q81),Q81&gt;=0,ISNUMBER(R81),R81&gt;=0,ISNUMBER(S81)),0,""),P81)</x:f>
        <x:v>0.1</x:v>
      </x:c>
      <x:c r="W81" s="7" t="n">
        <x:f>IF(ISBLANK(V81),"",N81*O81*(1-V81))</x:f>
        <x:v>33465.312000000005</x:v>
      </x:c>
      <x:c r="X81" s="7" t="n">
        <x:f>IF(OR(ISBLANK(W81),ISBLANK(R81)),"",W81-R81)</x:f>
        <x:v>8684.052000000007</x:v>
      </x:c>
      <x:c r="Y81" s="8" t="n">
        <x:f>IF(OR(ISBLANK(W81),W81=0),"",X81/W81)</x:f>
        <x:v>0.2594941293241194</x:v>
      </x:c>
      <x:c r="Z81" s="9" t="n">
        <x:f>IF(OR(ISBLANK(B81),ISBLANK(C81)),"",C81-B81)</x:f>
        <x:v>6</x:v>
      </x:c>
      <x:c r="AA81" t="str">
        <x:f>IF(ISBLANK(B81),"",TEXT(B81,"mmm"))</x:f>
        <x:v>Sep</x:v>
      </x:c>
      <x:c r="AB81" s="9" t="n">
        <x:f>IF(ISBLANK(B81),"",YEAR(B81))</x:f>
        <x:v>2025</x:v>
      </x:c>
      <x:c r="AC81" s="10" t="str"/>
      <x:c r="AD81" t="str">
        <x:f>IF(AND(U81="Completed",T81="Paid",ISERROR(SEARCH("INVALID",AC81)),ISERROR(SEARCH("REVIEW",AC81))),"Include","Exclude")</x:f>
        <x:v>Include</x:v>
      </x:c>
      <x:c r="AE81" t="str">
        <x:f>IF(T81="Refunded","Refunded","")</x:f>
      </x:c>
    </x:row>
    <x:row r="82">
      <x:c r="A82" t="str">
        <x:v>ORD-2024-10081</x:v>
      </x:c>
      <x:c r="B82" s="5" t="n">
        <x:v>45514</x:v>
      </x:c>
      <x:c r="C82" s="5" t="n">
        <x:v>45518</x:v>
      </x:c>
      <x:c r="D82" t="str">
        <x:v>CUST-2094</x:v>
      </x:c>
      <x:c r="E82" t="str">
        <x:v>Aarav Sharma</x:v>
      </x:c>
      <x:c r="F82" t="str">
        <x:v>Small Business</x:v>
      </x:c>
      <x:c r="G82" t="str">
        <x:v>North</x:v>
      </x:c>
      <x:c r="H82" t="str">
        <x:v>Delhi</x:v>
      </x:c>
      <x:c r="I82" t="str">
        <x:v>New Delhi</x:v>
      </x:c>
      <x:c r="J82" t="str">
        <x:v>Office Supplies</x:v>
      </x:c>
      <x:c r="K82" t="str">
        <x:v>Storage</x:v>
      </x:c>
      <x:c r="L82" t="str">
        <x:v>Elite Storage 371</x:v>
      </x:c>
      <x:c r="M82" t="str">
        <x:v>Second Class</x:v>
      </x:c>
      <x:c r="N82" t="n">
        <x:v>4</x:v>
      </x:c>
      <x:c r="O82" s="7" t="n">
        <x:v>1182.32</x:v>
      </x:c>
      <x:c r="P82" s="6" t="n">
        <x:v>0.1</x:v>
      </x:c>
      <x:c r="Q82" s="7" t="n">
        <x:v>4256.35</x:v>
      </x:c>
      <x:c r="R82" s="7" t="n">
        <x:v>2495.33</x:v>
      </x:c>
      <x:c r="S82" s="7" t="n">
        <x:v>1761.02</x:v>
      </x:c>
      <x:c r="T82" t="str">
        <x:v>Pending</x:v>
      </x:c>
      <x:c r="U82" t="str">
        <x:v>Returned</x:v>
      </x:c>
      <x:c r="V82" s="6" t="n">
        <x:f>IF(ISBLANK(P82),IF(AND(ISNUMBER(N82),N82&gt;0,ISNUMBER(O82),O82&gt;=0,ISNUMBER(Q82),Q82&gt;=0,ISNUMBER(R82),R82&gt;=0,ISNUMBER(S82)),0,""),P82)</x:f>
        <x:v>0.1</x:v>
      </x:c>
      <x:c r="W82" s="7" t="n">
        <x:f>IF(ISBLANK(V82),"",N82*O82*(1-V82))</x:f>
        <x:v>4256.352</x:v>
      </x:c>
      <x:c r="X82" s="7" t="n">
        <x:f>IF(OR(ISBLANK(W82),ISBLANK(R82)),"",W82-R82)</x:f>
        <x:v>1761.022</x:v>
      </x:c>
      <x:c r="Y82" s="8" t="n">
        <x:f>IF(OR(ISBLANK(W82),W82=0),"",X82/W82)</x:f>
        <x:v>0.41373974708858663</x:v>
      </x:c>
      <x:c r="Z82" s="9" t="n">
        <x:f>IF(OR(ISBLANK(B82),ISBLANK(C82)),"",C82-B82)</x:f>
        <x:v>4</x:v>
      </x:c>
      <x:c r="AA82" t="str">
        <x:f>IF(ISBLANK(B82),"",TEXT(B82,"mmm"))</x:f>
        <x:v>Aug</x:v>
      </x:c>
      <x:c r="AB82" s="9" t="n">
        <x:f>IF(ISBLANK(B82),"",YEAR(B82))</x:f>
        <x:v>2024</x:v>
      </x:c>
      <x:c r="AC82" s="10" t="str"/>
      <x:c r="AD82" t="str">
        <x:f>IF(AND(U82="Completed",T82="Paid",ISERROR(SEARCH("INVALID",AC82)),ISERROR(SEARCH("REVIEW",AC82))),"Include","Exclude")</x:f>
        <x:v>Exclude</x:v>
      </x:c>
      <x:c r="AE82" t="str">
        <x:f>IF(T82="Refunded","Refunded","")</x:f>
      </x:c>
    </x:row>
    <x:row r="83">
      <x:c r="A83" t="str">
        <x:v>ORD-2025-10082</x:v>
      </x:c>
      <x:c r="B83" s="5" t="n">
        <x:v>45732</x:v>
      </x:c>
      <x:c r="C83" s="5" t="n">
        <x:v>45733</x:v>
      </x:c>
      <x:c r="D83" t="str">
        <x:v>CUST-7907</x:v>
      </x:c>
      <x:c r="E83" t="str">
        <x:v>Karan Malhotra</x:v>
      </x:c>
      <x:c r="F83" t="str">
        <x:v>Home Office</x:v>
      </x:c>
      <x:c r="G83" t="str">
        <x:v>West</x:v>
      </x:c>
      <x:c r="H83" t="str">
        <x:v>Goa</x:v>
      </x:c>
      <x:c r="I83" t="str">
        <x:v>Panaji</x:v>
      </x:c>
      <x:c r="J83" t="str">
        <x:v>Office Supplies</x:v>
      </x:c>
      <x:c r="K83" t="str">
        <x:v>Labels</x:v>
      </x:c>
      <x:c r="L83" t="str">
        <x:v>Eco Labels 662</x:v>
      </x:c>
      <x:c r="M83" t="str">
        <x:v>Same Day</x:v>
      </x:c>
      <x:c r="N83" t="n">
        <x:v>3</x:v>
      </x:c>
      <x:c r="O83" s="7" t="n">
        <x:v>1841.91</x:v>
      </x:c>
      <x:c r="P83" s="6" t="n">
        <x:v>0</x:v>
      </x:c>
      <x:c r="Q83" s="7" t="n">
        <x:v>5525.73</x:v>
      </x:c>
      <x:c r="R83" s="7" t="n">
        <x:v>3093.42</x:v>
      </x:c>
      <x:c r="S83" s="7" t="n">
        <x:v>2432.31</x:v>
      </x:c>
      <x:c r="T83" t="str">
        <x:v>Paid</x:v>
      </x:c>
      <x:c r="U83" t="str">
        <x:v>Completed</x:v>
      </x:c>
      <x:c r="V83" s="6" t="n">
        <x:f>IF(ISBLANK(P83),IF(AND(ISNUMBER(N83),N83&gt;0,ISNUMBER(O83),O83&gt;=0,ISNUMBER(Q83),Q83&gt;=0,ISNUMBER(R83),R83&gt;=0,ISNUMBER(S83)),0,""),P83)</x:f>
        <x:v>0</x:v>
      </x:c>
      <x:c r="W83" s="7" t="n">
        <x:f>IF(ISBLANK(V83),"",N83*O83*(1-V83))</x:f>
        <x:v>5525.7300000000005</x:v>
      </x:c>
      <x:c r="X83" s="7" t="n">
        <x:f>IF(OR(ISBLANK(W83),ISBLANK(R83)),"",W83-R83)</x:f>
        <x:v>2432.3100000000004</x:v>
      </x:c>
      <x:c r="Y83" s="8" t="n">
        <x:f>IF(OR(ISBLANK(W83),W83=0),"",X83/W83)</x:f>
        <x:v>0.4401789446824221</x:v>
      </x:c>
      <x:c r="Z83" s="9" t="n">
        <x:f>IF(OR(ISBLANK(B83),ISBLANK(C83)),"",C83-B83)</x:f>
        <x:v>1</x:v>
      </x:c>
      <x:c r="AA83" t="str">
        <x:f>IF(ISBLANK(B83),"",TEXT(B83,"mmm"))</x:f>
        <x:v>Mar</x:v>
      </x:c>
      <x:c r="AB83" s="9" t="n">
        <x:f>IF(ISBLANK(B83),"",YEAR(B83))</x:f>
        <x:v>2025</x:v>
      </x:c>
      <x:c r="AC83" s="10" t="str"/>
      <x:c r="AD83" t="str">
        <x:f>IF(AND(U83="Completed",T83="Paid",ISERROR(SEARCH("INVALID",AC83)),ISERROR(SEARCH("REVIEW",AC83))),"Include","Exclude")</x:f>
        <x:v>Include</x:v>
      </x:c>
      <x:c r="AE83" t="str">
        <x:f>IF(T83="Refunded","Refunded","")</x:f>
      </x:c>
    </x:row>
    <x:row r="84">
      <x:c r="A84" t="str">
        <x:v>ORD-2024-10083</x:v>
      </x:c>
      <x:c r="B84" s="5" t="n">
        <x:v>45507</x:v>
      </x:c>
      <x:c r="C84" s="5" t="n">
        <x:v>45508</x:v>
      </x:c>
      <x:c r="D84" t="str">
        <x:v>CUST-6516</x:v>
      </x:c>
      <x:c r="E84" t="str">
        <x:v>Arjun Bose</x:v>
      </x:c>
      <x:c r="F84" t="str">
        <x:v>Consumer</x:v>
      </x:c>
      <x:c r="G84" t="str">
        <x:v>North</x:v>
      </x:c>
      <x:c r="H84" t="str">
        <x:v>Uttar Pradesh</x:v>
      </x:c>
      <x:c r="I84" t="str">
        <x:v>Noida</x:v>
      </x:c>
      <x:c r="J84" t="str">
        <x:v>Technology</x:v>
      </x:c>
      <x:c r="K84" t="str">
        <x:v>Copiers</x:v>
      </x:c>
      <x:c r="L84" t="str">
        <x:v>Smart Copiers 702</x:v>
      </x:c>
      <x:c r="M84" t="str">
        <x:v>Second Class</x:v>
      </x:c>
      <x:c r="N84" t="n">
        <x:v>6</x:v>
      </x:c>
      <x:c r="O84" s="7" t="n">
        <x:v>1001.73</x:v>
      </x:c>
      <x:c r="P84" s="6" t="n">
        <x:v>0</x:v>
      </x:c>
      <x:c r="Q84" s="7" t="n">
        <x:v>6010.38</x:v>
      </x:c>
      <x:c r="R84" s="7" t="n">
        <x:v>3762.85</x:v>
      </x:c>
      <x:c r="S84" s="7" t="n">
        <x:v>2247.53</x:v>
      </x:c>
      <x:c r="T84" t="str">
        <x:v>Failed</x:v>
      </x:c>
      <x:c r="U84" t="str">
        <x:v>Returned</x:v>
      </x:c>
      <x:c r="V84" s="6" t="n">
        <x:f>IF(ISBLANK(P84),IF(AND(ISNUMBER(N84),N84&gt;0,ISNUMBER(O84),O84&gt;=0,ISNUMBER(Q84),Q84&gt;=0,ISNUMBER(R84),R84&gt;=0,ISNUMBER(S84)),0,""),P84)</x:f>
        <x:v>0</x:v>
      </x:c>
      <x:c r="W84" s="7" t="n">
        <x:f>IF(ISBLANK(V84),"",N84*O84*(1-V84))</x:f>
        <x:v>6010.38</x:v>
      </x:c>
      <x:c r="X84" s="7" t="n">
        <x:f>IF(OR(ISBLANK(W84),ISBLANK(R84)),"",W84-R84)</x:f>
        <x:v>2247.53</x:v>
      </x:c>
      <x:c r="Y84" s="8" t="n">
        <x:f>IF(OR(ISBLANK(W84),W84=0),"",X84/W84)</x:f>
        <x:v>0.37394141468592673</x:v>
      </x:c>
      <x:c r="Z84" s="9" t="n">
        <x:f>IF(OR(ISBLANK(B84),ISBLANK(C84)),"",C84-B84)</x:f>
        <x:v>1</x:v>
      </x:c>
      <x:c r="AA84" t="str">
        <x:f>IF(ISBLANK(B84),"",TEXT(B84,"mmm"))</x:f>
        <x:v>Aug</x:v>
      </x:c>
      <x:c r="AB84" s="9" t="n">
        <x:f>IF(ISBLANK(B84),"",YEAR(B84))</x:f>
        <x:v>2024</x:v>
      </x:c>
      <x:c r="AC84" s="10" t="str">
        <x:v>EXCLUDE: Failed payment</x:v>
      </x:c>
      <x:c r="AD84" t="str">
        <x:f>IF(AND(U84="Completed",T84="Paid",ISERROR(SEARCH("INVALID",AC84)),ISERROR(SEARCH("REVIEW",AC84))),"Include","Exclude")</x:f>
        <x:v>Exclude</x:v>
      </x:c>
      <x:c r="AE84" t="str">
        <x:f>IF(T84="Refunded","Refunded","")</x:f>
      </x:c>
    </x:row>
    <x:row r="85">
      <x:c r="A85" t="str">
        <x:v>ORD-2024-10084</x:v>
      </x:c>
      <x:c r="B85" s="5" t="n">
        <x:v>45591</x:v>
      </x:c>
      <x:c r="C85" s="5" t="n">
        <x:v>45594</x:v>
      </x:c>
      <x:c r="D85" t="str">
        <x:v>CUST-4989</x:v>
      </x:c>
      <x:c r="E85" t="str">
        <x:v>Aditi Sen</x:v>
      </x:c>
      <x:c r="F85" t="str">
        <x:v>Home Office</x:v>
      </x:c>
      <x:c r="G85" t="str">
        <x:v>West</x:v>
      </x:c>
      <x:c r="H85" t="str">
        <x:v>Maharashtra</x:v>
      </x:c>
      <x:c r="I85" t="str">
        <x:v>Mumbai</x:v>
      </x:c>
      <x:c r="J85" t="str">
        <x:v>Furniture</x:v>
      </x:c>
      <x:c r="K85" t="str">
        <x:v>Tables</x:v>
      </x:c>
      <x:c r="L85" t="str">
        <x:v>Elite Tables 362</x:v>
      </x:c>
      <x:c r="M85" t="str">
        <x:v>Second Class</x:v>
      </x:c>
      <x:c r="N85" t="n">
        <x:v>9</x:v>
      </x:c>
      <x:c r="O85" s="7" t="n">
        <x:v>131.74</x:v>
      </x:c>
      <x:c r="P85" s="6" t="n">
        <x:v>0.2</x:v>
      </x:c>
      <x:c r="Q85" s="7" t="n">
        <x:v>948.53</x:v>
      </x:c>
      <x:c r="R85" s="7" t="n">
        <x:v>674.62</x:v>
      </x:c>
      <x:c r="S85" s="7" t="n">
        <x:v>273.91</x:v>
      </x:c>
      <x:c r="T85" t="str">
        <x:v>Paid</x:v>
      </x:c>
      <x:c r="U85" t="str">
        <x:v>Completed</x:v>
      </x:c>
      <x:c r="V85" s="6" t="n">
        <x:f>IF(ISBLANK(P85),IF(AND(ISNUMBER(N85),N85&gt;0,ISNUMBER(O85),O85&gt;=0,ISNUMBER(Q85),Q85&gt;=0,ISNUMBER(R85),R85&gt;=0,ISNUMBER(S85)),0,""),P85)</x:f>
        <x:v>0.2</x:v>
      </x:c>
      <x:c r="W85" s="7" t="n">
        <x:f>IF(ISBLANK(V85),"",N85*O85*(1-V85))</x:f>
        <x:v>948.5280000000001</x:v>
      </x:c>
      <x:c r="X85" s="7" t="n">
        <x:f>IF(OR(ISBLANK(W85),ISBLANK(R85)),"",W85-R85)</x:f>
        <x:v>273.90800000000013</x:v>
      </x:c>
      <x:c r="Y85" s="8" t="n">
        <x:f>IF(OR(ISBLANK(W85),W85=0),"",X85/W85)</x:f>
        <x:v>0.2887716546058736</x:v>
      </x:c>
      <x:c r="Z85" s="9" t="n">
        <x:f>IF(OR(ISBLANK(B85),ISBLANK(C85)),"",C85-B85)</x:f>
        <x:v>3</x:v>
      </x:c>
      <x:c r="AA85" t="str">
        <x:f>IF(ISBLANK(B85),"",TEXT(B85,"mmm"))</x:f>
        <x:v>Oct</x:v>
      </x:c>
      <x:c r="AB85" s="9" t="n">
        <x:f>IF(ISBLANK(B85),"",YEAR(B85))</x:f>
        <x:v>2024</x:v>
      </x:c>
      <x:c r="AC85" s="10" t="str"/>
      <x:c r="AD85" t="str">
        <x:f>IF(AND(U85="Completed",T85="Paid",ISERROR(SEARCH("INVALID",AC85)),ISERROR(SEARCH("REVIEW",AC85))),"Include","Exclude")</x:f>
        <x:v>Include</x:v>
      </x:c>
      <x:c r="AE85" t="str">
        <x:f>IF(T85="Refunded","Refunded","")</x:f>
      </x:c>
    </x:row>
    <x:row r="86">
      <x:c r="A86" t="str">
        <x:v>ORD-2024-10085</x:v>
      </x:c>
      <x:c r="B86" s="5" t="n">
        <x:v>45566</x:v>
      </x:c>
      <x:c r="C86" s="5" t="n">
        <x:v>45568</x:v>
      </x:c>
      <x:c r="D86" t="str">
        <x:v>CUST-3758</x:v>
      </x:c>
      <x:c r="E86" t="str">
        <x:v>Rohan Mehta</x:v>
      </x:c>
      <x:c r="F86" t="str">
        <x:v>Corporate</x:v>
      </x:c>
      <x:c r="G86" t="str">
        <x:v>South</x:v>
      </x:c>
      <x:c r="H86" t="str">
        <x:v>Tamil Nadu</x:v>
      </x:c>
      <x:c r="I86" t="str">
        <x:v>Chennai</x:v>
      </x:c>
      <x:c r="J86" t="str">
        <x:v>Technology</x:v>
      </x:c>
      <x:c r="K86" t="str">
        <x:v>Phones</x:v>
      </x:c>
      <x:c r="L86" t="str">
        <x:v>Elite Phones 781</x:v>
      </x:c>
      <x:c r="M86" t="str">
        <x:v>Second Class</x:v>
      </x:c>
      <x:c r="N86" t="n">
        <x:v>6</x:v>
      </x:c>
      <x:c r="O86" s="7" t="n">
        <x:v>570.28</x:v>
      </x:c>
      <x:c r="P86" s="6" t="n">
        <x:v>0.2</x:v>
      </x:c>
      <x:c r="Q86" s="7" t="n">
        <x:v>2737.34</x:v>
      </x:c>
      <x:c r="R86" s="7" t="n">
        <x:v>2085.44</x:v>
      </x:c>
      <x:c r="S86" s="7" t="n">
        <x:v>651.9</x:v>
      </x:c>
      <x:c r="T86" t="str">
        <x:v>Paid</x:v>
      </x:c>
      <x:c r="U86" t="str">
        <x:v>Completed</x:v>
      </x:c>
      <x:c r="V86" s="6" t="n">
        <x:f>IF(ISBLANK(P86),IF(AND(ISNUMBER(N86),N86&gt;0,ISNUMBER(O86),O86&gt;=0,ISNUMBER(Q86),Q86&gt;=0,ISNUMBER(R86),R86&gt;=0,ISNUMBER(S86)),0,""),P86)</x:f>
        <x:v>0.2</x:v>
      </x:c>
      <x:c r="W86" s="7" t="n">
        <x:f>IF(ISBLANK(V86),"",N86*O86*(1-V86))</x:f>
        <x:v>2737.344</x:v>
      </x:c>
      <x:c r="X86" s="7" t="n">
        <x:f>IF(OR(ISBLANK(W86),ISBLANK(R86)),"",W86-R86)</x:f>
        <x:v>651.904</x:v>
      </x:c>
      <x:c r="Y86" s="8" t="n">
        <x:f>IF(OR(ISBLANK(W86),W86=0),"",X86/W86)</x:f>
        <x:v>0.23815201889130486</x:v>
      </x:c>
      <x:c r="Z86" s="9" t="n">
        <x:f>IF(OR(ISBLANK(B86),ISBLANK(C86)),"",C86-B86)</x:f>
        <x:v>2</x:v>
      </x:c>
      <x:c r="AA86" t="str">
        <x:f>IF(ISBLANK(B86),"",TEXT(B86,"mmm"))</x:f>
        <x:v>Oct</x:v>
      </x:c>
      <x:c r="AB86" s="9" t="n">
        <x:f>IF(ISBLANK(B86),"",YEAR(B86))</x:f>
        <x:v>2024</x:v>
      </x:c>
      <x:c r="AC86" s="10" t="str"/>
      <x:c r="AD86" t="str">
        <x:f>IF(AND(U86="Completed",T86="Paid",ISERROR(SEARCH("INVALID",AC86)),ISERROR(SEARCH("REVIEW",AC86))),"Include","Exclude")</x:f>
        <x:v>Include</x:v>
      </x:c>
      <x:c r="AE86" t="str">
        <x:f>IF(T86="Refunded","Refunded","")</x:f>
      </x:c>
    </x:row>
    <x:row r="87">
      <x:c r="A87" t="str">
        <x:v>ORD-2024-10086</x:v>
      </x:c>
      <x:c r="B87" s="5" t="n">
        <x:v>45503</x:v>
      </x:c>
      <x:c r="C87" s="5" t="n">
        <x:v>45509</x:v>
      </x:c>
      <x:c r="D87" t="str">
        <x:v>CUST-6702</x:v>
      </x:c>
      <x:c r="E87" t="str">
        <x:v>Kabir Singh</x:v>
      </x:c>
      <x:c r="F87" t="str">
        <x:v>Corporate</x:v>
      </x:c>
      <x:c r="G87" t="str">
        <x:v>North</x:v>
      </x:c>
      <x:c r="H87" t="str">
        <x:v>Delhi</x:v>
      </x:c>
      <x:c r="I87" t="str">
        <x:v>New Delhi</x:v>
      </x:c>
      <x:c r="J87" t="str">
        <x:v>Office Supplies</x:v>
      </x:c>
      <x:c r="K87" t="str">
        <x:v>Binders</x:v>
      </x:c>
      <x:c r="L87" t="str">
        <x:v>Eco Binders 456</x:v>
      </x:c>
      <x:c r="M87" t="str">
        <x:v>Standard Class</x:v>
      </x:c>
      <x:c r="N87" t="n">
        <x:v>1</x:v>
      </x:c>
      <x:c r="O87" s="7" t="n">
        <x:v>608.64</x:v>
      </x:c>
      <x:c r="P87" s="6" t="n">
        <x:v>0</x:v>
      </x:c>
      <x:c r="Q87" s="7" t="n">
        <x:v>608.64</x:v>
      </x:c>
      <x:c r="R87" s="7" t="n">
        <x:v>343.99</x:v>
      </x:c>
      <x:c r="S87" s="7" t="n">
        <x:v>264.65</x:v>
      </x:c>
      <x:c r="T87" t="str">
        <x:v>Paid</x:v>
      </x:c>
      <x:c r="U87" t="str">
        <x:v>Cancelled</x:v>
      </x:c>
      <x:c r="V87" s="6" t="n">
        <x:f>IF(ISBLANK(P87),IF(AND(ISNUMBER(N87),N87&gt;0,ISNUMBER(O87),O87&gt;=0,ISNUMBER(Q87),Q87&gt;=0,ISNUMBER(R87),R87&gt;=0,ISNUMBER(S87)),0,""),P87)</x:f>
        <x:v>0</x:v>
      </x:c>
      <x:c r="W87" s="7" t="n">
        <x:f>IF(ISBLANK(V87),"",N87*O87*(1-V87))</x:f>
        <x:v>608.64</x:v>
      </x:c>
      <x:c r="X87" s="7" t="n">
        <x:f>IF(OR(ISBLANK(W87),ISBLANK(R87)),"",W87-R87)</x:f>
        <x:v>264.65</x:v>
      </x:c>
      <x:c r="Y87" s="8" t="n">
        <x:f>IF(OR(ISBLANK(W87),W87=0),"",X87/W87)</x:f>
        <x:v>0.434821898002103</x:v>
      </x:c>
      <x:c r="Z87" s="9" t="n">
        <x:f>IF(OR(ISBLANK(B87),ISBLANK(C87)),"",C87-B87)</x:f>
        <x:v>6</x:v>
      </x:c>
      <x:c r="AA87" t="str">
        <x:f>IF(ISBLANK(B87),"",TEXT(B87,"mmm"))</x:f>
        <x:v>Jul</x:v>
      </x:c>
      <x:c r="AB87" s="9" t="n">
        <x:f>IF(ISBLANK(B87),"",YEAR(B87))</x:f>
        <x:v>2024</x:v>
      </x:c>
      <x:c r="AC87" s="10" t="str">
        <x:v>EXCLUDE: Cancelled order</x:v>
      </x:c>
      <x:c r="AD87" t="str">
        <x:f>IF(AND(U87="Completed",T87="Paid",ISERROR(SEARCH("INVALID",AC87)),ISERROR(SEARCH("REVIEW",AC87))),"Include","Exclude")</x:f>
        <x:v>Exclude</x:v>
      </x:c>
      <x:c r="AE87" t="str">
        <x:f>IF(T87="Refunded","Refunded","")</x:f>
      </x:c>
    </x:row>
    <x:row r="88">
      <x:c r="A88" t="str">
        <x:v>ORD-2024-10087</x:v>
      </x:c>
      <x:c r="B88" s="5" t="n">
        <x:v>45474</x:v>
      </x:c>
      <x:c r="C88" s="5" t="n">
        <x:v>45474</x:v>
      </x:c>
      <x:c r="D88" t="str">
        <x:v>CUST-9148</x:v>
      </x:c>
      <x:c r="E88" t="str">
        <x:v>Ananya Rao</x:v>
      </x:c>
      <x:c r="F88" t="str">
        <x:v>Small Business</x:v>
      </x:c>
      <x:c r="G88" t="str">
        <x:v>North</x:v>
      </x:c>
      <x:c r="H88" t="str">
        <x:v>Delhi</x:v>
      </x:c>
      <x:c r="I88" t="str">
        <x:v>New Delhi</x:v>
      </x:c>
      <x:c r="J88" t="str">
        <x:v>Technology</x:v>
      </x:c>
      <x:c r="K88" t="str">
        <x:v>Copiers</x:v>
      </x:c>
      <x:c r="L88" t="str">
        <x:v>Basic Copiers 525</x:v>
      </x:c>
      <x:c r="M88" t="str">
        <x:v>Second Class</x:v>
      </x:c>
      <x:c r="N88" t="n">
        <x:v>3</x:v>
      </x:c>
      <x:c r="O88" s="7" t="n">
        <x:v>885.28</x:v>
      </x:c>
      <x:c r="P88" s="6" t="n">
        <x:v>0.1</x:v>
      </x:c>
      <x:c r="Q88" s="7" t="n">
        <x:v>2390.26</x:v>
      </x:c>
      <x:c r="R88" s="7" t="n">
        <x:v>1495.94</x:v>
      </x:c>
      <x:c r="S88" s="7" t="n">
        <x:v>894.32</x:v>
      </x:c>
      <x:c r="T88" t="str">
        <x:v>Refunded</x:v>
      </x:c>
      <x:c r="U88" t="str">
        <x:v>Cancelled</x:v>
      </x:c>
      <x:c r="V88" s="6" t="n">
        <x:f>IF(ISBLANK(P88),IF(AND(ISNUMBER(N88),N88&gt;0,ISNUMBER(O88),O88&gt;=0,ISNUMBER(Q88),Q88&gt;=0,ISNUMBER(R88),R88&gt;=0,ISNUMBER(S88)),0,""),P88)</x:f>
        <x:v>0.1</x:v>
      </x:c>
      <x:c r="W88" s="7" t="n">
        <x:f>IF(ISBLANK(V88),"",N88*O88*(1-V88))</x:f>
        <x:v>2390.2560000000003</x:v>
      </x:c>
      <x:c r="X88" s="7" t="n">
        <x:f>IF(OR(ISBLANK(W88),ISBLANK(R88)),"",W88-R88)</x:f>
        <x:v>894.3160000000003</x:v>
      </x:c>
      <x:c r="Y88" s="8" t="n">
        <x:f>IF(OR(ISBLANK(W88),W88=0),"",X88/W88)</x:f>
        <x:v>0.37415071858411825</x:v>
      </x:c>
      <x:c r="Z88" s="9" t="n">
        <x:f>IF(OR(ISBLANK(B88),ISBLANK(C88)),"",C88-B88)</x:f>
        <x:v>0</x:v>
      </x:c>
      <x:c r="AA88" t="str">
        <x:f>IF(ISBLANK(B88),"",TEXT(B88,"mmm"))</x:f>
        <x:v>Jul</x:v>
      </x:c>
      <x:c r="AB88" s="9" t="n">
        <x:f>IF(ISBLANK(B88),"",YEAR(B88))</x:f>
        <x:v>2024</x:v>
      </x:c>
      <x:c r="AC88" s="10" t="str">
        <x:v>EXCLUDE: Cancelled order; REFUND: Summarize separately</x:v>
      </x:c>
      <x:c r="AD88" t="str">
        <x:f>IF(AND(U88="Completed",T88="Paid",ISERROR(SEARCH("INVALID",AC88)),ISERROR(SEARCH("REVIEW",AC88))),"Include","Exclude")</x:f>
        <x:v>Exclude</x:v>
      </x:c>
      <x:c r="AE88" t="str">
        <x:f>IF(T88="Refunded","Refunded","")</x:f>
        <x:v>Refunded</x:v>
      </x:c>
    </x:row>
    <x:row r="89">
      <x:c r="A89" t="str">
        <x:v>ORD-2024-10088</x:v>
      </x:c>
      <x:c r="B89" s="5" t="n">
        <x:v>45506</x:v>
      </x:c>
      <x:c r="C89" s="5" t="n">
        <x:v>45507</x:v>
      </x:c>
      <x:c r="D89" t="str">
        <x:v>CUST-5829</x:v>
      </x:c>
      <x:c r="E89" t="str">
        <x:v>Vikram Iyer</x:v>
      </x:c>
      <x:c r="F89" t="str">
        <x:v>Consumer</x:v>
      </x:c>
      <x:c r="G89" t="str">
        <x:v>East</x:v>
      </x:c>
      <x:c r="H89" t="str">
        <x:v>Assam</x:v>
      </x:c>
      <x:c r="I89" t="str">
        <x:v>Guwahati</x:v>
      </x:c>
      <x:c r="J89" t="str">
        <x:v>Office Supplies</x:v>
      </x:c>
      <x:c r="K89" t="str">
        <x:v>Binders</x:v>
      </x:c>
      <x:c r="L89" t="str">
        <x:v>Eco Binders 258</x:v>
      </x:c>
      <x:c r="M89" t="str">
        <x:v>Standard Class</x:v>
      </x:c>
      <x:c r="N89" t="n">
        <x:v>7</x:v>
      </x:c>
      <x:c r="O89" s="7" t="n">
        <x:v>3345.22</x:v>
      </x:c>
      <x:c r="P89" s="6" t="n">
        <x:v>0</x:v>
      </x:c>
      <x:c r="Q89" s="7" t="n">
        <x:v>23416.54</x:v>
      </x:c>
      <x:c r="R89" s="7" t="n">
        <x:v>15490.89</x:v>
      </x:c>
      <x:c r="S89" s="7" t="n">
        <x:v>7925.65</x:v>
      </x:c>
      <x:c r="T89" t="str">
        <x:v>Paid</x:v>
      </x:c>
      <x:c r="U89" t="str">
        <x:v>Completed</x:v>
      </x:c>
      <x:c r="V89" s="6" t="n">
        <x:f>IF(ISBLANK(P89),IF(AND(ISNUMBER(N89),N89&gt;0,ISNUMBER(O89),O89&gt;=0,ISNUMBER(Q89),Q89&gt;=0,ISNUMBER(R89),R89&gt;=0,ISNUMBER(S89)),0,""),P89)</x:f>
        <x:v>0</x:v>
      </x:c>
      <x:c r="W89" s="7" t="n">
        <x:f>IF(ISBLANK(V89),"",N89*O89*(1-V89))</x:f>
        <x:v>23416.539999999997</x:v>
      </x:c>
      <x:c r="X89" s="7" t="n">
        <x:f>IF(OR(ISBLANK(W89),ISBLANK(R89)),"",W89-R89)</x:f>
        <x:v>7925.649999999998</x:v>
      </x:c>
      <x:c r="Y89" s="8" t="n">
        <x:f>IF(OR(ISBLANK(W89),W89=0),"",X89/W89)</x:f>
        <x:v>0.33846375254414185</x:v>
      </x:c>
      <x:c r="Z89" s="9" t="n">
        <x:f>IF(OR(ISBLANK(B89),ISBLANK(C89)),"",C89-B89)</x:f>
        <x:v>1</x:v>
      </x:c>
      <x:c r="AA89" t="str">
        <x:f>IF(ISBLANK(B89),"",TEXT(B89,"mmm"))</x:f>
        <x:v>Aug</x:v>
      </x:c>
      <x:c r="AB89" s="9" t="n">
        <x:f>IF(ISBLANK(B89),"",YEAR(B89))</x:f>
        <x:v>2024</x:v>
      </x:c>
      <x:c r="AC89" s="10" t="str"/>
      <x:c r="AD89" t="str">
        <x:f>IF(AND(U89="Completed",T89="Paid",ISERROR(SEARCH("INVALID",AC89)),ISERROR(SEARCH("REVIEW",AC89))),"Include","Exclude")</x:f>
        <x:v>Include</x:v>
      </x:c>
      <x:c r="AE89" t="str">
        <x:f>IF(T89="Refunded","Refunded","")</x:f>
      </x:c>
    </x:row>
    <x:row r="90">
      <x:c r="A90" t="str">
        <x:v>ORD-2024-10089</x:v>
      </x:c>
      <x:c r="B90" s="5" t="n">
        <x:v>45375</x:v>
      </x:c>
      <x:c r="C90" s="5" t="n">
        <x:v>45378</x:v>
      </x:c>
      <x:c r="D90" t="str">
        <x:v>CUST-6059</x:v>
      </x:c>
      <x:c r="E90" t="str">
        <x:v>Rohan Mehta</x:v>
      </x:c>
      <x:c r="F90" t="str">
        <x:v>Small Business</x:v>
      </x:c>
      <x:c r="G90" t="str">
        <x:v>West</x:v>
      </x:c>
      <x:c r="H90" t="str">
        <x:v>Maharashtra</x:v>
      </x:c>
      <x:c r="I90" t="str">
        <x:v>Mumbai</x:v>
      </x:c>
      <x:c r="J90" t="str">
        <x:v>Furniture</x:v>
      </x:c>
      <x:c r="K90" t="str">
        <x:v>Bookcases</x:v>
      </x:c>
      <x:c r="L90" t="str">
        <x:v>Max Bookcases 398</x:v>
      </x:c>
      <x:c r="M90" t="str">
        <x:v>Standard Class</x:v>
      </x:c>
      <x:c r="N90" t="n">
        <x:v>2</x:v>
      </x:c>
      <x:c r="O90" s="7" t="n">
        <x:v>3284.75</x:v>
      </x:c>
      <x:c r="P90" s="6" t="n">
        <x:v>0.05</x:v>
      </x:c>
      <x:c r="Q90" s="7" t="n">
        <x:v>6241.02</x:v>
      </x:c>
      <x:c r="R90" s="7" t="n">
        <x:v>5345.88</x:v>
      </x:c>
      <x:c r="S90" s="7" t="n">
        <x:v>895.14</x:v>
      </x:c>
      <x:c r="T90" t="str">
        <x:v>Paid</x:v>
      </x:c>
      <x:c r="U90" t="str">
        <x:v>Completed</x:v>
      </x:c>
      <x:c r="V90" s="6" t="n">
        <x:f>IF(ISBLANK(P90),IF(AND(ISNUMBER(N90),N90&gt;0,ISNUMBER(O90),O90&gt;=0,ISNUMBER(Q90),Q90&gt;=0,ISNUMBER(R90),R90&gt;=0,ISNUMBER(S90)),0,""),P90)</x:f>
        <x:v>0.05</x:v>
      </x:c>
      <x:c r="W90" s="7" t="n">
        <x:f>IF(ISBLANK(V90),"",N90*O90*(1-V90))</x:f>
        <x:v>6241.025</x:v>
      </x:c>
      <x:c r="X90" s="7" t="n">
        <x:f>IF(OR(ISBLANK(W90),ISBLANK(R90)),"",W90-R90)</x:f>
        <x:v>895.1449999999995</x:v>
      </x:c>
      <x:c r="Y90" s="8" t="n">
        <x:f>IF(OR(ISBLANK(W90),W90=0),"",X90/W90)</x:f>
        <x:v>0.14342916427990587</x:v>
      </x:c>
      <x:c r="Z90" s="9" t="n">
        <x:f>IF(OR(ISBLANK(B90),ISBLANK(C90)),"",C90-B90)</x:f>
        <x:v>3</x:v>
      </x:c>
      <x:c r="AA90" t="str">
        <x:f>IF(ISBLANK(B90),"",TEXT(B90,"mmm"))</x:f>
        <x:v>Mar</x:v>
      </x:c>
      <x:c r="AB90" s="9" t="n">
        <x:f>IF(ISBLANK(B90),"",YEAR(B90))</x:f>
        <x:v>2024</x:v>
      </x:c>
      <x:c r="AC90" s="10" t="str"/>
      <x:c r="AD90" t="str">
        <x:f>IF(AND(U90="Completed",T90="Paid",ISERROR(SEARCH("INVALID",AC90)),ISERROR(SEARCH("REVIEW",AC90))),"Include","Exclude")</x:f>
        <x:v>Include</x:v>
      </x:c>
      <x:c r="AE90" t="str">
        <x:f>IF(T90="Refunded","Refunded","")</x:f>
      </x:c>
    </x:row>
    <x:row r="91">
      <x:c r="A91" t="str">
        <x:v>ORD-2024-10090</x:v>
      </x:c>
      <x:c r="B91" s="5" t="n">
        <x:v>45540</x:v>
      </x:c>
      <x:c r="C91" s="5" t="n">
        <x:v>45540</x:v>
      </x:c>
      <x:c r="D91" t="str">
        <x:v>CUST-7744</x:v>
      </x:c>
      <x:c r="E91" t="str">
        <x:v>Kabir Singh</x:v>
      </x:c>
      <x:c r="F91" t="str">
        <x:v>Consumer</x:v>
      </x:c>
      <x:c r="G91" t="str">
        <x:v>South</x:v>
      </x:c>
      <x:c r="H91" t="str">
        <x:v>Andhra Pradesh</x:v>
      </x:c>
      <x:c r="I91" t="str">
        <x:v>Vijayawada</x:v>
      </x:c>
      <x:c r="J91" t="str">
        <x:v>Furniture</x:v>
      </x:c>
      <x:c r="K91" t="str">
        <x:v>Bookcases</x:v>
      </x:c>
      <x:c r="L91" t="str">
        <x:v>Smart Bookcases 857</x:v>
      </x:c>
      <x:c r="M91" t="str">
        <x:v>Standard Class</x:v>
      </x:c>
      <x:c r="N91" t="n">
        <x:v>7</x:v>
      </x:c>
      <x:c r="O91" s="7" t="n">
        <x:v>3761.09</x:v>
      </x:c>
      <x:c r="P91" s="6" t="n">
        <x:v>0.2</x:v>
      </x:c>
      <x:c r="Q91" s="7" t="n">
        <x:v>21062.1</x:v>
      </x:c>
      <x:c r="R91" s="7" t="n">
        <x:v>12057.13</x:v>
      </x:c>
      <x:c r="S91" s="7" t="n">
        <x:v>9004.97</x:v>
      </x:c>
      <x:c r="T91" t="str">
        <x:v>Pending</x:v>
      </x:c>
      <x:c r="U91" t="str">
        <x:v>Cancelled</x:v>
      </x:c>
      <x:c r="V91" s="6" t="n">
        <x:f>IF(ISBLANK(P91),IF(AND(ISNUMBER(N91),N91&gt;0,ISNUMBER(O91),O91&gt;=0,ISNUMBER(Q91),Q91&gt;=0,ISNUMBER(R91),R91&gt;=0,ISNUMBER(S91)),0,""),P91)</x:f>
        <x:v>0.2</x:v>
      </x:c>
      <x:c r="W91" s="7" t="n">
        <x:f>IF(ISBLANK(V91),"",N91*O91*(1-V91))</x:f>
        <x:v>21062.104000000003</x:v>
      </x:c>
      <x:c r="X91" s="7" t="n">
        <x:f>IF(OR(ISBLANK(W91),ISBLANK(R91)),"",W91-R91)</x:f>
        <x:v>9004.974000000004</x:v>
      </x:c>
      <x:c r="Y91" s="8" t="n">
        <x:f>IF(OR(ISBLANK(W91),W91=0),"",X91/W91)</x:f>
        <x:v>0.4275438958994791</x:v>
      </x:c>
      <x:c r="Z91" s="9" t="n">
        <x:f>IF(OR(ISBLANK(B91),ISBLANK(C91)),"",C91-B91)</x:f>
        <x:v>0</x:v>
      </x:c>
      <x:c r="AA91" t="str">
        <x:f>IF(ISBLANK(B91),"",TEXT(B91,"mmm"))</x:f>
        <x:v>Sep</x:v>
      </x:c>
      <x:c r="AB91" s="9" t="n">
        <x:f>IF(ISBLANK(B91),"",YEAR(B91))</x:f>
        <x:v>2024</x:v>
      </x:c>
      <x:c r="AC91" s="10" t="str">
        <x:v>EXCLUDE: Cancelled order</x:v>
      </x:c>
      <x:c r="AD91" t="str">
        <x:f>IF(AND(U91="Completed",T91="Paid",ISERROR(SEARCH("INVALID",AC91)),ISERROR(SEARCH("REVIEW",AC91))),"Include","Exclude")</x:f>
        <x:v>Exclude</x:v>
      </x:c>
      <x:c r="AE91" t="str">
        <x:f>IF(T91="Refunded","Refunded","")</x:f>
      </x:c>
    </x:row>
    <x:row r="92">
      <x:c r="A92" t="str">
        <x:v>ORD-2025-10091</x:v>
      </x:c>
      <x:c r="B92" s="5" t="n">
        <x:v>45893</x:v>
      </x:c>
      <x:c r="C92" s="5" t="n">
        <x:v>45898</x:v>
      </x:c>
      <x:c r="D92" t="str">
        <x:v>CUST-5909</x:v>
      </x:c>
      <x:c r="E92" t="str">
        <x:v>Aarav Sharma</x:v>
      </x:c>
      <x:c r="F92" t="str">
        <x:v>Small Business</x:v>
      </x:c>
      <x:c r="G92" t="str">
        <x:v>East</x:v>
      </x:c>
      <x:c r="H92" t="str">
        <x:v>Bihar</x:v>
      </x:c>
      <x:c r="I92" t="str">
        <x:v>Patna</x:v>
      </x:c>
      <x:c r="J92" t="str">
        <x:v>Technology</x:v>
      </x:c>
      <x:c r="K92" t="str">
        <x:v>Copiers</x:v>
      </x:c>
      <x:c r="L92" t="str">
        <x:v>Smart Copiers 556</x:v>
      </x:c>
      <x:c r="M92" t="str">
        <x:v>First Class</x:v>
      </x:c>
      <x:c r="N92" t="n">
        <x:v>3</x:v>
      </x:c>
      <x:c r="O92" s="7" t="n">
        <x:v>3703.96</x:v>
      </x:c>
      <x:c r="P92" s="6" t="n">
        <x:v>0.15</x:v>
      </x:c>
      <x:c r="Q92" s="7" t="n">
        <x:v>9445.1</x:v>
      </x:c>
      <x:c r="R92" s="7" t="n">
        <x:v>5586.28</x:v>
      </x:c>
      <x:c r="S92" s="7" t="n">
        <x:v>3858.82</x:v>
      </x:c>
      <x:c r="T92" t="str">
        <x:v>Paid</x:v>
      </x:c>
      <x:c r="U92" t="str">
        <x:v>Completed</x:v>
      </x:c>
      <x:c r="V92" s="6" t="n">
        <x:f>IF(ISBLANK(P92),IF(AND(ISNUMBER(N92),N92&gt;0,ISNUMBER(O92),O92&gt;=0,ISNUMBER(Q92),Q92&gt;=0,ISNUMBER(R92),R92&gt;=0,ISNUMBER(S92)),0,""),P92)</x:f>
        <x:v>0.15</x:v>
      </x:c>
      <x:c r="W92" s="7" t="n">
        <x:f>IF(ISBLANK(V92),"",N92*O92*(1-V92))</x:f>
        <x:v>9445.098</x:v>
      </x:c>
      <x:c r="X92" s="7" t="n">
        <x:f>IF(OR(ISBLANK(W92),ISBLANK(R92)),"",W92-R92)</x:f>
        <x:v>3858.818</x:v>
      </x:c>
      <x:c r="Y92" s="8" t="n">
        <x:f>IF(OR(ISBLANK(W92),W92=0),"",X92/W92)</x:f>
        <x:v>0.40855245758170006</x:v>
      </x:c>
      <x:c r="Z92" s="9" t="n">
        <x:f>IF(OR(ISBLANK(B92),ISBLANK(C92)),"",C92-B92)</x:f>
        <x:v>5</x:v>
      </x:c>
      <x:c r="AA92" t="str">
        <x:f>IF(ISBLANK(B92),"",TEXT(B92,"mmm"))</x:f>
        <x:v>Aug</x:v>
      </x:c>
      <x:c r="AB92" s="9" t="n">
        <x:f>IF(ISBLANK(B92),"",YEAR(B92))</x:f>
        <x:v>2025</x:v>
      </x:c>
      <x:c r="AC92" s="10" t="str">
        <x:v>REVIEW: Conflicting duplicate order_id</x:v>
      </x:c>
      <x:c r="AD92" t="str">
        <x:f>IF(AND(U92="Completed",T92="Paid",ISERROR(SEARCH("INVALID",AC92)),ISERROR(SEARCH("REVIEW",AC92))),"Include","Exclude")</x:f>
        <x:v>Exclude</x:v>
      </x:c>
      <x:c r="AE92" t="str">
        <x:f>IF(T92="Refunded","Refunded","")</x:f>
      </x:c>
    </x:row>
    <x:row r="93">
      <x:c r="A93" t="str">
        <x:v>ORD-2025-10092</x:v>
      </x:c>
      <x:c r="B93" s="5" t="n">
        <x:v>45718</x:v>
      </x:c>
      <x:c r="C93" s="5" t="n">
        <x:v>45724</x:v>
      </x:c>
      <x:c r="D93" t="str">
        <x:v>CUST-6409</x:v>
      </x:c>
      <x:c r="E93" t="str">
        <x:v>Sneha Kapoor</x:v>
      </x:c>
      <x:c r="F93" t="str">
        <x:v>Corporate</x:v>
      </x:c>
      <x:c r="G93" t="str">
        <x:v>West</x:v>
      </x:c>
      <x:c r="H93" t="str">
        <x:v>Madhya Pradesh</x:v>
      </x:c>
      <x:c r="I93" t="str">
        <x:v>Indore</x:v>
      </x:c>
      <x:c r="J93" t="str">
        <x:v>Technology</x:v>
      </x:c>
      <x:c r="K93" t="str">
        <x:v>Copiers</x:v>
      </x:c>
      <x:c r="L93" t="str">
        <x:v>Prime Copiers 575</x:v>
      </x:c>
      <x:c r="M93" t="str">
        <x:v>Second Class</x:v>
      </x:c>
      <x:c r="N93" t="n">
        <x:v>9</x:v>
      </x:c>
      <x:c r="O93" s="7" t="n">
        <x:v>269.68</x:v>
      </x:c>
      <x:c r="P93" s="6" t="n">
        <x:v>0</x:v>
      </x:c>
      <x:c r="Q93" s="7" t="n">
        <x:v>2427.12</x:v>
      </x:c>
      <x:c r="R93" s="7" t="n">
        <x:v>1538.35</x:v>
      </x:c>
      <x:c r="S93" s="7" t="n">
        <x:v>804.53</x:v>
      </x:c>
      <x:c r="T93" t="str">
        <x:v>Paid</x:v>
      </x:c>
      <x:c r="U93" t="str">
        <x:v>Completed</x:v>
      </x:c>
      <x:c r="V93" s="6" t="n">
        <x:f>IF(ISBLANK(P93),IF(AND(ISNUMBER(N93),N93&gt;0,ISNUMBER(O93),O93&gt;=0,ISNUMBER(Q93),Q93&gt;=0,ISNUMBER(R93),R93&gt;=0,ISNUMBER(S93)),0,""),P93)</x:f>
        <x:v>0</x:v>
      </x:c>
      <x:c r="W93" s="7" t="n">
        <x:f>IF(ISBLANK(V93),"",N93*O93*(1-V93))</x:f>
        <x:v>2427.12</x:v>
      </x:c>
      <x:c r="X93" s="7" t="n">
        <x:f>IF(OR(ISBLANK(W93),ISBLANK(R93)),"",W93-R93)</x:f>
        <x:v>888.77</x:v>
      </x:c>
      <x:c r="Y93" s="8" t="n">
        <x:f>IF(OR(ISBLANK(W93),W93=0),"",X93/W93)</x:f>
        <x:v>0.36618296581957216</x:v>
      </x:c>
      <x:c r="Z93" s="9" t="n">
        <x:f>IF(OR(ISBLANK(B93),ISBLANK(C93)),"",C93-B93)</x:f>
        <x:v>6</x:v>
      </x:c>
      <x:c r="AA93" t="str">
        <x:f>IF(ISBLANK(B93),"",TEXT(B93,"mmm"))</x:f>
        <x:v>Mar</x:v>
      </x:c>
      <x:c r="AB93" s="9" t="n">
        <x:f>IF(ISBLANK(B93),"",YEAR(B93))</x:f>
        <x:v>2025</x:v>
      </x:c>
      <x:c r="AC93" s="10" t="str"/>
      <x:c r="AD93" t="str">
        <x:f>IF(AND(U93="Completed",T93="Paid",ISERROR(SEARCH("INVALID",AC93)),ISERROR(SEARCH("REVIEW",AC93))),"Include","Exclude")</x:f>
        <x:v>Include</x:v>
      </x:c>
      <x:c r="AE93" t="str">
        <x:f>IF(T93="Refunded","Refunded","")</x:f>
      </x:c>
    </x:row>
    <x:row r="94">
      <x:c r="A94" t="str">
        <x:v>ORD-2025-10093</x:v>
      </x:c>
      <x:c r="B94" s="5" t="n">
        <x:v>45680</x:v>
      </x:c>
      <x:c r="C94" s="5" t="n">
        <x:v>45683</x:v>
      </x:c>
      <x:c r="D94" t="str">
        <x:v>CUST-3014</x:v>
      </x:c>
      <x:c r="E94" t="str">
        <x:v>Aarav Sharma</x:v>
      </x:c>
      <x:c r="F94" t="str">
        <x:v>Consumer</x:v>
      </x:c>
      <x:c r="G94" t="str">
        <x:v>West</x:v>
      </x:c>
      <x:c r="H94" t="str">
        <x:v>Madhya Pradesh</x:v>
      </x:c>
      <x:c r="I94" t="str">
        <x:v>Indore</x:v>
      </x:c>
      <x:c r="J94" t="str">
        <x:v>Office Supplies</x:v>
      </x:c>
      <x:c r="K94" t="str">
        <x:v>Paper</x:v>
      </x:c>
      <x:c r="L94" t="str">
        <x:v>Elite Paper 669</x:v>
      </x:c>
      <x:c r="M94" t="str">
        <x:v>Standard Class</x:v>
      </x:c>
      <x:c r="N94" t="n">
        <x:v>9</x:v>
      </x:c>
      <x:c r="O94" s="7" t="n">
        <x:v>4458.26</x:v>
      </x:c>
      <x:c r="P94" s="6" t="n">
        <x:v>0.1</x:v>
      </x:c>
      <x:c r="Q94" s="7" t="n">
        <x:v>36111.91</x:v>
      </x:c>
      <x:c r="R94" s="7" t="n">
        <x:v>29194.5</x:v>
      </x:c>
      <x:c r="S94" s="7" t="n">
        <x:v>6917.41</x:v>
      </x:c>
      <x:c r="T94" t="str">
        <x:v>Paid</x:v>
      </x:c>
      <x:c r="U94" t="str">
        <x:v>Completed</x:v>
      </x:c>
      <x:c r="V94" s="6" t="n">
        <x:f>IF(ISBLANK(P94),IF(AND(ISNUMBER(N94),N94&gt;0,ISNUMBER(O94),O94&gt;=0,ISNUMBER(Q94),Q94&gt;=0,ISNUMBER(R94),R94&gt;=0,ISNUMBER(S94)),0,""),P94)</x:f>
        <x:v>0.1</x:v>
      </x:c>
      <x:c r="W94" s="7" t="n">
        <x:f>IF(ISBLANK(V94),"",N94*O94*(1-V94))</x:f>
        <x:v>36111.906</x:v>
      </x:c>
      <x:c r="X94" s="7" t="n">
        <x:f>IF(OR(ISBLANK(W94),ISBLANK(R94)),"",W94-R94)</x:f>
        <x:v>6917.406000000003</x:v>
      </x:c>
      <x:c r="Y94" s="8" t="n">
        <x:f>IF(OR(ISBLANK(W94),W94=0),"",X94/W94)</x:f>
        <x:v>0.1915547188232048</x:v>
      </x:c>
      <x:c r="Z94" s="9" t="n">
        <x:f>IF(OR(ISBLANK(B94),ISBLANK(C94)),"",C94-B94)</x:f>
        <x:v>3</x:v>
      </x:c>
      <x:c r="AA94" t="str">
        <x:f>IF(ISBLANK(B94),"",TEXT(B94,"mmm"))</x:f>
        <x:v>Jan</x:v>
      </x:c>
      <x:c r="AB94" s="9" t="n">
        <x:f>IF(ISBLANK(B94),"",YEAR(B94))</x:f>
        <x:v>2025</x:v>
      </x:c>
      <x:c r="AC94" s="10" t="str"/>
      <x:c r="AD94" t="str">
        <x:f>IF(AND(U94="Completed",T94="Paid",ISERROR(SEARCH("INVALID",AC94)),ISERROR(SEARCH("REVIEW",AC94))),"Include","Exclude")</x:f>
        <x:v>Include</x:v>
      </x:c>
      <x:c r="AE94" t="str">
        <x:f>IF(T94="Refunded","Refunded","")</x:f>
      </x:c>
    </x:row>
    <x:row r="95">
      <x:c r="A95" t="str">
        <x:v>ORD-2024-10094</x:v>
      </x:c>
      <x:c r="B95" s="5" t="n">
        <x:v>45298</x:v>
      </x:c>
      <x:c r="C95" s="5" t="n">
        <x:v>45304</x:v>
      </x:c>
      <x:c r="D95" t="str">
        <x:v>CUST-6106</x:v>
      </x:c>
      <x:c r="E95" t="str">
        <x:v>Rohan Mehta</x:v>
      </x:c>
      <x:c r="F95" t="str">
        <x:v>Corporate</x:v>
      </x:c>
      <x:c r="G95" t="str">
        <x:v>North</x:v>
      </x:c>
      <x:c r="H95" t="str">
        <x:v>Uttar Pradesh</x:v>
      </x:c>
      <x:c r="I95" t="str">
        <x:v>Noida</x:v>
      </x:c>
      <x:c r="J95" t="str">
        <x:v>Office Supplies</x:v>
      </x:c>
      <x:c r="K95" t="str">
        <x:v>Binders</x:v>
      </x:c>
      <x:c r="L95" t="str">
        <x:v>Eco Binders 780</x:v>
      </x:c>
      <x:c r="M95" t="str">
        <x:v>Standard Class</x:v>
      </x:c>
      <x:c r="N95" t="n">
        <x:v>7</x:v>
      </x:c>
      <x:c r="O95" s="7" t="n">
        <x:v>2788.97</x:v>
      </x:c>
      <x:c r="P95" s="6" t="n">
        <x:v>-0.09</x:v>
      </x:c>
      <x:c r="Q95" s="7" t="n">
        <x:v>19522.79</x:v>
      </x:c>
      <x:c r="R95" s="7" t="n">
        <x:v>12455.78</x:v>
      </x:c>
      <x:c r="S95" s="7" t="n">
        <x:v>7067.01</x:v>
      </x:c>
      <x:c r="T95" t="str">
        <x:v>Paid</x:v>
      </x:c>
      <x:c r="U95" t="str">
        <x:v>Completed</x:v>
      </x:c>
      <x:c r="V95" s="6" t="n">
        <x:f>IF(ISBLANK(P95),IF(AND(ISNUMBER(N95),N95&gt;0,ISNUMBER(O95),O95&gt;=0,ISNUMBER(Q95),Q95&gt;=0,ISNUMBER(R95),R95&gt;=0,ISNUMBER(S95)),0,""),P95)</x:f>
        <x:v>-0.09</x:v>
      </x:c>
      <x:c r="W95" s="7" t="n">
        <x:f>IF(ISBLANK(V95),"",N95*O95*(1-V95))</x:f>
        <x:v>21279.841099999998</x:v>
      </x:c>
      <x:c r="X95" s="7" t="n">
        <x:f>IF(OR(ISBLANK(W95),ISBLANK(R95)),"",W95-R95)</x:f>
        <x:v>8824.061099999997</x:v>
      </x:c>
      <x:c r="Y95" s="8" t="n">
        <x:f>IF(OR(ISBLANK(W95),W95=0),"",X95/W95)</x:f>
        <x:v>0.41466762174272054</x:v>
      </x:c>
      <x:c r="Z95" s="9" t="n">
        <x:f>IF(OR(ISBLANK(B95),ISBLANK(C95)),"",C95-B95)</x:f>
        <x:v>6</x:v>
      </x:c>
      <x:c r="AA95" t="str">
        <x:f>IF(ISBLANK(B95),"",TEXT(B95,"mmm"))</x:f>
        <x:v>Jan</x:v>
      </x:c>
      <x:c r="AB95" s="9" t="n">
        <x:f>IF(ISBLANK(B95),"",YEAR(B95))</x:f>
        <x:v>2024</x:v>
      </x:c>
      <x:c r="AC95" s="10" t="str">
        <x:v>INVALID: Negative discount</x:v>
      </x:c>
      <x:c r="AD95" t="str">
        <x:f>IF(AND(U95="Completed",T95="Paid",ISERROR(SEARCH("INVALID",AC95)),ISERROR(SEARCH("REVIEW",AC95))),"Include","Exclude")</x:f>
        <x:v>Exclude</x:v>
      </x:c>
      <x:c r="AE95" t="str">
        <x:f>IF(T95="Refunded","Refunded","")</x:f>
      </x:c>
    </x:row>
    <x:row r="96">
      <x:c r="A96" t="str">
        <x:v>ORD-2024-10095</x:v>
      </x:c>
      <x:c r="B96" s="5" t="n">
        <x:v>45541</x:v>
      </x:c>
      <x:c r="C96" s="5" t="n">
        <x:v>45544</x:v>
      </x:c>
      <x:c r="D96" t="str">
        <x:v>CUST-1926</x:v>
      </x:c>
      <x:c r="E96" t="str">
        <x:v>Diya Patel</x:v>
      </x:c>
      <x:c r="F96" t="str">
        <x:v>Consumer</x:v>
      </x:c>
      <x:c r="G96" t="str">
        <x:v>North</x:v>
      </x:c>
      <x:c r="H96" t="str">
        <x:v>Haryana</x:v>
      </x:c>
      <x:c r="I96" t="str">
        <x:v>Gurugram</x:v>
      </x:c>
      <x:c r="J96" t="str">
        <x:v>Technology</x:v>
      </x:c>
      <x:c r="K96" t="str">
        <x:v>Phones</x:v>
      </x:c>
      <x:c r="L96" t="str">
        <x:v>Elite Phones 723</x:v>
      </x:c>
      <x:c r="M96" t="str">
        <x:v>Second Class</x:v>
      </x:c>
      <x:c r="N96" t="n">
        <x:v>7</x:v>
      </x:c>
      <x:c r="O96" s="7" t="n">
        <x:v>3781.53</x:v>
      </x:c>
      <x:c r="P96" s="6" t="n">
        <x:v>0</x:v>
      </x:c>
      <x:c r="Q96" s="7" t="n">
        <x:v>26470.71</x:v>
      </x:c>
      <x:c r="R96" s="7" t="n">
        <x:v>21367.6</x:v>
      </x:c>
      <x:c r="S96" s="7" t="n">
        <x:v>5103.11</x:v>
      </x:c>
      <x:c r="T96" t="str">
        <x:v>Pending</x:v>
      </x:c>
      <x:c r="U96" t="str">
        <x:v>Cancelled</x:v>
      </x:c>
      <x:c r="V96" s="6" t="n">
        <x:f>IF(ISBLANK(P96),IF(AND(ISNUMBER(N96),N96&gt;0,ISNUMBER(O96),O96&gt;=0,ISNUMBER(Q96),Q96&gt;=0,ISNUMBER(R96),R96&gt;=0,ISNUMBER(S96)),0,""),P96)</x:f>
        <x:v>0</x:v>
      </x:c>
      <x:c r="W96" s="7" t="n">
        <x:f>IF(ISBLANK(V96),"",N96*O96*(1-V96))</x:f>
        <x:v>26470.710000000003</x:v>
      </x:c>
      <x:c r="X96" s="7" t="n">
        <x:f>IF(OR(ISBLANK(W96),ISBLANK(R96)),"",W96-R96)</x:f>
        <x:v>5103.110000000004</x:v>
      </x:c>
      <x:c r="Y96" s="8" t="n">
        <x:f>IF(OR(ISBLANK(W96),W96=0),"",X96/W96)</x:f>
        <x:v>0.19278326875251944</x:v>
      </x:c>
      <x:c r="Z96" s="9" t="n">
        <x:f>IF(OR(ISBLANK(B96),ISBLANK(C96)),"",C96-B96)</x:f>
        <x:v>3</x:v>
      </x:c>
      <x:c r="AA96" t="str">
        <x:f>IF(ISBLANK(B96),"",TEXT(B96,"mmm"))</x:f>
        <x:v>Sep</x:v>
      </x:c>
      <x:c r="AB96" s="9" t="n">
        <x:f>IF(ISBLANK(B96),"",YEAR(B96))</x:f>
        <x:v>2024</x:v>
      </x:c>
      <x:c r="AC96" s="10" t="str">
        <x:v>EXCLUDE: Cancelled order</x:v>
      </x:c>
      <x:c r="AD96" t="str">
        <x:f>IF(AND(U96="Completed",T96="Paid",ISERROR(SEARCH("INVALID",AC96)),ISERROR(SEARCH("REVIEW",AC96))),"Include","Exclude")</x:f>
        <x:v>Exclude</x:v>
      </x:c>
      <x:c r="AE96" t="str">
        <x:f>IF(T96="Refunded","Refunded","")</x:f>
      </x:c>
    </x:row>
    <x:row r="97">
      <x:c r="A97" t="str">
        <x:v>ORD-2025-10096</x:v>
      </x:c>
      <x:c r="B97" s="5" t="n">
        <x:v>45905</x:v>
      </x:c>
      <x:c r="C97" s="5" t="n">
        <x:v>45910</x:v>
      </x:c>
      <x:c r="D97" t="str">
        <x:v>CUST-2687</x:v>
      </x:c>
      <x:c r="E97" t="str">
        <x:v>Sneha Kapoor</x:v>
      </x:c>
      <x:c r="F97" t="str">
        <x:v>Corporate</x:v>
      </x:c>
      <x:c r="G97" t="str">
        <x:v>West</x:v>
      </x:c>
      <x:c r="H97" t="str">
        <x:v>Goa</x:v>
      </x:c>
      <x:c r="I97" t="str">
        <x:v>Panaji</x:v>
      </x:c>
      <x:c r="J97" t="str">
        <x:v>Furniture</x:v>
      </x:c>
      <x:c r="K97" t="str">
        <x:v>Bookcases</x:v>
      </x:c>
      <x:c r="L97" t="str">
        <x:v>Classic Bookcases 988</x:v>
      </x:c>
      <x:c r="M97" t="str">
        <x:v>Same Day</x:v>
      </x:c>
      <x:c r="N97" t="n">
        <x:v>6</x:v>
      </x:c>
      <x:c r="O97" s="7" t="n">
        <x:v>1754.13</x:v>
      </x:c>
      <x:c r="P97" s="6" t="n">
        <x:v>0</x:v>
      </x:c>
      <x:c r="Q97" s="7" t="n">
        <x:v>10524.78</x:v>
      </x:c>
      <x:c r="R97" s="7" t="n">
        <x:v>8841.05</x:v>
      </x:c>
      <x:c r="S97" s="7" t="n">
        <x:v>1683.73</x:v>
      </x:c>
      <x:c r="T97" t="str">
        <x:v>Paid</x:v>
      </x:c>
      <x:c r="U97" t="str">
        <x:v>Completed</x:v>
      </x:c>
      <x:c r="V97" s="6" t="n">
        <x:f>IF(ISBLANK(P97),IF(AND(ISNUMBER(N97),N97&gt;0,ISNUMBER(O97),O97&gt;=0,ISNUMBER(Q97),Q97&gt;=0,ISNUMBER(R97),R97&gt;=0,ISNUMBER(S97)),0,""),P97)</x:f>
        <x:v>0</x:v>
      </x:c>
      <x:c r="W97" s="7" t="n">
        <x:f>IF(ISBLANK(V97),"",N97*O97*(1-V97))</x:f>
        <x:v>10524.78</x:v>
      </x:c>
      <x:c r="X97" s="7" t="n">
        <x:f>IF(OR(ISBLANK(W97),ISBLANK(R97)),"",W97-R97)</x:f>
        <x:v>1683.7300000000014</x:v>
      </x:c>
      <x:c r="Y97" s="8" t="n">
        <x:f>IF(OR(ISBLANK(W97),W97=0),"",X97/W97)</x:f>
        <x:v>0.15997769074507984</x:v>
      </x:c>
      <x:c r="Z97" s="9" t="n">
        <x:f>IF(OR(ISBLANK(B97),ISBLANK(C97)),"",C97-B97)</x:f>
        <x:v>5</x:v>
      </x:c>
      <x:c r="AA97" t="str">
        <x:f>IF(ISBLANK(B97),"",TEXT(B97,"mmm"))</x:f>
        <x:v>Sep</x:v>
      </x:c>
      <x:c r="AB97" s="9" t="n">
        <x:f>IF(ISBLANK(B97),"",YEAR(B97))</x:f>
        <x:v>2025</x:v>
      </x:c>
      <x:c r="AC97" s="10" t="str"/>
      <x:c r="AD97" t="str">
        <x:f>IF(AND(U97="Completed",T97="Paid",ISERROR(SEARCH("INVALID",AC97)),ISERROR(SEARCH("REVIEW",AC97))),"Include","Exclude")</x:f>
        <x:v>Include</x:v>
      </x:c>
      <x:c r="AE97" t="str">
        <x:f>IF(T97="Refunded","Refunded","")</x:f>
      </x:c>
    </x:row>
    <x:row r="98">
      <x:c r="A98" t="str">
        <x:v>ORD-2024-10097</x:v>
      </x:c>
      <x:c r="B98" s="5" t="n">
        <x:v>45448</x:v>
      </x:c>
      <x:c r="C98" s="5" t="n">
        <x:v>45450</x:v>
      </x:c>
      <x:c r="D98" t="str">
        <x:v>CUST-7283</x:v>
      </x:c>
      <x:c r="E98" t="str">
        <x:v>Rahul Verma</x:v>
      </x:c>
      <x:c r="F98" t="str">
        <x:v>Home Office</x:v>
      </x:c>
      <x:c r="G98" t="str">
        <x:v>East</x:v>
      </x:c>
      <x:c r="H98" t="str">
        <x:v>Odisha</x:v>
      </x:c>
      <x:c r="I98" t="str">
        <x:v>Bhubaneswar</x:v>
      </x:c>
      <x:c r="J98" t="str">
        <x:v>Technology</x:v>
      </x:c>
      <x:c r="K98" t="str">
        <x:v>Copiers</x:v>
      </x:c>
      <x:c r="L98" t="str">
        <x:v>Smart Copiers 547</x:v>
      </x:c>
      <x:c r="M98" t="str">
        <x:v>Second Class</x:v>
      </x:c>
      <x:c r="N98" t="n">
        <x:v>2</x:v>
      </x:c>
      <x:c r="O98" s="7" t="n">
        <x:v>2259.24</x:v>
      </x:c>
      <x:c r="P98" s="6" t="n">
        <x:v>0.15</x:v>
      </x:c>
      <x:c r="Q98" s="7" t="n">
        <x:v>3840.71</x:v>
      </x:c>
      <x:c r="R98" s="7" t="n">
        <x:v>2516.29</x:v>
      </x:c>
      <x:c r="S98" s="7" t="n">
        <x:v>1324.42</x:v>
      </x:c>
      <x:c r="T98" t="str">
        <x:v>Paid</x:v>
      </x:c>
      <x:c r="U98" t="str">
        <x:v>Completed</x:v>
      </x:c>
      <x:c r="V98" s="6" t="n">
        <x:f>IF(ISBLANK(P98),IF(AND(ISNUMBER(N98),N98&gt;0,ISNUMBER(O98),O98&gt;=0,ISNUMBER(Q98),Q98&gt;=0,ISNUMBER(R98),R98&gt;=0,ISNUMBER(S98)),0,""),P98)</x:f>
        <x:v>0.15</x:v>
      </x:c>
      <x:c r="W98" s="7" t="n">
        <x:f>IF(ISBLANK(V98),"",N98*O98*(1-V98))</x:f>
        <x:v>3840.7079999999996</x:v>
      </x:c>
      <x:c r="X98" s="7" t="n">
        <x:f>IF(OR(ISBLANK(W98),ISBLANK(R98)),"",W98-R98)</x:f>
        <x:v>1324.4179999999997</x:v>
      </x:c>
      <x:c r="Y98" s="8" t="n">
        <x:f>IF(OR(ISBLANK(W98),W98=0),"",X98/W98)</x:f>
        <x:v>0.3448369415222401</x:v>
      </x:c>
      <x:c r="Z98" s="9" t="n">
        <x:f>IF(OR(ISBLANK(B98),ISBLANK(C98)),"",C98-B98)</x:f>
        <x:v>2</x:v>
      </x:c>
      <x:c r="AA98" t="str">
        <x:f>IF(ISBLANK(B98),"",TEXT(B98,"mmm"))</x:f>
        <x:v>Jun</x:v>
      </x:c>
      <x:c r="AB98" s="9" t="n">
        <x:f>IF(ISBLANK(B98),"",YEAR(B98))</x:f>
        <x:v>2024</x:v>
      </x:c>
      <x:c r="AC98" s="10" t="str"/>
      <x:c r="AD98" t="str">
        <x:f>IF(AND(U98="Completed",T98="Paid",ISERROR(SEARCH("INVALID",AC98)),ISERROR(SEARCH("REVIEW",AC98))),"Include","Exclude")</x:f>
        <x:v>Include</x:v>
      </x:c>
      <x:c r="AE98" t="str">
        <x:f>IF(T98="Refunded","Refunded","")</x:f>
      </x:c>
    </x:row>
    <x:row r="99">
      <x:c r="A99" t="str">
        <x:v>ORD-2025-10098</x:v>
      </x:c>
      <x:c r="B99" s="5" t="n">
        <x:v>45877</x:v>
      </x:c>
      <x:c r="C99" s="5" t="n">
        <x:v>45880</x:v>
      </x:c>
      <x:c r="D99" t="str">
        <x:v>CUST-8111</x:v>
      </x:c>
      <x:c r="E99" t="str">
        <x:v>Diya Patel</x:v>
      </x:c>
      <x:c r="F99" t="str">
        <x:v>Small Business</x:v>
      </x:c>
      <x:c r="G99" t="str">
        <x:v>West</x:v>
      </x:c>
      <x:c r="H99" t="str">
        <x:v>Gujarat</x:v>
      </x:c>
      <x:c r="I99" t="str">
        <x:v>Ahmedabad</x:v>
      </x:c>
      <x:c r="J99" t="str">
        <x:v>Office Supplies</x:v>
      </x:c>
      <x:c r="K99" t="str">
        <x:v>Storage</x:v>
      </x:c>
      <x:c r="L99" t="str">
        <x:v>Basic Storage 656</x:v>
      </x:c>
      <x:c r="M99" t="str">
        <x:v>Same Day</x:v>
      </x:c>
      <x:c r="N99" t="n">
        <x:v>5</x:v>
      </x:c>
      <x:c r="O99" s="7" t="n">
        <x:v>3602.36</x:v>
      </x:c>
      <x:c r="P99" s="6" t="n">
        <x:v>0.2</x:v>
      </x:c>
      <x:c r="Q99" s="7" t="n">
        <x:v>14409.44</x:v>
      </x:c>
      <x:c r="R99" s="7" t="n">
        <x:v>8809.97</x:v>
      </x:c>
      <x:c r="S99" s="7" t="n">
        <x:v>5599.47</x:v>
      </x:c>
      <x:c r="T99" t="str">
        <x:v>Pending</x:v>
      </x:c>
      <x:c r="U99" t="str">
        <x:v>Returned</x:v>
      </x:c>
      <x:c r="V99" s="6" t="n">
        <x:f>IF(ISBLANK(P99),IF(AND(ISNUMBER(N99),N99&gt;0,ISNUMBER(O99),O99&gt;=0,ISNUMBER(Q99),Q99&gt;=0,ISNUMBER(R99),R99&gt;=0,ISNUMBER(S99)),0,""),P99)</x:f>
        <x:v>0.2</x:v>
      </x:c>
      <x:c r="W99" s="7" t="n">
        <x:f>IF(ISBLANK(V99),"",N99*O99*(1-V99))</x:f>
        <x:v>14409.44</x:v>
      </x:c>
      <x:c r="X99" s="7" t="n">
        <x:f>IF(OR(ISBLANK(W99),ISBLANK(R99)),"",W99-R99)</x:f>
        <x:v>5599.470000000001</x:v>
      </x:c>
      <x:c r="Y99" s="8" t="n">
        <x:f>IF(OR(ISBLANK(W99),W99=0),"",X99/W99)</x:f>
        <x:v>0.3885973361907195</x:v>
      </x:c>
      <x:c r="Z99" s="9" t="n">
        <x:f>IF(OR(ISBLANK(B99),ISBLANK(C99)),"",C99-B99)</x:f>
        <x:v>3</x:v>
      </x:c>
      <x:c r="AA99" t="str">
        <x:f>IF(ISBLANK(B99),"",TEXT(B99,"mmm"))</x:f>
        <x:v>Aug</x:v>
      </x:c>
      <x:c r="AB99" s="9" t="n">
        <x:f>IF(ISBLANK(B99),"",YEAR(B99))</x:f>
        <x:v>2025</x:v>
      </x:c>
      <x:c r="AC99" s="10" t="str"/>
      <x:c r="AD99" t="str">
        <x:f>IF(AND(U99="Completed",T99="Paid",ISERROR(SEARCH("INVALID",AC99)),ISERROR(SEARCH("REVIEW",AC99))),"Include","Exclude")</x:f>
        <x:v>Exclude</x:v>
      </x:c>
      <x:c r="AE99" t="str">
        <x:f>IF(T99="Refunded","Refunded","")</x:f>
      </x:c>
    </x:row>
    <x:row r="100">
      <x:c r="A100" t="str">
        <x:v>ORD-2024-10099</x:v>
      </x:c>
      <x:c r="B100" s="5" t="n">
        <x:v>45317</x:v>
      </x:c>
      <x:c r="C100" s="5" t="n">
        <x:v>45323</x:v>
      </x:c>
      <x:c r="D100" t="str">
        <x:v>CUST-5434</x:v>
      </x:c>
      <x:c r="E100" t="str">
        <x:v>Rohan Mehta</x:v>
      </x:c>
      <x:c r="F100" t="str">
        <x:v>Home Office</x:v>
      </x:c>
      <x:c r="G100" t="str">
        <x:v>South</x:v>
      </x:c>
      <x:c r="H100" t="str">
        <x:v>Kerala</x:v>
      </x:c>
      <x:c r="I100" t="str">
        <x:v>Kochi</x:v>
      </x:c>
      <x:c r="J100" t="str">
        <x:v>Technology</x:v>
      </x:c>
      <x:c r="K100" t="str">
        <x:v>Copiers</x:v>
      </x:c>
      <x:c r="L100" t="str">
        <x:v>Elite Copiers 785</x:v>
      </x:c>
      <x:c r="M100" t="str">
        <x:v>Unknown</x:v>
      </x:c>
      <x:c r="N100" t="n">
        <x:v>8</x:v>
      </x:c>
      <x:c r="O100" s="7" t="n">
        <x:v>2108.93</x:v>
      </x:c>
      <x:c r="P100" s="6" t="n">
        <x:v>0.1</x:v>
      </x:c>
      <x:c r="Q100" s="7" t="n">
        <x:v>15184.3</x:v>
      </x:c>
      <x:c r="R100" s="7" t="n">
        <x:v>11270.74</x:v>
      </x:c>
      <x:c r="S100" s="7" t="n">
        <x:v>3913.56</x:v>
      </x:c>
      <x:c r="T100" t="str">
        <x:v>Paid</x:v>
      </x:c>
      <x:c r="U100" t="str">
        <x:v>Completed</x:v>
      </x:c>
      <x:c r="V100" s="6" t="n">
        <x:f>IF(ISBLANK(P100),IF(AND(ISNUMBER(N100),N100&gt;0,ISNUMBER(O100),O100&gt;=0,ISNUMBER(Q100),Q100&gt;=0,ISNUMBER(R100),R100&gt;=0,ISNUMBER(S100)),0,""),P100)</x:f>
        <x:v>0.1</x:v>
      </x:c>
      <x:c r="W100" s="7" t="n">
        <x:f>IF(ISBLANK(V100),"",N100*O100*(1-V100))</x:f>
        <x:v>15184.295999999998</x:v>
      </x:c>
      <x:c r="X100" s="7" t="n">
        <x:f>IF(OR(ISBLANK(W100),ISBLANK(R100)),"",W100-R100)</x:f>
        <x:v>3913.5559999999987</x:v>
      </x:c>
      <x:c r="Y100" s="8" t="n">
        <x:f>IF(OR(ISBLANK(W100),W100=0),"",X100/W100)</x:f>
        <x:v>0.257737072564971</x:v>
      </x:c>
      <x:c r="Z100" s="9" t="n">
        <x:f>IF(OR(ISBLANK(B100),ISBLANK(C100)),"",C100-B100)</x:f>
        <x:v>6</x:v>
      </x:c>
      <x:c r="AA100" t="str">
        <x:f>IF(ISBLANK(B100),"",TEXT(B100,"mmm"))</x:f>
        <x:v>Jan</x:v>
      </x:c>
      <x:c r="AB100" s="9" t="n">
        <x:f>IF(ISBLANK(B100),"",YEAR(B100))</x:f>
        <x:v>2024</x:v>
      </x:c>
      <x:c r="AC100" s="10" t="str">
        <x:v>FLAG: Missing ship mode filled as Unknown</x:v>
      </x:c>
      <x:c r="AD100" t="str">
        <x:f>IF(AND(U100="Completed",T100="Paid",ISERROR(SEARCH("INVALID",AC100)),ISERROR(SEARCH("REVIEW",AC100))),"Include","Exclude")</x:f>
        <x:v>Include</x:v>
      </x:c>
      <x:c r="AE100" t="str">
        <x:f>IF(T100="Refunded","Refunded","")</x:f>
      </x:c>
    </x:row>
    <x:row r="101">
      <x:c r="A101" t="str">
        <x:v>ORD-2025-10100</x:v>
      </x:c>
      <x:c r="B101" s="5" t="n">
        <x:v>45668</x:v>
      </x:c>
      <x:c r="C101" s="5" t="n">
        <x:v>45668</x:v>
      </x:c>
      <x:c r="D101" t="str">
        <x:v>CUST-3865</x:v>
      </x:c>
      <x:c r="E101" t="str">
        <x:v>Aditi Sen</x:v>
      </x:c>
      <x:c r="F101" t="str">
        <x:v>Small Business</x:v>
      </x:c>
      <x:c r="G101" t="str">
        <x:v>West</x:v>
      </x:c>
      <x:c r="H101" t="str">
        <x:v>Rajasthan</x:v>
      </x:c>
      <x:c r="I101" t="str">
        <x:v>Udaipur</x:v>
      </x:c>
      <x:c r="J101" t="str">
        <x:v>Technology</x:v>
      </x:c>
      <x:c r="K101" t="str">
        <x:v>Accessories</x:v>
      </x:c>
      <x:c r="L101" t="str">
        <x:v>Smart Accessories 542</x:v>
      </x:c>
      <x:c r="M101" t="str">
        <x:v>Same Day</x:v>
      </x:c>
      <x:c r="N101" t="n">
        <x:v>3</x:v>
      </x:c>
      <x:c r="O101" s="7" t="n">
        <x:v>2165.29</x:v>
      </x:c>
      <x:c r="P101" s="6" t="n">
        <x:v>0</x:v>
      </x:c>
      <x:c r="Q101" s="7" t="n">
        <x:v>6495.87</x:v>
      </x:c>
      <x:c r="R101" s="7" t="n">
        <x:v>4700.89</x:v>
      </x:c>
      <x:c r="S101" s="7" t="n">
        <x:v>1794.98</x:v>
      </x:c>
      <x:c r="T101" t="str">
        <x:v>Paid</x:v>
      </x:c>
      <x:c r="U101" t="str">
        <x:v>Completed</x:v>
      </x:c>
      <x:c r="V101" s="6" t="n">
        <x:f>IF(ISBLANK(P101),IF(AND(ISNUMBER(N101),N101&gt;0,ISNUMBER(O101),O101&gt;=0,ISNUMBER(Q101),Q101&gt;=0,ISNUMBER(R101),R101&gt;=0,ISNUMBER(S101)),0,""),P101)</x:f>
        <x:v>0</x:v>
      </x:c>
      <x:c r="W101" s="7" t="n">
        <x:f>IF(ISBLANK(V101),"",N101*O101*(1-V101))</x:f>
        <x:v>6495.87</x:v>
      </x:c>
      <x:c r="X101" s="7" t="n">
        <x:f>IF(OR(ISBLANK(W101),ISBLANK(R101)),"",W101-R101)</x:f>
        <x:v>1794.9799999999996</x:v>
      </x:c>
      <x:c r="Y101" s="8" t="n">
        <x:f>IF(OR(ISBLANK(W101),W101=0),"",X101/W101)</x:f>
        <x:v>0.27632634273777024</x:v>
      </x:c>
      <x:c r="Z101" s="9" t="n">
        <x:f>IF(OR(ISBLANK(B101),ISBLANK(C101)),"",C101-B101)</x:f>
        <x:v>0</x:v>
      </x:c>
      <x:c r="AA101" t="str">
        <x:f>IF(ISBLANK(B101),"",TEXT(B101,"mmm"))</x:f>
        <x:v>Jan</x:v>
      </x:c>
      <x:c r="AB101" s="9" t="n">
        <x:f>IF(ISBLANK(B101),"",YEAR(B101))</x:f>
        <x:v>2025</x:v>
      </x:c>
      <x:c r="AC101" s="10" t="str"/>
      <x:c r="AD101" t="str">
        <x:f>IF(AND(U101="Completed",T101="Paid",ISERROR(SEARCH("INVALID",AC101)),ISERROR(SEARCH("REVIEW",AC101))),"Include","Exclude")</x:f>
        <x:v>Include</x:v>
      </x:c>
      <x:c r="AE101" t="str">
        <x:f>IF(T101="Refunded","Refunded","")</x:f>
      </x:c>
    </x:row>
    <x:row r="102">
      <x:c r="A102" t="str">
        <x:v>ORD-2025-10101</x:v>
      </x:c>
      <x:c r="B102" s="5" t="n">
        <x:v>45912</x:v>
      </x:c>
      <x:c r="C102" s="5" t="n">
        <x:v>45918</x:v>
      </x:c>
      <x:c r="D102" t="str">
        <x:v>CUST-6015</x:v>
      </x:c>
      <x:c r="E102" t="str">
        <x:v>Aarav Sharma</x:v>
      </x:c>
      <x:c r="F102" t="str">
        <x:v>Home Office</x:v>
      </x:c>
      <x:c r="G102" t="str">
        <x:v>South</x:v>
      </x:c>
      <x:c r="H102" t="str">
        <x:v>Kerala</x:v>
      </x:c>
      <x:c r="I102" t="str">
        <x:v>Kochi</x:v>
      </x:c>
      <x:c r="J102" t="str">
        <x:v>Office Supplies</x:v>
      </x:c>
      <x:c r="K102" t="str">
        <x:v>Storage</x:v>
      </x:c>
      <x:c r="L102" t="str">
        <x:v>Eco Storage 936</x:v>
      </x:c>
      <x:c r="M102" t="str">
        <x:v>Standard Class</x:v>
      </x:c>
      <x:c r="N102" t="n">
        <x:v>6</x:v>
      </x:c>
      <x:c r="O102" s="7" t="n">
        <x:v>1673.8</x:v>
      </x:c>
      <x:c r="P102" s="6" t="n">
        <x:v>0.05</x:v>
      </x:c>
      <x:c r="Q102" s="7" t="n">
        <x:v>9540.66</x:v>
      </x:c>
      <x:c r="R102" s="7" t="n">
        <x:v>5561.49</x:v>
      </x:c>
      <x:c r="S102" s="7" t="n">
        <x:v>3979.17</x:v>
      </x:c>
      <x:c r="T102" t="str">
        <x:v>Paid</x:v>
      </x:c>
      <x:c r="U102" t="str">
        <x:v>Completed</x:v>
      </x:c>
      <x:c r="V102" s="6" t="n">
        <x:f>IF(ISBLANK(P102),IF(AND(ISNUMBER(N102),N102&gt;0,ISNUMBER(O102),O102&gt;=0,ISNUMBER(Q102),Q102&gt;=0,ISNUMBER(R102),R102&gt;=0,ISNUMBER(S102)),0,""),P102)</x:f>
        <x:v>0.05</x:v>
      </x:c>
      <x:c r="W102" s="7" t="n">
        <x:f>IF(ISBLANK(V102),"",N102*O102*(1-V102))</x:f>
        <x:v>9540.659999999998</x:v>
      </x:c>
      <x:c r="X102" s="7" t="n">
        <x:f>IF(OR(ISBLANK(W102),ISBLANK(R102)),"",W102-R102)</x:f>
        <x:v>3979.1699999999983</x:v>
      </x:c>
      <x:c r="Y102" s="8" t="n">
        <x:f>IF(OR(ISBLANK(W102),W102=0),"",X102/W102)</x:f>
        <x:v>0.4170749193452024</x:v>
      </x:c>
      <x:c r="Z102" s="9" t="n">
        <x:f>IF(OR(ISBLANK(B102),ISBLANK(C102)),"",C102-B102)</x:f>
        <x:v>6</x:v>
      </x:c>
      <x:c r="AA102" t="str">
        <x:f>IF(ISBLANK(B102),"",TEXT(B102,"mmm"))</x:f>
        <x:v>Sep</x:v>
      </x:c>
      <x:c r="AB102" s="9" t="n">
        <x:f>IF(ISBLANK(B102),"",YEAR(B102))</x:f>
        <x:v>2025</x:v>
      </x:c>
      <x:c r="AC102" s="10" t="str"/>
      <x:c r="AD102" t="str">
        <x:f>IF(AND(U102="Completed",T102="Paid",ISERROR(SEARCH("INVALID",AC102)),ISERROR(SEARCH("REVIEW",AC102))),"Include","Exclude")</x:f>
        <x:v>Include</x:v>
      </x:c>
      <x:c r="AE102" t="str">
        <x:f>IF(T102="Refunded","Refunded","")</x:f>
      </x:c>
    </x:row>
    <x:row r="103">
      <x:c r="A103" t="str">
        <x:v>ORD-2024-10102</x:v>
      </x:c>
      <x:c r="B103" s="5" t="n">
        <x:v>45465</x:v>
      </x:c>
      <x:c r="C103" s="5" t="n">
        <x:v>45469</x:v>
      </x:c>
      <x:c r="D103" t="str">
        <x:v>CUST-7909</x:v>
      </x:c>
      <x:c r="E103" t="str">
        <x:v>Rohan Mehta</x:v>
      </x:c>
      <x:c r="F103" t="str">
        <x:v>Home Office</x:v>
      </x:c>
      <x:c r="G103" t="str">
        <x:v>East</x:v>
      </x:c>
      <x:c r="H103" t="str">
        <x:v>Bihar</x:v>
      </x:c>
      <x:c r="I103" t="str">
        <x:v>Patna</x:v>
      </x:c>
      <x:c r="J103" t="str">
        <x:v>Furniture</x:v>
      </x:c>
      <x:c r="K103" t="str">
        <x:v>Furnishings</x:v>
      </x:c>
      <x:c r="L103" t="str">
        <x:v>Classic Furnishings 682</x:v>
      </x:c>
      <x:c r="M103" t="str">
        <x:v>First Class</x:v>
      </x:c>
      <x:c r="N103" t="n">
        <x:v>5</x:v>
      </x:c>
      <x:c r="O103" s="7" t="n">
        <x:v>4396.52</x:v>
      </x:c>
      <x:c r="P103" s="6" t="n">
        <x:v>0.25</x:v>
      </x:c>
      <x:c r="Q103" s="7" t="n">
        <x:v>16486.95</x:v>
      </x:c>
      <x:c r="R103" s="7" t="n">
        <x:v>12054.14</x:v>
      </x:c>
      <x:c r="S103" s="7" t="n">
        <x:v>4432.81</x:v>
      </x:c>
      <x:c r="T103" t="str">
        <x:v>Paid</x:v>
      </x:c>
      <x:c r="U103" t="str">
        <x:v>Completed</x:v>
      </x:c>
      <x:c r="V103" s="6" t="n">
        <x:f>IF(ISBLANK(P103),IF(AND(ISNUMBER(N103),N103&gt;0,ISNUMBER(O103),O103&gt;=0,ISNUMBER(Q103),Q103&gt;=0,ISNUMBER(R103),R103&gt;=0,ISNUMBER(S103)),0,""),P103)</x:f>
        <x:v>0.25</x:v>
      </x:c>
      <x:c r="W103" s="7" t="n">
        <x:f>IF(ISBLANK(V103),"",N103*O103*(1-V103))</x:f>
        <x:v>16486.95</x:v>
      </x:c>
      <x:c r="X103" s="7" t="n">
        <x:f>IF(OR(ISBLANK(W103),ISBLANK(R103)),"",W103-R103)</x:f>
        <x:v>4432.810000000001</x:v>
      </x:c>
      <x:c r="Y103" s="8" t="n">
        <x:f>IF(OR(ISBLANK(W103),W103=0),"",X103/W103)</x:f>
        <x:v>0.26886780150361356</x:v>
      </x:c>
      <x:c r="Z103" s="9" t="n">
        <x:f>IF(OR(ISBLANK(B103),ISBLANK(C103)),"",C103-B103)</x:f>
        <x:v>4</x:v>
      </x:c>
      <x:c r="AA103" t="str">
        <x:f>IF(ISBLANK(B103),"",TEXT(B103,"mmm"))</x:f>
        <x:v>Jun</x:v>
      </x:c>
      <x:c r="AB103" s="9" t="n">
        <x:f>IF(ISBLANK(B103),"",YEAR(B103))</x:f>
        <x:v>2024</x:v>
      </x:c>
      <x:c r="AC103" s="10" t="str"/>
      <x:c r="AD103" t="str">
        <x:f>IF(AND(U103="Completed",T103="Paid",ISERROR(SEARCH("INVALID",AC103)),ISERROR(SEARCH("REVIEW",AC103))),"Include","Exclude")</x:f>
        <x:v>Include</x:v>
      </x:c>
      <x:c r="AE103" t="str">
        <x:f>IF(T103="Refunded","Refunded","")</x:f>
      </x:c>
    </x:row>
    <x:row r="104">
      <x:c r="A104" t="str">
        <x:v>ORD-2025-10103</x:v>
      </x:c>
      <x:c r="B104" s="5" t="n">
        <x:v>45850</x:v>
      </x:c>
      <x:c r="C104" s="5" t="n">
        <x:v>45854</x:v>
      </x:c>
      <x:c r="D104" t="str">
        <x:v>CUST-9603</x:v>
      </x:c>
      <x:c r="E104" t="str">
        <x:v>Vikram Iyer</x:v>
      </x:c>
      <x:c r="F104" t="str">
        <x:v>Consumer</x:v>
      </x:c>
      <x:c r="G104" t="str">
        <x:v>South</x:v>
      </x:c>
      <x:c r="H104" t="str">
        <x:v>Karnataka</x:v>
      </x:c>
      <x:c r="I104" t="str">
        <x:v>Bengaluru</x:v>
      </x:c>
      <x:c r="J104" t="str">
        <x:v>Furniture</x:v>
      </x:c>
      <x:c r="K104" t="str">
        <x:v>Chairs</x:v>
      </x:c>
      <x:c r="L104" t="str">
        <x:v>Classic Chairs 604</x:v>
      </x:c>
      <x:c r="M104" t="str">
        <x:v>First Class</x:v>
      </x:c>
      <x:c r="N104" t="n">
        <x:v>4</x:v>
      </x:c>
      <x:c r="O104" s="7" t="n">
        <x:v>2865.71</x:v>
      </x:c>
      <x:c r="P104" s="6" t="n">
        <x:v>0</x:v>
      </x:c>
      <x:c r="Q104" s="7" t="n">
        <x:v>11462.84</x:v>
      </x:c>
      <x:c r="R104" s="7" t="n">
        <x:v>8979.78</x:v>
      </x:c>
      <x:c r="S104" s="7" t="n">
        <x:v>2483.06</x:v>
      </x:c>
      <x:c r="T104" t="str">
        <x:v>Refunded</x:v>
      </x:c>
      <x:c r="U104" t="str">
        <x:v>Cancelled</x:v>
      </x:c>
      <x:c r="V104" s="6" t="n">
        <x:f>IF(ISBLANK(P104),IF(AND(ISNUMBER(N104),N104&gt;0,ISNUMBER(O104),O104&gt;=0,ISNUMBER(Q104),Q104&gt;=0,ISNUMBER(R104),R104&gt;=0,ISNUMBER(S104)),0,""),P104)</x:f>
        <x:v>0</x:v>
      </x:c>
      <x:c r="W104" s="7" t="n">
        <x:f>IF(ISBLANK(V104),"",N104*O104*(1-V104))</x:f>
        <x:v>11462.84</x:v>
      </x:c>
      <x:c r="X104" s="7" t="n">
        <x:f>IF(OR(ISBLANK(W104),ISBLANK(R104)),"",W104-R104)</x:f>
        <x:v>2483.0599999999995</x:v>
      </x:c>
      <x:c r="Y104" s="8" t="n">
        <x:f>IF(OR(ISBLANK(W104),W104=0),"",X104/W104)</x:f>
        <x:v>0.21661822026653077</x:v>
      </x:c>
      <x:c r="Z104" s="9" t="n">
        <x:f>IF(OR(ISBLANK(B104),ISBLANK(C104)),"",C104-B104)</x:f>
        <x:v>4</x:v>
      </x:c>
      <x:c r="AA104" t="str">
        <x:f>IF(ISBLANK(B104),"",TEXT(B104,"mmm"))</x:f>
        <x:v>Jul</x:v>
      </x:c>
      <x:c r="AB104" s="9" t="n">
        <x:f>IF(ISBLANK(B104),"",YEAR(B104))</x:f>
        <x:v>2025</x:v>
      </x:c>
      <x:c r="AC104" s="10" t="str">
        <x:v>EXCLUDE: Cancelled order; REFUND: Summarize separately</x:v>
      </x:c>
      <x:c r="AD104" t="str">
        <x:f>IF(AND(U104="Completed",T104="Paid",ISERROR(SEARCH("INVALID",AC104)),ISERROR(SEARCH("REVIEW",AC104))),"Include","Exclude")</x:f>
        <x:v>Exclude</x:v>
      </x:c>
      <x:c r="AE104" t="str">
        <x:f>IF(T104="Refunded","Refunded","")</x:f>
        <x:v>Refunded</x:v>
      </x:c>
    </x:row>
    <x:row r="105">
      <x:c r="A105" t="str">
        <x:v>ORD-2025-10104</x:v>
      </x:c>
      <x:c r="B105" s="5" t="n">
        <x:v>45779</x:v>
      </x:c>
      <x:c r="C105" s="5" t="n">
        <x:v>45787</x:v>
      </x:c>
      <x:c r="D105" t="str">
        <x:v>CUST-6263</x:v>
      </x:c>
      <x:c r="E105" t="str">
        <x:v>Kabir Singh</x:v>
      </x:c>
      <x:c r="F105" t="str">
        <x:v>Corporate</x:v>
      </x:c>
      <x:c r="G105" t="str">
        <x:v>West</x:v>
      </x:c>
      <x:c r="H105" t="str">
        <x:v>Maharashtra</x:v>
      </x:c>
      <x:c r="I105" t="str">
        <x:v>Mumbai</x:v>
      </x:c>
      <x:c r="J105" t="str">
        <x:v>Furniture</x:v>
      </x:c>
      <x:c r="K105" t="str">
        <x:v>Tables</x:v>
      </x:c>
      <x:c r="L105" t="str">
        <x:v>Prime Tables 377</x:v>
      </x:c>
      <x:c r="M105" t="str">
        <x:v>First Class</x:v>
      </x:c>
      <x:c r="N105" t="n">
        <x:v>4</x:v>
      </x:c>
      <x:c r="O105" s="7" t="n">
        <x:v>2440.34</x:v>
      </x:c>
      <x:c r="P105" s="6" t="n">
        <x:v>0.2</x:v>
      </x:c>
      <x:c r="Q105" s="7" t="n">
        <x:v>7809.09</x:v>
      </x:c>
      <x:c r="R105" s="7" t="n">
        <x:v>6657.75</x:v>
      </x:c>
      <x:c r="S105" s="7" t="n">
        <x:v>1151.34</x:v>
      </x:c>
      <x:c r="T105" t="str">
        <x:v>Paid</x:v>
      </x:c>
      <x:c r="U105" t="str">
        <x:v>Completed</x:v>
      </x:c>
      <x:c r="V105" s="6" t="n">
        <x:f>IF(ISBLANK(P105),IF(AND(ISNUMBER(N105),N105&gt;0,ISNUMBER(O105),O105&gt;=0,ISNUMBER(Q105),Q105&gt;=0,ISNUMBER(R105),R105&gt;=0,ISNUMBER(S105)),0,""),P105)</x:f>
        <x:v>0.2</x:v>
      </x:c>
      <x:c r="W105" s="7" t="n">
        <x:f>IF(ISBLANK(V105),"",N105*O105*(1-V105))</x:f>
        <x:v>7809.088000000001</x:v>
      </x:c>
      <x:c r="X105" s="7" t="n">
        <x:f>IF(OR(ISBLANK(W105),ISBLANK(R105)),"",W105-R105)</x:f>
        <x:v>1151.3380000000006</x:v>
      </x:c>
      <x:c r="Y105" s="8" t="n">
        <x:f>IF(OR(ISBLANK(W105),W105=0),"",X105/W105)</x:f>
        <x:v>0.14743565445798543</x:v>
      </x:c>
      <x:c r="Z105" s="9" t="n">
        <x:f>IF(OR(ISBLANK(B105),ISBLANK(C105)),"",C105-B105)</x:f>
        <x:v>8</x:v>
      </x:c>
      <x:c r="AA105" t="str">
        <x:f>IF(ISBLANK(B105),"",TEXT(B105,"mmm"))</x:f>
        <x:v>May</x:v>
      </x:c>
      <x:c r="AB105" s="9" t="n">
        <x:f>IF(ISBLANK(B105),"",YEAR(B105))</x:f>
        <x:v>2025</x:v>
      </x:c>
      <x:c r="AC105" s="10" t="str"/>
      <x:c r="AD105" t="str">
        <x:f>IF(AND(U105="Completed",T105="Paid",ISERROR(SEARCH("INVALID",AC105)),ISERROR(SEARCH("REVIEW",AC105))),"Include","Exclude")</x:f>
        <x:v>Include</x:v>
      </x:c>
      <x:c r="AE105" t="str">
        <x:f>IF(T105="Refunded","Refunded","")</x:f>
      </x:c>
    </x:row>
    <x:row r="106">
      <x:c r="A106" t="str">
        <x:v>ORD-2025-10105</x:v>
      </x:c>
      <x:c r="B106" s="5" t="n">
        <x:v>45689</x:v>
      </x:c>
      <x:c r="C106" s="5" t="n">
        <x:v>45696</x:v>
      </x:c>
      <x:c r="D106" t="str">
        <x:v>CUST-1576</x:v>
      </x:c>
      <x:c r="E106" t="str">
        <x:v>Ananya Rao</x:v>
      </x:c>
      <x:c r="F106" t="str">
        <x:v>Consumer</x:v>
      </x:c>
      <x:c r="G106" t="str">
        <x:v>South</x:v>
      </x:c>
      <x:c r="H106" t="str">
        <x:v>Karnataka</x:v>
      </x:c>
      <x:c r="I106" t="str">
        <x:v>Bengaluru</x:v>
      </x:c>
      <x:c r="J106" t="str">
        <x:v>Office Supplies</x:v>
      </x:c>
      <x:c r="K106" t="str">
        <x:v>Labels</x:v>
      </x:c>
      <x:c r="L106" t="str">
        <x:v>Prime Labels 807</x:v>
      </x:c>
      <x:c r="M106" t="str">
        <x:v>Same Day</x:v>
      </x:c>
      <x:c r="N106" t="n">
        <x:v>5</x:v>
      </x:c>
      <x:c r="O106" s="7" t="n">
        <x:v>2112.54</x:v>
      </x:c>
      <x:c r="P106" s="6" t="n">
        <x:v>0.25</x:v>
      </x:c>
      <x:c r="Q106" s="7" t="n">
        <x:v>8260.46</x:v>
      </x:c>
      <x:c r="R106" s="7" t="n">
        <x:v>5619.95</x:v>
      </x:c>
      <x:c r="S106" s="7" t="n">
        <x:v>2302.08</x:v>
      </x:c>
      <x:c r="T106" t="str">
        <x:v>Paid</x:v>
      </x:c>
      <x:c r="U106" t="str">
        <x:v>Cancelled</x:v>
      </x:c>
      <x:c r="V106" s="6" t="n">
        <x:f>IF(ISBLANK(P106),IF(AND(ISNUMBER(N106),N106&gt;0,ISNUMBER(O106),O106&gt;=0,ISNUMBER(Q106),Q106&gt;=0,ISNUMBER(R106),R106&gt;=0,ISNUMBER(S106)),0,""),P106)</x:f>
        <x:v>0.25</x:v>
      </x:c>
      <x:c r="W106" s="7" t="n">
        <x:f>IF(ISBLANK(V106),"",N106*O106*(1-V106))</x:f>
        <x:v>7922.025000000001</x:v>
      </x:c>
      <x:c r="X106" s="7" t="n">
        <x:f>IF(OR(ISBLANK(W106),ISBLANK(R106)),"",W106-R106)</x:f>
        <x:v>2302.0750000000007</x:v>
      </x:c>
      <x:c r="Y106" s="8" t="n">
        <x:f>IF(OR(ISBLANK(W106),W106=0),"",X106/W106)</x:f>
        <x:v>0.2905917363300419</x:v>
      </x:c>
      <x:c r="Z106" s="9" t="n">
        <x:f>IF(OR(ISBLANK(B106),ISBLANK(C106)),"",C106-B106)</x:f>
        <x:v>7</x:v>
      </x:c>
      <x:c r="AA106" t="str">
        <x:f>IF(ISBLANK(B106),"",TEXT(B106,"mmm"))</x:f>
        <x:v>Feb</x:v>
      </x:c>
      <x:c r="AB106" s="9" t="n">
        <x:f>IF(ISBLANK(B106),"",YEAR(B106))</x:f>
        <x:v>2025</x:v>
      </x:c>
      <x:c r="AC106" s="10" t="str">
        <x:v>EXCLUDE: Cancelled order</x:v>
      </x:c>
      <x:c r="AD106" t="str">
        <x:f>IF(AND(U106="Completed",T106="Paid",ISERROR(SEARCH("INVALID",AC106)),ISERROR(SEARCH("REVIEW",AC106))),"Include","Exclude")</x:f>
        <x:v>Exclude</x:v>
      </x:c>
      <x:c r="AE106" t="str">
        <x:f>IF(T106="Refunded","Refunded","")</x:f>
      </x:c>
    </x:row>
    <x:row r="107">
      <x:c r="A107" t="str">
        <x:v>ORD-2024-10106</x:v>
      </x:c>
      <x:c r="B107" s="5" t="n">
        <x:v>45467</x:v>
      </x:c>
      <x:c r="C107" s="5" t="n">
        <x:v>45472</x:v>
      </x:c>
      <x:c r="D107" t="str">
        <x:v>CUST-6540</x:v>
      </x:c>
      <x:c r="E107" t="str">
        <x:v>Mira Das</x:v>
      </x:c>
      <x:c r="F107" t="str">
        <x:v>Home Office</x:v>
      </x:c>
      <x:c r="G107" t="str">
        <x:v>East</x:v>
      </x:c>
      <x:c r="H107" t="str">
        <x:v>West Bengal</x:v>
      </x:c>
      <x:c r="I107" t="str">
        <x:v>Kolkata</x:v>
      </x:c>
      <x:c r="J107" t="str">
        <x:v>Furniture</x:v>
      </x:c>
      <x:c r="K107" t="str">
        <x:v>Tables</x:v>
      </x:c>
      <x:c r="L107" t="str">
        <x:v>Eco Tables 575</x:v>
      </x:c>
      <x:c r="M107" t="str">
        <x:v>Second Class</x:v>
      </x:c>
      <x:c r="N107" t="n">
        <x:v>2</x:v>
      </x:c>
      <x:c r="O107" s="7" t="n">
        <x:v>685</x:v>
      </x:c>
      <x:c r="P107" s="6" t="n">
        <x:v>0.1</x:v>
      </x:c>
      <x:c r="Q107" s="7" t="n">
        <x:v>1233</x:v>
      </x:c>
      <x:c r="R107" s="7" t="n">
        <x:v>1006.9</x:v>
      </x:c>
      <x:c r="S107" s="7" t="n">
        <x:v>226.1</x:v>
      </x:c>
      <x:c r="T107" t="str">
        <x:v>Paid</x:v>
      </x:c>
      <x:c r="U107" t="str">
        <x:v>Completed</x:v>
      </x:c>
      <x:c r="V107" s="6" t="n">
        <x:f>IF(ISBLANK(P107),IF(AND(ISNUMBER(N107),N107&gt;0,ISNUMBER(O107),O107&gt;=0,ISNUMBER(Q107),Q107&gt;=0,ISNUMBER(R107),R107&gt;=0,ISNUMBER(S107)),0,""),P107)</x:f>
        <x:v>0.1</x:v>
      </x:c>
      <x:c r="W107" s="7" t="n">
        <x:f>IF(ISBLANK(V107),"",N107*O107*(1-V107))</x:f>
        <x:v>1233</x:v>
      </x:c>
      <x:c r="X107" s="7" t="n">
        <x:f>IF(OR(ISBLANK(W107),ISBLANK(R107)),"",W107-R107)</x:f>
        <x:v>226.10000000000002</x:v>
      </x:c>
      <x:c r="Y107" s="8" t="n">
        <x:f>IF(OR(ISBLANK(W107),W107=0),"",X107/W107)</x:f>
        <x:v>0.18337388483373887</x:v>
      </x:c>
      <x:c r="Z107" s="9" t="n">
        <x:f>IF(OR(ISBLANK(B107),ISBLANK(C107)),"",C107-B107)</x:f>
        <x:v>5</x:v>
      </x:c>
      <x:c r="AA107" t="str">
        <x:f>IF(ISBLANK(B107),"",TEXT(B107,"mmm"))</x:f>
        <x:v>Jun</x:v>
      </x:c>
      <x:c r="AB107" s="9" t="n">
        <x:f>IF(ISBLANK(B107),"",YEAR(B107))</x:f>
        <x:v>2024</x:v>
      </x:c>
      <x:c r="AC107" s="10" t="str"/>
      <x:c r="AD107" t="str">
        <x:f>IF(AND(U107="Completed",T107="Paid",ISERROR(SEARCH("INVALID",AC107)),ISERROR(SEARCH("REVIEW",AC107))),"Include","Exclude")</x:f>
        <x:v>Include</x:v>
      </x:c>
      <x:c r="AE107" t="str">
        <x:f>IF(T107="Refunded","Refunded","")</x:f>
      </x:c>
    </x:row>
    <x:row r="108">
      <x:c r="A108" t="str">
        <x:v>ORD-2024-10107</x:v>
      </x:c>
      <x:c r="B108" s="5" t="n">
        <x:v>45342</x:v>
      </x:c>
      <x:c r="C108" s="5" t="n">
        <x:v>45350</x:v>
      </x:c>
      <x:c r="D108" t="str">
        <x:v>CUST-4008</x:v>
      </x:c>
      <x:c r="E108" t="str">
        <x:v>Arjun Bose</x:v>
      </x:c>
      <x:c r="F108" t="str">
        <x:v>Home Office</x:v>
      </x:c>
      <x:c r="G108" t="str">
        <x:v>East</x:v>
      </x:c>
      <x:c r="H108" t="str">
        <x:v>West Bengal</x:v>
      </x:c>
      <x:c r="I108" t="str">
        <x:v>Kolkata</x:v>
      </x:c>
      <x:c r="J108" t="str">
        <x:v>Office Supplies</x:v>
      </x:c>
      <x:c r="K108" t="str">
        <x:v>Paper</x:v>
      </x:c>
      <x:c r="L108" t="str">
        <x:v>Eco Paper 918</x:v>
      </x:c>
      <x:c r="M108" t="str">
        <x:v>Standard Class</x:v>
      </x:c>
      <x:c r="N108" t="n">
        <x:v>2</x:v>
      </x:c>
      <x:c r="O108" s="7" t="n">
        <x:v>4004.04</x:v>
      </x:c>
      <x:c r="P108" s="6"/>
      <x:c r="Q108" s="7" t="n">
        <x:v>7207.27</x:v>
      </x:c>
      <x:c r="R108" s="7" t="n">
        <x:v>5709.39</x:v>
      </x:c>
      <x:c r="S108" s="7" t="n">
        <x:v>1497.88</x:v>
      </x:c>
      <x:c r="T108" t="str">
        <x:v>Paid</x:v>
      </x:c>
      <x:c r="U108" t="str">
        <x:v>Cancelled</x:v>
      </x:c>
      <x:c r="V108" s="6" t="n">
        <x:f>IF(ISBLANK(P108),IF(AND(ISNUMBER(N108),N108&gt;0,ISNUMBER(O108),O108&gt;=0,ISNUMBER(Q108),Q108&gt;=0,ISNUMBER(R108),R108&gt;=0,ISNUMBER(S108)),0,""),P108)</x:f>
        <x:v>0</x:v>
      </x:c>
      <x:c r="W108" s="7" t="n">
        <x:f>IF(ISBLANK(V108),"",N108*O108*(1-V108))</x:f>
        <x:v>8008.08</x:v>
      </x:c>
      <x:c r="X108" s="7" t="n">
        <x:f>IF(OR(ISBLANK(W108),ISBLANK(R108)),"",W108-R108)</x:f>
        <x:v>2298.6899999999996</x:v>
      </x:c>
      <x:c r="Y108" s="8" t="n">
        <x:f>IF(OR(ISBLANK(W108),W108=0),"",X108/W108)</x:f>
        <x:v>0.28704633320346445</x:v>
      </x:c>
      <x:c r="Z108" s="9" t="n">
        <x:f>IF(OR(ISBLANK(B108),ISBLANK(C108)),"",C108-B108)</x:f>
        <x:v>8</x:v>
      </x:c>
      <x:c r="AA108" t="str">
        <x:f>IF(ISBLANK(B108),"",TEXT(B108,"mmm"))</x:f>
        <x:v>Feb</x:v>
      </x:c>
      <x:c r="AB108" s="9" t="n">
        <x:f>IF(ISBLANK(B108),"",YEAR(B108))</x:f>
        <x:v>2024</x:v>
      </x:c>
      <x:c r="AC108" s="10" t="str">
        <x:v>FLAG: Missing discount treated as 0; EXCLUDE: Cancelled order</x:v>
      </x:c>
      <x:c r="AD108" t="str">
        <x:f>IF(AND(U108="Completed",T108="Paid",ISERROR(SEARCH("INVALID",AC108)),ISERROR(SEARCH("REVIEW",AC108))),"Include","Exclude")</x:f>
        <x:v>Exclude</x:v>
      </x:c>
      <x:c r="AE108" t="str">
        <x:f>IF(T108="Refunded","Refunded","")</x:f>
      </x:c>
    </x:row>
    <x:row r="109">
      <x:c r="A109" t="str">
        <x:v>ORD-2024-10108</x:v>
      </x:c>
      <x:c r="B109" s="5" t="n">
        <x:v>45594</x:v>
      </x:c>
      <x:c r="C109" s="5" t="n">
        <x:v>45600</x:v>
      </x:c>
      <x:c r="D109" t="str">
        <x:v>CUST-6604</x:v>
      </x:c>
      <x:c r="E109" t="str">
        <x:v>Rohan Mehta</x:v>
      </x:c>
      <x:c r="F109" t="str">
        <x:v>Home Office</x:v>
      </x:c>
      <x:c r="G109" t="str">
        <x:v>East</x:v>
      </x:c>
      <x:c r="H109" t="str">
        <x:v>West Bengal</x:v>
      </x:c>
      <x:c r="I109" t="str">
        <x:v>Kolkata</x:v>
      </x:c>
      <x:c r="J109" t="str">
        <x:v>Furniture</x:v>
      </x:c>
      <x:c r="K109" t="str">
        <x:v>Furnishings</x:v>
      </x:c>
      <x:c r="L109" t="str">
        <x:v>Prime Furnishings 952</x:v>
      </x:c>
      <x:c r="M109" t="str">
        <x:v>First Class</x:v>
      </x:c>
      <x:c r="N109" t="n">
        <x:v>3</x:v>
      </x:c>
      <x:c r="O109" s="7" t="n">
        <x:v>4302.89</x:v>
      </x:c>
      <x:c r="P109" s="6" t="n">
        <x:v>0.05</x:v>
      </x:c>
      <x:c r="Q109" s="7" t="n">
        <x:v>12263.24</x:v>
      </x:c>
      <x:c r="R109" s="7" t="n">
        <x:v>8925.57</x:v>
      </x:c>
      <x:c r="S109" s="7" t="n">
        <x:v>3337.67</x:v>
      </x:c>
      <x:c r="T109" t="str">
        <x:v>Paid</x:v>
      </x:c>
      <x:c r="U109" t="str">
        <x:v>Completed</x:v>
      </x:c>
      <x:c r="V109" s="6" t="n">
        <x:f>IF(ISBLANK(P109),IF(AND(ISNUMBER(N109),N109&gt;0,ISNUMBER(O109),O109&gt;=0,ISNUMBER(Q109),Q109&gt;=0,ISNUMBER(R109),R109&gt;=0,ISNUMBER(S109)),0,""),P109)</x:f>
        <x:v>0.05</x:v>
      </x:c>
      <x:c r="W109" s="7" t="n">
        <x:f>IF(ISBLANK(V109),"",N109*O109*(1-V109))</x:f>
        <x:v>12263.2365</x:v>
      </x:c>
      <x:c r="X109" s="7" t="n">
        <x:f>IF(OR(ISBLANK(W109),ISBLANK(R109)),"",W109-R109)</x:f>
        <x:v>3337.666500000001</x:v>
      </x:c>
      <x:c r="Y109" s="8" t="n">
        <x:f>IF(OR(ISBLANK(W109),W109=0),"",X109/W109)</x:f>
        <x:v>0.272168485048788</x:v>
      </x:c>
      <x:c r="Z109" s="9" t="n">
        <x:f>IF(OR(ISBLANK(B109),ISBLANK(C109)),"",C109-B109)</x:f>
        <x:v>6</x:v>
      </x:c>
      <x:c r="AA109" t="str">
        <x:f>IF(ISBLANK(B109),"",TEXT(B109,"mmm"))</x:f>
        <x:v>Oct</x:v>
      </x:c>
      <x:c r="AB109" s="9" t="n">
        <x:f>IF(ISBLANK(B109),"",YEAR(B109))</x:f>
        <x:v>2024</x:v>
      </x:c>
      <x:c r="AC109" s="10" t="str"/>
      <x:c r="AD109" t="str">
        <x:f>IF(AND(U109="Completed",T109="Paid",ISERROR(SEARCH("INVALID",AC109)),ISERROR(SEARCH("REVIEW",AC109))),"Include","Exclude")</x:f>
        <x:v>Include</x:v>
      </x:c>
      <x:c r="AE109" t="str">
        <x:f>IF(T109="Refunded","Refunded","")</x:f>
      </x:c>
    </x:row>
    <x:row r="110">
      <x:c r="A110" t="str">
        <x:v>ORD-2024-10109</x:v>
      </x:c>
      <x:c r="B110" s="5" t="n">
        <x:v>45519</x:v>
      </x:c>
      <x:c r="C110" s="5" t="n">
        <x:v>45527</x:v>
      </x:c>
      <x:c r="D110" t="str">
        <x:v>CUST-4337</x:v>
      </x:c>
      <x:c r="E110" t="str">
        <x:v>Aditi Sen</x:v>
      </x:c>
      <x:c r="F110" t="str">
        <x:v>Small Business</x:v>
      </x:c>
      <x:c r="G110" t="str">
        <x:v>East</x:v>
      </x:c>
      <x:c r="H110" t="str">
        <x:v>Odisha</x:v>
      </x:c>
      <x:c r="I110" t="str">
        <x:v>Bhubaneswar</x:v>
      </x:c>
      <x:c r="J110" t="str">
        <x:v>Furniture</x:v>
      </x:c>
      <x:c r="K110" t="str">
        <x:v>Bookcases</x:v>
      </x:c>
      <x:c r="L110" t="str">
        <x:v>Prime Bookcases 631</x:v>
      </x:c>
      <x:c r="M110" t="str">
        <x:v>Same Day</x:v>
      </x:c>
      <x:c r="N110" t="n">
        <x:v>2</x:v>
      </x:c>
      <x:c r="O110" s="7" t="n">
        <x:v>537.54</x:v>
      </x:c>
      <x:c r="P110" s="6" t="n">
        <x:v>0.25</x:v>
      </x:c>
      <x:c r="Q110" s="7" t="n">
        <x:v>806.31</x:v>
      </x:c>
      <x:c r="R110" s="7" t="n">
        <x:v>498.5</x:v>
      </x:c>
      <x:c r="S110" s="7" t="n">
        <x:v>307.81</x:v>
      </x:c>
      <x:c r="T110" t="str">
        <x:v>Paid</x:v>
      </x:c>
      <x:c r="U110" t="str">
        <x:v>Completed</x:v>
      </x:c>
      <x:c r="V110" s="6" t="n">
        <x:f>IF(ISBLANK(P110),IF(AND(ISNUMBER(N110),N110&gt;0,ISNUMBER(O110),O110&gt;=0,ISNUMBER(Q110),Q110&gt;=0,ISNUMBER(R110),R110&gt;=0,ISNUMBER(S110)),0,""),P110)</x:f>
        <x:v>0.25</x:v>
      </x:c>
      <x:c r="W110" s="7" t="n">
        <x:f>IF(ISBLANK(V110),"",N110*O110*(1-V110))</x:f>
        <x:v>806.31</x:v>
      </x:c>
      <x:c r="X110" s="7" t="n">
        <x:f>IF(OR(ISBLANK(W110),ISBLANK(R110)),"",W110-R110)</x:f>
        <x:v>307.80999999999995</x:v>
      </x:c>
      <x:c r="Y110" s="8" t="n">
        <x:f>IF(OR(ISBLANK(W110),W110=0),"",X110/W110)</x:f>
        <x:v>0.3817514355520829</x:v>
      </x:c>
      <x:c r="Z110" s="9" t="n">
        <x:f>IF(OR(ISBLANK(B110),ISBLANK(C110)),"",C110-B110)</x:f>
        <x:v>8</x:v>
      </x:c>
      <x:c r="AA110" t="str">
        <x:f>IF(ISBLANK(B110),"",TEXT(B110,"mmm"))</x:f>
        <x:v>Aug</x:v>
      </x:c>
      <x:c r="AB110" s="9" t="n">
        <x:f>IF(ISBLANK(B110),"",YEAR(B110))</x:f>
        <x:v>2024</x:v>
      </x:c>
      <x:c r="AC110" s="10" t="str"/>
      <x:c r="AD110" t="str">
        <x:f>IF(AND(U110="Completed",T110="Paid",ISERROR(SEARCH("INVALID",AC110)),ISERROR(SEARCH("REVIEW",AC110))),"Include","Exclude")</x:f>
        <x:v>Include</x:v>
      </x:c>
      <x:c r="AE110" t="str">
        <x:f>IF(T110="Refunded","Refunded","")</x:f>
      </x:c>
    </x:row>
    <x:row r="111">
      <x:c r="A111" t="str">
        <x:v>ORD-2025-10110</x:v>
      </x:c>
      <x:c r="B111" s="5" t="n">
        <x:v>45892</x:v>
      </x:c>
      <x:c r="C111" s="5" t="n">
        <x:v>45896</x:v>
      </x:c>
      <x:c r="D111" t="str">
        <x:v>CUST-3740</x:v>
      </x:c>
      <x:c r="E111" t="str">
        <x:v>Sneha Kapoor</x:v>
      </x:c>
      <x:c r="F111" t="str">
        <x:v>Consumer</x:v>
      </x:c>
      <x:c r="G111" t="str">
        <x:v>North</x:v>
      </x:c>
      <x:c r="H111" t="str">
        <x:v>Delhi</x:v>
      </x:c>
      <x:c r="I111" t="str">
        <x:v>New Delhi</x:v>
      </x:c>
      <x:c r="J111" t="str">
        <x:v>Office Supplies</x:v>
      </x:c>
      <x:c r="K111" t="str">
        <x:v>Binders</x:v>
      </x:c>
      <x:c r="L111" t="str">
        <x:v>Classic Binders 660</x:v>
      </x:c>
      <x:c r="M111" t="str">
        <x:v>Second Class</x:v>
      </x:c>
      <x:c r="N111" t="n">
        <x:v>1</x:v>
      </x:c>
      <x:c r="O111" s="7" t="n">
        <x:v>2788.62</x:v>
      </x:c>
      <x:c r="P111" s="6" t="n">
        <x:v>0.25</x:v>
      </x:c>
      <x:c r="Q111" s="7" t="n">
        <x:v>2091.47</x:v>
      </x:c>
      <x:c r="R111" s="7" t="n">
        <x:v>1317.22</x:v>
      </x:c>
      <x:c r="S111" s="7" t="n">
        <x:v>774.25</x:v>
      </x:c>
      <x:c r="T111" t="str">
        <x:v>Paid</x:v>
      </x:c>
      <x:c r="U111" t="str">
        <x:v>Completed</x:v>
      </x:c>
      <x:c r="V111" s="6" t="n">
        <x:f>IF(ISBLANK(P111),IF(AND(ISNUMBER(N111),N111&gt;0,ISNUMBER(O111),O111&gt;=0,ISNUMBER(Q111),Q111&gt;=0,ISNUMBER(R111),R111&gt;=0,ISNUMBER(S111)),0,""),P111)</x:f>
        <x:v>0.25</x:v>
      </x:c>
      <x:c r="W111" s="7" t="n">
        <x:f>IF(ISBLANK(V111),"",N111*O111*(1-V111))</x:f>
        <x:v>2091.465</x:v>
      </x:c>
      <x:c r="X111" s="7" t="n">
        <x:f>IF(OR(ISBLANK(W111),ISBLANK(R111)),"",W111-R111)</x:f>
        <x:v>774.2450000000001</x:v>
      </x:c>
      <x:c r="Y111" s="8" t="n">
        <x:f>IF(OR(ISBLANK(W111),W111=0),"",X111/W111)</x:f>
        <x:v>0.37019266399389905</x:v>
      </x:c>
      <x:c r="Z111" s="9" t="n">
        <x:f>IF(OR(ISBLANK(B111),ISBLANK(C111)),"",C111-B111)</x:f>
        <x:v>4</x:v>
      </x:c>
      <x:c r="AA111" t="str">
        <x:f>IF(ISBLANK(B111),"",TEXT(B111,"mmm"))</x:f>
        <x:v>Aug</x:v>
      </x:c>
      <x:c r="AB111" s="9" t="n">
        <x:f>IF(ISBLANK(B111),"",YEAR(B111))</x:f>
        <x:v>2025</x:v>
      </x:c>
      <x:c r="AC111" s="10" t="str"/>
      <x:c r="AD111" t="str">
        <x:f>IF(AND(U111="Completed",T111="Paid",ISERROR(SEARCH("INVALID",AC111)),ISERROR(SEARCH("REVIEW",AC111))),"Include","Exclude")</x:f>
        <x:v>Include</x:v>
      </x:c>
      <x:c r="AE111" t="str">
        <x:f>IF(T111="Refunded","Refunded","")</x:f>
      </x:c>
    </x:row>
    <x:row r="112">
      <x:c r="A112" t="str">
        <x:v>ORD-2024-10111</x:v>
      </x:c>
      <x:c r="B112" s="5" t="n">
        <x:v>45583</x:v>
      </x:c>
      <x:c r="C112" s="5" t="n">
        <x:v>45589</x:v>
      </x:c>
      <x:c r="D112" t="str">
        <x:v>CUST-7128</x:v>
      </x:c>
      <x:c r="E112" t="str">
        <x:v>Vikram Iyer</x:v>
      </x:c>
      <x:c r="F112" t="str">
        <x:v>Corporate</x:v>
      </x:c>
      <x:c r="G112" t="str">
        <x:v>South</x:v>
      </x:c>
      <x:c r="H112" t="str">
        <x:v>Kerala</x:v>
      </x:c>
      <x:c r="I112" t="str">
        <x:v>Kochi</x:v>
      </x:c>
      <x:c r="J112" t="str">
        <x:v>Office Supplies</x:v>
      </x:c>
      <x:c r="K112" t="str">
        <x:v>Labels</x:v>
      </x:c>
      <x:c r="L112" t="str">
        <x:v>Pro Labels 255</x:v>
      </x:c>
      <x:c r="M112" t="str">
        <x:v>First Class</x:v>
      </x:c>
      <x:c r="N112" t="n">
        <x:v>2</x:v>
      </x:c>
      <x:c r="O112" s="7" t="n">
        <x:v>2250.47</x:v>
      </x:c>
      <x:c r="P112" s="6" t="n">
        <x:v>0</x:v>
      </x:c>
      <x:c r="Q112" s="7" t="n">
        <x:v>4500.94</x:v>
      </x:c>
      <x:c r="R112" s="7" t="n">
        <x:v>2607.73</x:v>
      </x:c>
      <x:c r="S112" s="7" t="n">
        <x:v>1893.21</x:v>
      </x:c>
      <x:c r="T112" t="str">
        <x:v>Refunded</x:v>
      </x:c>
      <x:c r="U112" t="str">
        <x:v>Cancelled</x:v>
      </x:c>
      <x:c r="V112" s="6" t="n">
        <x:f>IF(ISBLANK(P112),IF(AND(ISNUMBER(N112),N112&gt;0,ISNUMBER(O112),O112&gt;=0,ISNUMBER(Q112),Q112&gt;=0,ISNUMBER(R112),R112&gt;=0,ISNUMBER(S112)),0,""),P112)</x:f>
        <x:v>0</x:v>
      </x:c>
      <x:c r="W112" s="7" t="n">
        <x:f>IF(ISBLANK(V112),"",N112*O112*(1-V112))</x:f>
        <x:v>4500.94</x:v>
      </x:c>
      <x:c r="X112" s="7" t="n">
        <x:f>IF(OR(ISBLANK(W112),ISBLANK(R112)),"",W112-R112)</x:f>
        <x:v>1893.2099999999996</x:v>
      </x:c>
      <x:c r="Y112" s="8" t="n">
        <x:f>IF(OR(ISBLANK(W112),W112=0),"",X112/W112)</x:f>
        <x:v>0.42062546934640316</x:v>
      </x:c>
      <x:c r="Z112" s="9" t="n">
        <x:f>IF(OR(ISBLANK(B112),ISBLANK(C112)),"",C112-B112)</x:f>
        <x:v>6</x:v>
      </x:c>
      <x:c r="AA112" t="str">
        <x:f>IF(ISBLANK(B112),"",TEXT(B112,"mmm"))</x:f>
        <x:v>Oct</x:v>
      </x:c>
      <x:c r="AB112" s="9" t="n">
        <x:f>IF(ISBLANK(B112),"",YEAR(B112))</x:f>
        <x:v>2024</x:v>
      </x:c>
      <x:c r="AC112" s="10" t="str">
        <x:v>EXCLUDE: Cancelled order; REFUND: Summarize separately</x:v>
      </x:c>
      <x:c r="AD112" t="str">
        <x:f>IF(AND(U112="Completed",T112="Paid",ISERROR(SEARCH("INVALID",AC112)),ISERROR(SEARCH("REVIEW",AC112))),"Include","Exclude")</x:f>
        <x:v>Exclude</x:v>
      </x:c>
      <x:c r="AE112" t="str">
        <x:f>IF(T112="Refunded","Refunded","")</x:f>
        <x:v>Refunded</x:v>
      </x:c>
    </x:row>
    <x:row r="113">
      <x:c r="A113" t="str">
        <x:v>ORD-2025-10112</x:v>
      </x:c>
      <x:c r="B113" s="5" t="n">
        <x:v>45835</x:v>
      </x:c>
      <x:c r="C113" s="5" t="n">
        <x:v>45838</x:v>
      </x:c>
      <x:c r="D113" t="str">
        <x:v>CUST-4743</x:v>
      </x:c>
      <x:c r="E113" t="str">
        <x:v>Neha Gupta</x:v>
      </x:c>
      <x:c r="F113" t="str">
        <x:v>Corporate</x:v>
      </x:c>
      <x:c r="G113" t="str">
        <x:v>East</x:v>
      </x:c>
      <x:c r="H113" t="str">
        <x:v>Bihar</x:v>
      </x:c>
      <x:c r="I113" t="str">
        <x:v>Patna</x:v>
      </x:c>
      <x:c r="J113" t="str">
        <x:v>Technology</x:v>
      </x:c>
      <x:c r="K113" t="str">
        <x:v>Accessories</x:v>
      </x:c>
      <x:c r="L113" t="str">
        <x:v>Basic Accessories 187</x:v>
      </x:c>
      <x:c r="M113" t="str">
        <x:v>First Class</x:v>
      </x:c>
      <x:c r="N113" t="n">
        <x:v>1</x:v>
      </x:c>
      <x:c r="O113" s="7" t="n">
        <x:v>1708.44</x:v>
      </x:c>
      <x:c r="P113" s="6" t="n">
        <x:v>0.05</x:v>
      </x:c>
      <x:c r="Q113" s="7" t="n">
        <x:v>1623.02</x:v>
      </x:c>
      <x:c r="R113" s="7" t="n">
        <x:v>1077.46</x:v>
      </x:c>
      <x:c r="S113" s="7" t="n">
        <x:v>545.56</x:v>
      </x:c>
      <x:c r="T113" t="str">
        <x:v>Pending</x:v>
      </x:c>
      <x:c r="U113" t="str">
        <x:v>Cancelled</x:v>
      </x:c>
      <x:c r="V113" s="6" t="n">
        <x:f>IF(ISBLANK(P113),IF(AND(ISNUMBER(N113),N113&gt;0,ISNUMBER(O113),O113&gt;=0,ISNUMBER(Q113),Q113&gt;=0,ISNUMBER(R113),R113&gt;=0,ISNUMBER(S113)),0,""),P113)</x:f>
        <x:v>0.05</x:v>
      </x:c>
      <x:c r="W113" s="7" t="n">
        <x:f>IF(ISBLANK(V113),"",N113*O113*(1-V113))</x:f>
        <x:v>1623.018</x:v>
      </x:c>
      <x:c r="X113" s="7" t="n">
        <x:f>IF(OR(ISBLANK(W113),ISBLANK(R113)),"",W113-R113)</x:f>
        <x:v>545.558</x:v>
      </x:c>
      <x:c r="Y113" s="8" t="n">
        <x:f>IF(OR(ISBLANK(W113),W113=0),"",X113/W113)</x:f>
        <x:v>0.3361379849145234</x:v>
      </x:c>
      <x:c r="Z113" s="9" t="n">
        <x:f>IF(OR(ISBLANK(B113),ISBLANK(C113)),"",C113-B113)</x:f>
        <x:v>3</x:v>
      </x:c>
      <x:c r="AA113" t="str">
        <x:f>IF(ISBLANK(B113),"",TEXT(B113,"mmm"))</x:f>
        <x:v>Jun</x:v>
      </x:c>
      <x:c r="AB113" s="9" t="n">
        <x:f>IF(ISBLANK(B113),"",YEAR(B113))</x:f>
        <x:v>2025</x:v>
      </x:c>
      <x:c r="AC113" s="10" t="str">
        <x:v>EXCLUDE: Cancelled order</x:v>
      </x:c>
      <x:c r="AD113" t="str">
        <x:f>IF(AND(U113="Completed",T113="Paid",ISERROR(SEARCH("INVALID",AC113)),ISERROR(SEARCH("REVIEW",AC113))),"Include","Exclude")</x:f>
        <x:v>Exclude</x:v>
      </x:c>
      <x:c r="AE113" t="str">
        <x:f>IF(T113="Refunded","Refunded","")</x:f>
      </x:c>
    </x:row>
    <x:row r="114">
      <x:c r="A114" t="str">
        <x:v>ORD-2024-10113</x:v>
      </x:c>
      <x:c r="B114" s="5" t="n">
        <x:v>45301</x:v>
      </x:c>
      <x:c r="C114" s="5" t="n">
        <x:v>45305</x:v>
      </x:c>
      <x:c r="D114" t="str">
        <x:v>CUST-5213</x:v>
      </x:c>
      <x:c r="E114" t="str">
        <x:v>Sneha Kapoor</x:v>
      </x:c>
      <x:c r="F114" t="str">
        <x:v>Consumer</x:v>
      </x:c>
      <x:c r="G114" t="str">
        <x:v>Unknown</x:v>
      </x:c>
      <x:c r="H114" t="str">
        <x:v>Gujarat</x:v>
      </x:c>
      <x:c r="I114" t="str">
        <x:v>Ahmedabad</x:v>
      </x:c>
      <x:c r="J114" t="str">
        <x:v>Technology</x:v>
      </x:c>
      <x:c r="K114" t="str">
        <x:v>Accessories</x:v>
      </x:c>
      <x:c r="L114" t="str">
        <x:v>Max Accessories 451</x:v>
      </x:c>
      <x:c r="M114" t="str">
        <x:v>Standard Class</x:v>
      </x:c>
      <x:c r="N114" t="n">
        <x:v>3</x:v>
      </x:c>
      <x:c r="O114" s="7" t="n">
        <x:v>3829.48</x:v>
      </x:c>
      <x:c r="P114" s="6" t="n">
        <x:v>0.05</x:v>
      </x:c>
      <x:c r="Q114" s="7" t="n">
        <x:v>10914.02</x:v>
      </x:c>
      <x:c r="R114" s="7" t="n">
        <x:v>6548.74</x:v>
      </x:c>
      <x:c r="S114" s="7" t="n">
        <x:v>4365.28</x:v>
      </x:c>
      <x:c r="T114" t="str">
        <x:v>Paid</x:v>
      </x:c>
      <x:c r="U114" t="str">
        <x:v>Completed</x:v>
      </x:c>
      <x:c r="V114" s="6" t="n">
        <x:f>IF(ISBLANK(P114),IF(AND(ISNUMBER(N114),N114&gt;0,ISNUMBER(O114),O114&gt;=0,ISNUMBER(Q114),Q114&gt;=0,ISNUMBER(R114),R114&gt;=0,ISNUMBER(S114)),0,""),P114)</x:f>
        <x:v>0.05</x:v>
      </x:c>
      <x:c r="W114" s="7" t="n">
        <x:f>IF(ISBLANK(V114),"",N114*O114*(1-V114))</x:f>
        <x:v>10914.018</x:v>
      </x:c>
      <x:c r="X114" s="7" t="n">
        <x:f>IF(OR(ISBLANK(W114),ISBLANK(R114)),"",W114-R114)</x:f>
        <x:v>4365.278</x:v>
      </x:c>
      <x:c r="Y114" s="8" t="n">
        <x:f>IF(OR(ISBLANK(W114),W114=0),"",X114/W114)</x:f>
        <x:v>0.399969836956472</x:v>
      </x:c>
      <x:c r="Z114" s="9" t="n">
        <x:f>IF(OR(ISBLANK(B114),ISBLANK(C114)),"",C114-B114)</x:f>
        <x:v>4</x:v>
      </x:c>
      <x:c r="AA114" t="str">
        <x:f>IF(ISBLANK(B114),"",TEXT(B114,"mmm"))</x:f>
        <x:v>Jan</x:v>
      </x:c>
      <x:c r="AB114" s="9" t="n">
        <x:f>IF(ISBLANK(B114),"",YEAR(B114))</x:f>
        <x:v>2024</x:v>
      </x:c>
      <x:c r="AC114" s="10" t="str">
        <x:v>FLAG: Missing region filled as Unknown</x:v>
      </x:c>
      <x:c r="AD114" t="str">
        <x:f>IF(AND(U114="Completed",T114="Paid",ISERROR(SEARCH("INVALID",AC114)),ISERROR(SEARCH("REVIEW",AC114))),"Include","Exclude")</x:f>
        <x:v>Include</x:v>
      </x:c>
      <x:c r="AE114" t="str">
        <x:f>IF(T114="Refunded","Refunded","")</x:f>
      </x:c>
    </x:row>
    <x:row r="115">
      <x:c r="A115" t="str">
        <x:v>ORD-2024-10114</x:v>
      </x:c>
      <x:c r="B115" s="5" t="n">
        <x:v>45334</x:v>
      </x:c>
      <x:c r="C115" s="5" t="n">
        <x:v>45334</x:v>
      </x:c>
      <x:c r="D115" t="str">
        <x:v>CUST-4989</x:v>
      </x:c>
      <x:c r="E115" t="str">
        <x:v>Isha Nair</x:v>
      </x:c>
      <x:c r="F115" t="str">
        <x:v>Home Office</x:v>
      </x:c>
      <x:c r="G115" t="str">
        <x:v>South</x:v>
      </x:c>
      <x:c r="H115" t="str">
        <x:v>Tamil Nadu</x:v>
      </x:c>
      <x:c r="I115" t="str">
        <x:v>Chennai</x:v>
      </x:c>
      <x:c r="J115" t="str">
        <x:v>Furniture</x:v>
      </x:c>
      <x:c r="K115" t="str">
        <x:v>Tables</x:v>
      </x:c>
      <x:c r="L115" t="str">
        <x:v>Classic Tables 752</x:v>
      </x:c>
      <x:c r="M115" t="str">
        <x:v>Standard Class</x:v>
      </x:c>
      <x:c r="N115" t="n">
        <x:v>3</x:v>
      </x:c>
      <x:c r="O115" s="7" t="n">
        <x:v>1089.15</x:v>
      </x:c>
      <x:c r="P115" s="6" t="n">
        <x:v>0.25</x:v>
      </x:c>
      <x:c r="Q115" s="7" t="n">
        <x:v>2450.59</x:v>
      </x:c>
      <x:c r="R115" s="7" t="n">
        <x:v>1639.89</x:v>
      </x:c>
      <x:c r="S115" s="7" t="n">
        <x:v>810.7</x:v>
      </x:c>
      <x:c r="T115" t="str">
        <x:v>Paid</x:v>
      </x:c>
      <x:c r="U115" t="str">
        <x:v>Completed</x:v>
      </x:c>
      <x:c r="V115" s="6" t="n">
        <x:f>IF(ISBLANK(P115),IF(AND(ISNUMBER(N115),N115&gt;0,ISNUMBER(O115),O115&gt;=0,ISNUMBER(Q115),Q115&gt;=0,ISNUMBER(R115),R115&gt;=0,ISNUMBER(S115)),0,""),P115)</x:f>
        <x:v>0.25</x:v>
      </x:c>
      <x:c r="W115" s="7" t="n">
        <x:f>IF(ISBLANK(V115),"",N115*O115*(1-V115))</x:f>
        <x:v>2450.5875</x:v>
      </x:c>
      <x:c r="X115" s="7" t="n">
        <x:f>IF(OR(ISBLANK(W115),ISBLANK(R115)),"",W115-R115)</x:f>
        <x:v>810.6975</x:v>
      </x:c>
      <x:c r="Y115" s="8" t="n">
        <x:f>IF(OR(ISBLANK(W115),W115=0),"",X115/W115)</x:f>
        <x:v>0.33081761006289306</x:v>
      </x:c>
      <x:c r="Z115" s="9" t="n">
        <x:f>IF(OR(ISBLANK(B115),ISBLANK(C115)),"",C115-B115)</x:f>
        <x:v>0</x:v>
      </x:c>
      <x:c r="AA115" t="str">
        <x:f>IF(ISBLANK(B115),"",TEXT(B115,"mmm"))</x:f>
        <x:v>Feb</x:v>
      </x:c>
      <x:c r="AB115" s="9" t="n">
        <x:f>IF(ISBLANK(B115),"",YEAR(B115))</x:f>
        <x:v>2024</x:v>
      </x:c>
      <x:c r="AC115" s="10" t="str"/>
      <x:c r="AD115" t="str">
        <x:f>IF(AND(U115="Completed",T115="Paid",ISERROR(SEARCH("INVALID",AC115)),ISERROR(SEARCH("REVIEW",AC115))),"Include","Exclude")</x:f>
        <x:v>Include</x:v>
      </x:c>
      <x:c r="AE115" t="str">
        <x:f>IF(T115="Refunded","Refunded","")</x:f>
      </x:c>
    </x:row>
    <x:row r="116">
      <x:c r="A116" t="str">
        <x:v>ORD-2024-10115</x:v>
      </x:c>
      <x:c r="B116" s="5" t="n">
        <x:v>45560</x:v>
      </x:c>
      <x:c r="C116" s="5" t="n">
        <x:v>45565</x:v>
      </x:c>
      <x:c r="D116" t="str">
        <x:v>CUST-2927</x:v>
      </x:c>
      <x:c r="E116" t="str">
        <x:v>Neha Gupta</x:v>
      </x:c>
      <x:c r="F116" t="str">
        <x:v>Small Business</x:v>
      </x:c>
      <x:c r="G116" t="str">
        <x:v>North</x:v>
      </x:c>
      <x:c r="H116" t="str">
        <x:v>Rajasthan</x:v>
      </x:c>
      <x:c r="I116" t="str">
        <x:v>Jaipur</x:v>
      </x:c>
      <x:c r="J116" t="str">
        <x:v>Technology</x:v>
      </x:c>
      <x:c r="K116" t="str">
        <x:v>Accessories</x:v>
      </x:c>
      <x:c r="L116" t="str">
        <x:v>Eco Accessories 452</x:v>
      </x:c>
      <x:c r="M116" t="str">
        <x:v>Second Class</x:v>
      </x:c>
      <x:c r="N116" t="n">
        <x:v>1</x:v>
      </x:c>
      <x:c r="O116" s="7" t="n">
        <x:v>4388.4</x:v>
      </x:c>
      <x:c r="P116" s="6" t="n">
        <x:v>0.1</x:v>
      </x:c>
      <x:c r="Q116" s="7" t="n">
        <x:v>3949.56</x:v>
      </x:c>
      <x:c r="R116" s="7" t="n">
        <x:v>3186.73</x:v>
      </x:c>
      <x:c r="S116" s="7" t="n">
        <x:v>762.83</x:v>
      </x:c>
      <x:c r="T116" t="str">
        <x:v>Pending</x:v>
      </x:c>
      <x:c r="U116" t="str">
        <x:v>Cancelled</x:v>
      </x:c>
      <x:c r="V116" s="6" t="n">
        <x:f>IF(ISBLANK(P116),IF(AND(ISNUMBER(N116),N116&gt;0,ISNUMBER(O116),O116&gt;=0,ISNUMBER(Q116),Q116&gt;=0,ISNUMBER(R116),R116&gt;=0,ISNUMBER(S116)),0,""),P116)</x:f>
        <x:v>0.1</x:v>
      </x:c>
      <x:c r="W116" s="7" t="n">
        <x:f>IF(ISBLANK(V116),"",N116*O116*(1-V116))</x:f>
        <x:v>3949.56</x:v>
      </x:c>
      <x:c r="X116" s="7" t="n">
        <x:f>IF(OR(ISBLANK(W116),ISBLANK(R116)),"",W116-R116)</x:f>
        <x:v>762.8299999999999</x:v>
      </x:c>
      <x:c r="Y116" s="8" t="n">
        <x:f>IF(OR(ISBLANK(W116),W116=0),"",X116/W116)</x:f>
        <x:v>0.19314303365438173</x:v>
      </x:c>
      <x:c r="Z116" s="9" t="n">
        <x:f>IF(OR(ISBLANK(B116),ISBLANK(C116)),"",C116-B116)</x:f>
        <x:v>5</x:v>
      </x:c>
      <x:c r="AA116" t="str">
        <x:f>IF(ISBLANK(B116),"",TEXT(B116,"mmm"))</x:f>
        <x:v>Sep</x:v>
      </x:c>
      <x:c r="AB116" s="9" t="n">
        <x:f>IF(ISBLANK(B116),"",YEAR(B116))</x:f>
        <x:v>2024</x:v>
      </x:c>
      <x:c r="AC116" s="10" t="str">
        <x:v>EXCLUDE: Cancelled order</x:v>
      </x:c>
      <x:c r="AD116" t="str">
        <x:f>IF(AND(U116="Completed",T116="Paid",ISERROR(SEARCH("INVALID",AC116)),ISERROR(SEARCH("REVIEW",AC116))),"Include","Exclude")</x:f>
        <x:v>Exclude</x:v>
      </x:c>
      <x:c r="AE116" t="str">
        <x:f>IF(T116="Refunded","Refunded","")</x:f>
      </x:c>
    </x:row>
    <x:row r="117">
      <x:c r="A117" t="str">
        <x:v>ORD-2024-10116</x:v>
      </x:c>
      <x:c r="B117" s="5" t="n">
        <x:v>45653</x:v>
      </x:c>
      <x:c r="C117" s="5" t="n">
        <x:v>45658</x:v>
      </x:c>
      <x:c r="D117" t="str">
        <x:v>CUST-7764</x:v>
      </x:c>
      <x:c r="E117" t="str">
        <x:v>Kabir Singh</x:v>
      </x:c>
      <x:c r="F117" t="str">
        <x:v>Corporate</x:v>
      </x:c>
      <x:c r="G117" t="str">
        <x:v>South</x:v>
      </x:c>
      <x:c r="H117" t="str">
        <x:v>Tamil Nadu</x:v>
      </x:c>
      <x:c r="I117" t="str">
        <x:v>Chennai</x:v>
      </x:c>
      <x:c r="J117" t="str">
        <x:v>Office Supplies</x:v>
      </x:c>
      <x:c r="K117" t="str">
        <x:v>Binders</x:v>
      </x:c>
      <x:c r="L117" t="str">
        <x:v>Classic Binders 203</x:v>
      </x:c>
      <x:c r="M117" t="str">
        <x:v>Same Day</x:v>
      </x:c>
      <x:c r="N117" t="n">
        <x:v>2</x:v>
      </x:c>
      <x:c r="O117" s="7" t="n">
        <x:v>446.34</x:v>
      </x:c>
      <x:c r="P117" s="6" t="n">
        <x:v>0.15</x:v>
      </x:c>
      <x:c r="Q117" s="7" t="n">
        <x:v>758.78</x:v>
      </x:c>
      <x:c r="R117" s="7" t="n">
        <x:v>490.74</x:v>
      </x:c>
      <x:c r="S117" s="7" t="n">
        <x:v>268.04</x:v>
      </x:c>
      <x:c r="T117" t="str">
        <x:v>Paid</x:v>
      </x:c>
      <x:c r="U117" t="str">
        <x:v>Cancelled</x:v>
      </x:c>
      <x:c r="V117" s="6" t="n">
        <x:f>IF(ISBLANK(P117),IF(AND(ISNUMBER(N117),N117&gt;0,ISNUMBER(O117),O117&gt;=0,ISNUMBER(Q117),Q117&gt;=0,ISNUMBER(R117),R117&gt;=0,ISNUMBER(S117)),0,""),P117)</x:f>
        <x:v>0.15</x:v>
      </x:c>
      <x:c r="W117" s="7" t="n">
        <x:f>IF(ISBLANK(V117),"",N117*O117*(1-V117))</x:f>
        <x:v>758.7779999999999</x:v>
      </x:c>
      <x:c r="X117" s="7" t="n">
        <x:f>IF(OR(ISBLANK(W117),ISBLANK(R117)),"",W117-R117)</x:f>
        <x:v>268.0379999999999</x:v>
      </x:c>
      <x:c r="Y117" s="8" t="n">
        <x:f>IF(OR(ISBLANK(W117),W117=0),"",X117/W117)</x:f>
        <x:v>0.3532495670670472</x:v>
      </x:c>
      <x:c r="Z117" s="9" t="n">
        <x:f>IF(OR(ISBLANK(B117),ISBLANK(C117)),"",C117-B117)</x:f>
        <x:v>5</x:v>
      </x:c>
      <x:c r="AA117" t="str">
        <x:f>IF(ISBLANK(B117),"",TEXT(B117,"mmm"))</x:f>
        <x:v>Dec</x:v>
      </x:c>
      <x:c r="AB117" s="9" t="n">
        <x:f>IF(ISBLANK(B117),"",YEAR(B117))</x:f>
        <x:v>2024</x:v>
      </x:c>
      <x:c r="AC117" s="10" t="str">
        <x:v>EXCLUDE: Cancelled order</x:v>
      </x:c>
      <x:c r="AD117" t="str">
        <x:f>IF(AND(U117="Completed",T117="Paid",ISERROR(SEARCH("INVALID",AC117)),ISERROR(SEARCH("REVIEW",AC117))),"Include","Exclude")</x:f>
        <x:v>Exclude</x:v>
      </x:c>
      <x:c r="AE117" t="str">
        <x:f>IF(T117="Refunded","Refunded","")</x:f>
      </x:c>
    </x:row>
    <x:row r="118">
      <x:c r="A118" t="str">
        <x:v>ORD-2025-10117</x:v>
      </x:c>
      <x:c r="B118" s="5" t="n">
        <x:v>45703</x:v>
      </x:c>
      <x:c r="C118" s="5" t="n">
        <x:v>45707</x:v>
      </x:c>
      <x:c r="D118" t="str">
        <x:v>CUST-3632</x:v>
      </x:c>
      <x:c r="E118" t="str">
        <x:v>Ananya Rao</x:v>
      </x:c>
      <x:c r="F118" t="str">
        <x:v>Small Business</x:v>
      </x:c>
      <x:c r="G118" t="str">
        <x:v>Unknown</x:v>
      </x:c>
      <x:c r="H118" t="str">
        <x:v>Madhya Pradesh</x:v>
      </x:c>
      <x:c r="I118" t="str">
        <x:v>Indore</x:v>
      </x:c>
      <x:c r="J118" t="str">
        <x:v>Office Supplies</x:v>
      </x:c>
      <x:c r="K118" t="str">
        <x:v>Binders</x:v>
      </x:c>
      <x:c r="L118" t="str">
        <x:v>Basic Binders 859</x:v>
      </x:c>
      <x:c r="M118" t="str">
        <x:v>First Class</x:v>
      </x:c>
      <x:c r="N118" t="n">
        <x:v>9</x:v>
      </x:c>
      <x:c r="O118" s="7" t="n">
        <x:v>531.99</x:v>
      </x:c>
      <x:c r="P118" s="6" t="n">
        <x:v>0.25</x:v>
      </x:c>
      <x:c r="Q118" s="7" t="n">
        <x:v>3590.93</x:v>
      </x:c>
      <x:c r="R118" s="7" t="n">
        <x:v>3061.39</x:v>
      </x:c>
      <x:c r="S118" s="7" t="n">
        <x:v>529.54</x:v>
      </x:c>
      <x:c r="T118" t="str">
        <x:v>Failed</x:v>
      </x:c>
      <x:c r="U118" t="str">
        <x:v>Cancelled</x:v>
      </x:c>
      <x:c r="V118" s="6" t="n">
        <x:f>IF(ISBLANK(P118),IF(AND(ISNUMBER(N118),N118&gt;0,ISNUMBER(O118),O118&gt;=0,ISNUMBER(Q118),Q118&gt;=0,ISNUMBER(R118),R118&gt;=0,ISNUMBER(S118)),0,""),P118)</x:f>
        <x:v>0.25</x:v>
      </x:c>
      <x:c r="W118" s="7" t="n">
        <x:f>IF(ISBLANK(V118),"",N118*O118*(1-V118))</x:f>
        <x:v>3590.9325</x:v>
      </x:c>
      <x:c r="X118" s="7" t="n">
        <x:f>IF(OR(ISBLANK(W118),ISBLANK(R118)),"",W118-R118)</x:f>
        <x:v>529.5425</x:v>
      </x:c>
      <x:c r="Y118" s="8" t="n">
        <x:f>IF(OR(ISBLANK(W118),W118=0),"",X118/W118)</x:f>
        <x:v>0.14746657031286442</x:v>
      </x:c>
      <x:c r="Z118" s="9" t="n">
        <x:f>IF(OR(ISBLANK(B118),ISBLANK(C118)),"",C118-B118)</x:f>
        <x:v>4</x:v>
      </x:c>
      <x:c r="AA118" t="str">
        <x:f>IF(ISBLANK(B118),"",TEXT(B118,"mmm"))</x:f>
        <x:v>Feb</x:v>
      </x:c>
      <x:c r="AB118" s="9" t="n">
        <x:f>IF(ISBLANK(B118),"",YEAR(B118))</x:f>
        <x:v>2025</x:v>
      </x:c>
      <x:c r="AC118" s="10" t="str">
        <x:v>FLAG: Missing region filled as Unknown; EXCLUDE: Cancelled order; EXCLUDE: Failed payment</x:v>
      </x:c>
      <x:c r="AD118" t="str">
        <x:f>IF(AND(U118="Completed",T118="Paid",ISERROR(SEARCH("INVALID",AC118)),ISERROR(SEARCH("REVIEW",AC118))),"Include","Exclude")</x:f>
        <x:v>Exclude</x:v>
      </x:c>
      <x:c r="AE118" t="str">
        <x:f>IF(T118="Refunded","Refunded","")</x:f>
      </x:c>
    </x:row>
    <x:row r="119">
      <x:c r="A119" t="str">
        <x:v>ORD-2024-10118</x:v>
      </x:c>
      <x:c r="B119" s="5" t="n">
        <x:v>45337</x:v>
      </x:c>
      <x:c r="C119" s="5" t="n">
        <x:v>45339</x:v>
      </x:c>
      <x:c r="D119" t="str">
        <x:v>CUST-9608</x:v>
      </x:c>
      <x:c r="E119" t="str">
        <x:v>Mira Das</x:v>
      </x:c>
      <x:c r="F119" t="str">
        <x:v>Home Office</x:v>
      </x:c>
      <x:c r="G119" t="str">
        <x:v>South</x:v>
      </x:c>
      <x:c r="H119" t="str">
        <x:v>Tamil Nadu</x:v>
      </x:c>
      <x:c r="I119" t="str">
        <x:v>Chennai</x:v>
      </x:c>
      <x:c r="J119" t="str">
        <x:v>Technology</x:v>
      </x:c>
      <x:c r="K119" t="str">
        <x:v>Machines</x:v>
      </x:c>
      <x:c r="L119" t="str">
        <x:v>Elite Machines 705</x:v>
      </x:c>
      <x:c r="M119" t="str">
        <x:v>Standard Class</x:v>
      </x:c>
      <x:c r="N119" t="n">
        <x:v>9</x:v>
      </x:c>
      <x:c r="O119" s="7" t="n">
        <x:v>3324.55</x:v>
      </x:c>
      <x:c r="P119" s="6" t="n">
        <x:v>0.7</x:v>
      </x:c>
      <x:c r="Q119" s="7" t="n">
        <x:v>25432.81</x:v>
      </x:c>
      <x:c r="R119" s="7" t="n">
        <x:v>20370.16</x:v>
      </x:c>
      <x:c r="S119" s="7" t="n">
        <x:v>5062.65</x:v>
      </x:c>
      <x:c r="T119" t="str">
        <x:v>Paid</x:v>
      </x:c>
      <x:c r="U119" t="str">
        <x:v>Completed</x:v>
      </x:c>
      <x:c r="V119" s="6" t="n">
        <x:f>IF(ISBLANK(P119),IF(AND(ISNUMBER(N119),N119&gt;0,ISNUMBER(O119),O119&gt;=0,ISNUMBER(Q119),Q119&gt;=0,ISNUMBER(R119),R119&gt;=0,ISNUMBER(S119)),0,""),P119)</x:f>
        <x:v>0.7</x:v>
      </x:c>
      <x:c r="W119" s="7" t="n">
        <x:f>IF(ISBLANK(V119),"",N119*O119*(1-V119))</x:f>
        <x:v>8976.285000000002</x:v>
      </x:c>
      <x:c r="X119" s="7" t="n">
        <x:f>IF(OR(ISBLANK(W119),ISBLANK(R119)),"",W119-R119)</x:f>
        <x:v>-11393.874999999998</x:v>
      </x:c>
      <x:c r="Y119" s="8" t="n">
        <x:f>IF(OR(ISBLANK(W119),W119=0),"",X119/W119)</x:f>
        <x:v>-1.2693307977632167</x:v>
      </x:c>
      <x:c r="Z119" s="9" t="n">
        <x:f>IF(OR(ISBLANK(B119),ISBLANK(C119)),"",C119-B119)</x:f>
        <x:v>2</x:v>
      </x:c>
      <x:c r="AA119" t="str">
        <x:f>IF(ISBLANK(B119),"",TEXT(B119,"mmm"))</x:f>
        <x:v>Feb</x:v>
      </x:c>
      <x:c r="AB119" s="9" t="n">
        <x:f>IF(ISBLANK(B119),"",YEAR(B119))</x:f>
        <x:v>2024</x:v>
      </x:c>
      <x:c r="AC119" s="10" t="str">
        <x:v>INVALID: Discount above allowed range</x:v>
      </x:c>
      <x:c r="AD119" t="str">
        <x:f>IF(AND(U119="Completed",T119="Paid",ISERROR(SEARCH("INVALID",AC119)),ISERROR(SEARCH("REVIEW",AC119))),"Include","Exclude")</x:f>
        <x:v>Exclude</x:v>
      </x:c>
      <x:c r="AE119" t="str">
        <x:f>IF(T119="Refunded","Refunded","")</x:f>
      </x:c>
    </x:row>
    <x:row r="120">
      <x:c r="A120" t="str">
        <x:v>ORD-2024-10119</x:v>
      </x:c>
      <x:c r="B120" s="5" t="n">
        <x:v>45453</x:v>
      </x:c>
      <x:c r="C120" s="5" t="n">
        <x:v>45461</x:v>
      </x:c>
      <x:c r="D120" t="str">
        <x:v>CUST-9135</x:v>
      </x:c>
      <x:c r="E120" t="str">
        <x:v>Vikram Iyer</x:v>
      </x:c>
      <x:c r="F120" t="str">
        <x:v>Home Office</x:v>
      </x:c>
      <x:c r="G120" t="str">
        <x:v>South</x:v>
      </x:c>
      <x:c r="H120" t="str">
        <x:v>Andhra Pradesh</x:v>
      </x:c>
      <x:c r="I120" t="str">
        <x:v>Vijayawada</x:v>
      </x:c>
      <x:c r="J120" t="str">
        <x:v>Technology</x:v>
      </x:c>
      <x:c r="K120" t="str">
        <x:v>Copiers</x:v>
      </x:c>
      <x:c r="L120" t="str">
        <x:v>Pro Copiers 208</x:v>
      </x:c>
      <x:c r="M120" t="str">
        <x:v>Same Day</x:v>
      </x:c>
      <x:c r="N120" t="n">
        <x:v>5</x:v>
      </x:c>
      <x:c r="O120" s="7" t="n">
        <x:v>1580.27</x:v>
      </x:c>
      <x:c r="P120" s="6" t="n">
        <x:v>0.2</x:v>
      </x:c>
      <x:c r="Q120" s="7" t="n">
        <x:v>6321.08</x:v>
      </x:c>
      <x:c r="R120" s="7" t="n">
        <x:v>4407.22</x:v>
      </x:c>
      <x:c r="S120" s="7" t="n">
        <x:v>1913.86</x:v>
      </x:c>
      <x:c r="T120" t="str">
        <x:v>Paid</x:v>
      </x:c>
      <x:c r="U120" t="str">
        <x:v>Completed</x:v>
      </x:c>
      <x:c r="V120" s="6" t="n">
        <x:f>IF(ISBLANK(P120),IF(AND(ISNUMBER(N120),N120&gt;0,ISNUMBER(O120),O120&gt;=0,ISNUMBER(Q120),Q120&gt;=0,ISNUMBER(R120),R120&gt;=0,ISNUMBER(S120)),0,""),P120)</x:f>
        <x:v>0.2</x:v>
      </x:c>
      <x:c r="W120" s="7" t="n">
        <x:f>IF(ISBLANK(V120),"",N120*O120*(1-V120))</x:f>
        <x:v>6321.080000000001</x:v>
      </x:c>
      <x:c r="X120" s="7" t="n">
        <x:f>IF(OR(ISBLANK(W120),ISBLANK(R120)),"",W120-R120)</x:f>
        <x:v>1913.8600000000006</x:v>
      </x:c>
      <x:c r="Y120" s="8" t="n">
        <x:f>IF(OR(ISBLANK(W120),W120=0),"",X120/W120)</x:f>
        <x:v>0.3027742094705336</x:v>
      </x:c>
      <x:c r="Z120" s="9" t="n">
        <x:f>IF(OR(ISBLANK(B120),ISBLANK(C120)),"",C120-B120)</x:f>
        <x:v>8</x:v>
      </x:c>
      <x:c r="AA120" t="str">
        <x:f>IF(ISBLANK(B120),"",TEXT(B120,"mmm"))</x:f>
        <x:v>Jun</x:v>
      </x:c>
      <x:c r="AB120" s="9" t="n">
        <x:f>IF(ISBLANK(B120),"",YEAR(B120))</x:f>
        <x:v>2024</x:v>
      </x:c>
      <x:c r="AC120" s="10" t="str"/>
      <x:c r="AD120" t="str">
        <x:f>IF(AND(U120="Completed",T120="Paid",ISERROR(SEARCH("INVALID",AC120)),ISERROR(SEARCH("REVIEW",AC120))),"Include","Exclude")</x:f>
        <x:v>Include</x:v>
      </x:c>
      <x:c r="AE120" t="str">
        <x:f>IF(T120="Refunded","Refunded","")</x:f>
      </x:c>
    </x:row>
    <x:row r="121">
      <x:c r="A121" t="str">
        <x:v>ORD-2024-10120</x:v>
      </x:c>
      <x:c r="B121" s="5" t="n">
        <x:v>45455</x:v>
      </x:c>
      <x:c r="C121" s="5" t="n">
        <x:v>45462</x:v>
      </x:c>
      <x:c r="D121" t="str">
        <x:v>CUST-7861</x:v>
      </x:c>
      <x:c r="E121" t="str">
        <x:v>Aditi Sen</x:v>
      </x:c>
      <x:c r="F121" t="str">
        <x:v>Small Business</x:v>
      </x:c>
      <x:c r="G121" t="str">
        <x:v>South</x:v>
      </x:c>
      <x:c r="H121" t="str">
        <x:v>Kerala</x:v>
      </x:c>
      <x:c r="I121" t="str">
        <x:v>Kochi</x:v>
      </x:c>
      <x:c r="J121" t="str">
        <x:v>Furniture</x:v>
      </x:c>
      <x:c r="K121" t="str">
        <x:v>Chairs</x:v>
      </x:c>
      <x:c r="L121" t="str">
        <x:v>Elite Chairs 921</x:v>
      </x:c>
      <x:c r="M121" t="str">
        <x:v>Standard Class</x:v>
      </x:c>
      <x:c r="N121" t="n">
        <x:v>8</x:v>
      </x:c>
      <x:c r="O121" s="7" t="n">
        <x:v>314.05</x:v>
      </x:c>
      <x:c r="P121" s="6" t="n">
        <x:v>0.25</x:v>
      </x:c>
      <x:c r="Q121" s="7" t="n">
        <x:v>1884.3</x:v>
      </x:c>
      <x:c r="R121" s="7" t="n">
        <x:v>1517.69</x:v>
      </x:c>
      <x:c r="S121" s="7" t="n">
        <x:v>366.61</x:v>
      </x:c>
      <x:c r="T121" t="str">
        <x:v>Refunded</x:v>
      </x:c>
      <x:c r="U121" t="str">
        <x:v>Returned</x:v>
      </x:c>
      <x:c r="V121" s="6" t="n">
        <x:f>IF(ISBLANK(P121),IF(AND(ISNUMBER(N121),N121&gt;0,ISNUMBER(O121),O121&gt;=0,ISNUMBER(Q121),Q121&gt;=0,ISNUMBER(R121),R121&gt;=0,ISNUMBER(S121)),0,""),P121)</x:f>
        <x:v>0.25</x:v>
      </x:c>
      <x:c r="W121" s="7" t="n">
        <x:f>IF(ISBLANK(V121),"",N121*O121*(1-V121))</x:f>
        <x:v>1884.3000000000002</x:v>
      </x:c>
      <x:c r="X121" s="7" t="n">
        <x:f>IF(OR(ISBLANK(W121),ISBLANK(R121)),"",W121-R121)</x:f>
        <x:v>366.6100000000001</x:v>
      </x:c>
      <x:c r="Y121" s="8" t="n">
        <x:f>IF(OR(ISBLANK(W121),W121=0),"",X121/W121)</x:f>
        <x:v>0.19456031417502526</x:v>
      </x:c>
      <x:c r="Z121" s="9" t="n">
        <x:f>IF(OR(ISBLANK(B121),ISBLANK(C121)),"",C121-B121)</x:f>
        <x:v>7</x:v>
      </x:c>
      <x:c r="AA121" t="str">
        <x:f>IF(ISBLANK(B121),"",TEXT(B121,"mmm"))</x:f>
        <x:v>Jun</x:v>
      </x:c>
      <x:c r="AB121" s="9" t="n">
        <x:f>IF(ISBLANK(B121),"",YEAR(B121))</x:f>
        <x:v>2024</x:v>
      </x:c>
      <x:c r="AC121" s="10" t="str">
        <x:v>REFUND: Summarize separately</x:v>
      </x:c>
      <x:c r="AD121" t="str">
        <x:f>IF(AND(U121="Completed",T121="Paid",ISERROR(SEARCH("INVALID",AC121)),ISERROR(SEARCH("REVIEW",AC121))),"Include","Exclude")</x:f>
        <x:v>Exclude</x:v>
      </x:c>
      <x:c r="AE121" t="str">
        <x:f>IF(T121="Refunded","Refunded","")</x:f>
        <x:v>Refunded</x:v>
      </x:c>
    </x:row>
    <x:row r="122">
      <x:c r="A122" t="str">
        <x:v>ORD-2024-10121</x:v>
      </x:c>
      <x:c r="B122" s="5" t="n">
        <x:v>45514</x:v>
      </x:c>
      <x:c r="C122" s="5" t="n">
        <x:v>45522</x:v>
      </x:c>
      <x:c r="D122" t="str">
        <x:v>CUST-6096</x:v>
      </x:c>
      <x:c r="E122" t="str">
        <x:v>Sneha Kapoor</x:v>
      </x:c>
      <x:c r="F122" t="str">
        <x:v>Small Business</x:v>
      </x:c>
      <x:c r="G122" t="str">
        <x:v>East</x:v>
      </x:c>
      <x:c r="H122" t="str">
        <x:v>Bihar</x:v>
      </x:c>
      <x:c r="I122" t="str">
        <x:v>Patna</x:v>
      </x:c>
      <x:c r="J122" t="str">
        <x:v>Technology</x:v>
      </x:c>
      <x:c r="K122" t="str">
        <x:v>Phones</x:v>
      </x:c>
      <x:c r="L122" t="str">
        <x:v>Prime Phones 540</x:v>
      </x:c>
      <x:c r="M122" t="str">
        <x:v>Standard Class</x:v>
      </x:c>
      <x:c r="N122" t="n">
        <x:v>1</x:v>
      </x:c>
      <x:c r="O122" s="7" t="n">
        <x:v>1823.67</x:v>
      </x:c>
      <x:c r="P122" s="6" t="n">
        <x:v>0.2</x:v>
      </x:c>
      <x:c r="Q122" s="7" t="n">
        <x:v>1458.94</x:v>
      </x:c>
      <x:c r="R122" s="7" t="n">
        <x:v>893.2</x:v>
      </x:c>
      <x:c r="S122" s="7" t="n">
        <x:v>565.74</x:v>
      </x:c>
      <x:c r="T122" t="str">
        <x:v>Paid</x:v>
      </x:c>
      <x:c r="U122" t="str">
        <x:v>Returned</x:v>
      </x:c>
      <x:c r="V122" s="6" t="n">
        <x:f>IF(ISBLANK(P122),IF(AND(ISNUMBER(N122),N122&gt;0,ISNUMBER(O122),O122&gt;=0,ISNUMBER(Q122),Q122&gt;=0,ISNUMBER(R122),R122&gt;=0,ISNUMBER(S122)),0,""),P122)</x:f>
        <x:v>0.2</x:v>
      </x:c>
      <x:c r="W122" s="7" t="n">
        <x:f>IF(ISBLANK(V122),"",N122*O122*(1-V122))</x:f>
        <x:v>1458.9360000000001</x:v>
      </x:c>
      <x:c r="X122" s="7" t="n">
        <x:f>IF(OR(ISBLANK(W122),ISBLANK(R122)),"",W122-R122)</x:f>
        <x:v>565.7360000000001</x:v>
      </x:c>
      <x:c r="Y122" s="8" t="n">
        <x:f>IF(OR(ISBLANK(W122),W122=0),"",X122/W122)</x:f>
        <x:v>0.38777300717783375</x:v>
      </x:c>
      <x:c r="Z122" s="9" t="n">
        <x:f>IF(OR(ISBLANK(B122),ISBLANK(C122)),"",C122-B122)</x:f>
        <x:v>8</x:v>
      </x:c>
      <x:c r="AA122" t="str">
        <x:f>IF(ISBLANK(B122),"",TEXT(B122,"mmm"))</x:f>
        <x:v>Aug</x:v>
      </x:c>
      <x:c r="AB122" s="9" t="n">
        <x:f>IF(ISBLANK(B122),"",YEAR(B122))</x:f>
        <x:v>2024</x:v>
      </x:c>
      <x:c r="AC122" s="10" t="str"/>
      <x:c r="AD122" t="str">
        <x:f>IF(AND(U122="Completed",T122="Paid",ISERROR(SEARCH("INVALID",AC122)),ISERROR(SEARCH("REVIEW",AC122))),"Include","Exclude")</x:f>
        <x:v>Exclude</x:v>
      </x:c>
      <x:c r="AE122" t="str">
        <x:f>IF(T122="Refunded","Refunded","")</x:f>
      </x:c>
    </x:row>
    <x:row r="123">
      <x:c r="A123" t="str">
        <x:v>ORD-2025-10122</x:v>
      </x:c>
      <x:c r="B123" s="5" t="n">
        <x:v>45891</x:v>
      </x:c>
      <x:c r="C123" s="5" t="n">
        <x:v>45895</x:v>
      </x:c>
      <x:c r="D123" t="str">
        <x:v>CUST-2044</x:v>
      </x:c>
      <x:c r="E123" t="str">
        <x:v>Kabir Singh</x:v>
      </x:c>
      <x:c r="F123" t="str">
        <x:v>Small Business</x:v>
      </x:c>
      <x:c r="G123" t="str">
        <x:v>South</x:v>
      </x:c>
      <x:c r="H123" t="str">
        <x:v>Andhra Pradesh</x:v>
      </x:c>
      <x:c r="I123" t="str">
        <x:v>Vijayawada</x:v>
      </x:c>
      <x:c r="J123" t="str">
        <x:v>Technology</x:v>
      </x:c>
      <x:c r="K123" t="str">
        <x:v>Machines</x:v>
      </x:c>
      <x:c r="L123" t="str">
        <x:v>Max Machines 948</x:v>
      </x:c>
      <x:c r="M123" t="str">
        <x:v>Second Class</x:v>
      </x:c>
      <x:c r="N123" t="n">
        <x:v>5</x:v>
      </x:c>
      <x:c r="O123" s="7" t="n">
        <x:v>3482.92</x:v>
      </x:c>
      <x:c r="P123" s="6" t="n">
        <x:v>0</x:v>
      </x:c>
      <x:c r="Q123" s="7" t="n">
        <x:v>17414.6</x:v>
      </x:c>
      <x:c r="R123" s="7" t="n">
        <x:v>11760.91</x:v>
      </x:c>
      <x:c r="S123" s="7" t="n">
        <x:v>5653.69</x:v>
      </x:c>
      <x:c r="T123" t="str">
        <x:v>Refunded</x:v>
      </x:c>
      <x:c r="U123" t="str">
        <x:v>Cancelled</x:v>
      </x:c>
      <x:c r="V123" s="6" t="n">
        <x:f>IF(ISBLANK(P123),IF(AND(ISNUMBER(N123),N123&gt;0,ISNUMBER(O123),O123&gt;=0,ISNUMBER(Q123),Q123&gt;=0,ISNUMBER(R123),R123&gt;=0,ISNUMBER(S123)),0,""),P123)</x:f>
        <x:v>0</x:v>
      </x:c>
      <x:c r="W123" s="7" t="n">
        <x:f>IF(ISBLANK(V123),"",N123*O123*(1-V123))</x:f>
        <x:v>17414.6</x:v>
      </x:c>
      <x:c r="X123" s="7" t="n">
        <x:f>IF(OR(ISBLANK(W123),ISBLANK(R123)),"",W123-R123)</x:f>
        <x:v>5653.689999999999</x:v>
      </x:c>
      <x:c r="Y123" s="8" t="n">
        <x:f>IF(OR(ISBLANK(W123),W123=0),"",X123/W123)</x:f>
        <x:v>0.3246523032398102</x:v>
      </x:c>
      <x:c r="Z123" s="9" t="n">
        <x:f>IF(OR(ISBLANK(B123),ISBLANK(C123)),"",C123-B123)</x:f>
        <x:v>4</x:v>
      </x:c>
      <x:c r="AA123" t="str">
        <x:f>IF(ISBLANK(B123),"",TEXT(B123,"mmm"))</x:f>
        <x:v>Aug</x:v>
      </x:c>
      <x:c r="AB123" s="9" t="n">
        <x:f>IF(ISBLANK(B123),"",YEAR(B123))</x:f>
        <x:v>2025</x:v>
      </x:c>
      <x:c r="AC123" s="10" t="str">
        <x:v>EXCLUDE: Cancelled order; REFUND: Summarize separately</x:v>
      </x:c>
      <x:c r="AD123" t="str">
        <x:f>IF(AND(U123="Completed",T123="Paid",ISERROR(SEARCH("INVALID",AC123)),ISERROR(SEARCH("REVIEW",AC123))),"Include","Exclude")</x:f>
        <x:v>Exclude</x:v>
      </x:c>
      <x:c r="AE123" t="str">
        <x:f>IF(T123="Refunded","Refunded","")</x:f>
        <x:v>Refunded</x:v>
      </x:c>
    </x:row>
    <x:row r="124">
      <x:c r="A124" t="str">
        <x:v>ORD-2024-10123</x:v>
      </x:c>
      <x:c r="B124" s="5" t="n">
        <x:v>45626</x:v>
      </x:c>
      <x:c r="C124" s="5" t="n">
        <x:v>45630</x:v>
      </x:c>
      <x:c r="D124" t="str">
        <x:v>CUST-1721</x:v>
      </x:c>
      <x:c r="E124" t="str">
        <x:v>Ananya Rao</x:v>
      </x:c>
      <x:c r="F124" t="str">
        <x:v>Small Business</x:v>
      </x:c>
      <x:c r="G124" t="str">
        <x:v>East</x:v>
      </x:c>
      <x:c r="H124" t="str">
        <x:v>Assam</x:v>
      </x:c>
      <x:c r="I124" t="str">
        <x:v>Guwahati</x:v>
      </x:c>
      <x:c r="J124" t="str">
        <x:v>Furniture</x:v>
      </x:c>
      <x:c r="K124" t="str">
        <x:v>Chairs</x:v>
      </x:c>
      <x:c r="L124" t="str">
        <x:v>Max Chairs 786</x:v>
      </x:c>
      <x:c r="M124" t="str">
        <x:v>Second Class</x:v>
      </x:c>
      <x:c r="N124" t="n">
        <x:v>3</x:v>
      </x:c>
      <x:c r="O124" s="7" t="n">
        <x:v>170.35</x:v>
      </x:c>
      <x:c r="P124" s="6" t="n">
        <x:v>0</x:v>
      </x:c>
      <x:c r="Q124" s="7" t="n">
        <x:v>511.05</x:v>
      </x:c>
      <x:c r="R124" s="7" t="n">
        <x:v>367.18</x:v>
      </x:c>
      <x:c r="S124" s="7" t="n">
        <x:v>143.87</x:v>
      </x:c>
      <x:c r="T124" t="str">
        <x:v>Paid</x:v>
      </x:c>
      <x:c r="U124" t="str">
        <x:v>Completed</x:v>
      </x:c>
      <x:c r="V124" s="6" t="n">
        <x:f>IF(ISBLANK(P124),IF(AND(ISNUMBER(N124),N124&gt;0,ISNUMBER(O124),O124&gt;=0,ISNUMBER(Q124),Q124&gt;=0,ISNUMBER(R124),R124&gt;=0,ISNUMBER(S124)),0,""),P124)</x:f>
        <x:v>0</x:v>
      </x:c>
      <x:c r="W124" s="7" t="n">
        <x:f>IF(ISBLANK(V124),"",N124*O124*(1-V124))</x:f>
        <x:v>511.04999999999995</x:v>
      </x:c>
      <x:c r="X124" s="7" t="n">
        <x:f>IF(OR(ISBLANK(W124),ISBLANK(R124)),"",W124-R124)</x:f>
        <x:v>143.86999999999995</x:v>
      </x:c>
      <x:c r="Y124" s="8" t="n">
        <x:f>IF(OR(ISBLANK(W124),W124=0),"",X124/W124)</x:f>
        <x:v>0.2815184424224635</x:v>
      </x:c>
      <x:c r="Z124" s="9" t="n">
        <x:f>IF(OR(ISBLANK(B124),ISBLANK(C124)),"",C124-B124)</x:f>
        <x:v>4</x:v>
      </x:c>
      <x:c r="AA124" t="str">
        <x:f>IF(ISBLANK(B124),"",TEXT(B124,"mmm"))</x:f>
        <x:v>Nov</x:v>
      </x:c>
      <x:c r="AB124" s="9" t="n">
        <x:f>IF(ISBLANK(B124),"",YEAR(B124))</x:f>
        <x:v>2024</x:v>
      </x:c>
      <x:c r="AC124" s="10" t="str"/>
      <x:c r="AD124" t="str">
        <x:f>IF(AND(U124="Completed",T124="Paid",ISERROR(SEARCH("INVALID",AC124)),ISERROR(SEARCH("REVIEW",AC124))),"Include","Exclude")</x:f>
        <x:v>Include</x:v>
      </x:c>
      <x:c r="AE124" t="str">
        <x:f>IF(T124="Refunded","Refunded","")</x:f>
      </x:c>
    </x:row>
    <x:row r="125">
      <x:c r="A125" t="str">
        <x:v>ORD-2024-10124</x:v>
      </x:c>
      <x:c r="B125" s="5" t="n">
        <x:v>45436</x:v>
      </x:c>
      <x:c r="C125" s="5" t="n">
        <x:v>45437</x:v>
      </x:c>
      <x:c r="D125" t="str">
        <x:v>CUST-1007</x:v>
      </x:c>
      <x:c r="E125" t="str">
        <x:v>Sneha Kapoor</x:v>
      </x:c>
      <x:c r="F125" t="str">
        <x:v>Small Business</x:v>
      </x:c>
      <x:c r="G125" t="str">
        <x:v>North</x:v>
      </x:c>
      <x:c r="H125" t="str">
        <x:v>Punjab</x:v>
      </x:c>
      <x:c r="I125" t="str">
        <x:v>Ludhiana</x:v>
      </x:c>
      <x:c r="J125" t="str">
        <x:v>Technology</x:v>
      </x:c>
      <x:c r="K125" t="str">
        <x:v>Copiers</x:v>
      </x:c>
      <x:c r="L125" t="str">
        <x:v>Max Copiers 970</x:v>
      </x:c>
      <x:c r="M125" t="str">
        <x:v>Same Day</x:v>
      </x:c>
      <x:c r="N125" t="n">
        <x:v>1</x:v>
      </x:c>
      <x:c r="O125" s="7" t="n">
        <x:v>634.13</x:v>
      </x:c>
      <x:c r="P125" s="6" t="n">
        <x:v>0</x:v>
      </x:c>
      <x:c r="Q125" s="7" t="n">
        <x:v>634.13</x:v>
      </x:c>
      <x:c r="R125" s="7" t="n">
        <x:v>453.35</x:v>
      </x:c>
      <x:c r="S125" s="7" t="n">
        <x:v>180.78</x:v>
      </x:c>
      <x:c r="T125" t="str">
        <x:v>Refunded</x:v>
      </x:c>
      <x:c r="U125" t="str">
        <x:v>Cancelled</x:v>
      </x:c>
      <x:c r="V125" s="6" t="n">
        <x:f>IF(ISBLANK(P125),IF(AND(ISNUMBER(N125),N125&gt;0,ISNUMBER(O125),O125&gt;=0,ISNUMBER(Q125),Q125&gt;=0,ISNUMBER(R125),R125&gt;=0,ISNUMBER(S125)),0,""),P125)</x:f>
        <x:v>0</x:v>
      </x:c>
      <x:c r="W125" s="7" t="n">
        <x:f>IF(ISBLANK(V125),"",N125*O125*(1-V125))</x:f>
        <x:v>634.13</x:v>
      </x:c>
      <x:c r="X125" s="7" t="n">
        <x:f>IF(OR(ISBLANK(W125),ISBLANK(R125)),"",W125-R125)</x:f>
        <x:v>180.77999999999997</x:v>
      </x:c>
      <x:c r="Y125" s="8" t="n">
        <x:f>IF(OR(ISBLANK(W125),W125=0),"",X125/W125)</x:f>
        <x:v>0.2850835002286597</x:v>
      </x:c>
      <x:c r="Z125" s="9" t="n">
        <x:f>IF(OR(ISBLANK(B125),ISBLANK(C125)),"",C125-B125)</x:f>
        <x:v>1</x:v>
      </x:c>
      <x:c r="AA125" t="str">
        <x:f>IF(ISBLANK(B125),"",TEXT(B125,"mmm"))</x:f>
        <x:v>May</x:v>
      </x:c>
      <x:c r="AB125" s="9" t="n">
        <x:f>IF(ISBLANK(B125),"",YEAR(B125))</x:f>
        <x:v>2024</x:v>
      </x:c>
      <x:c r="AC125" s="10" t="str">
        <x:v>EXCLUDE: Cancelled order; REFUND: Summarize separately; REVIEW: Conflicting duplicate order_id</x:v>
      </x:c>
      <x:c r="AD125" t="str">
        <x:f>IF(AND(U125="Completed",T125="Paid",ISERROR(SEARCH("INVALID",AC125)),ISERROR(SEARCH("REVIEW",AC125))),"Include","Exclude")</x:f>
        <x:v>Exclude</x:v>
      </x:c>
      <x:c r="AE125" t="str">
        <x:f>IF(T125="Refunded","Refunded","")</x:f>
        <x:v>Refunded</x:v>
      </x:c>
    </x:row>
    <x:row r="126">
      <x:c r="A126" t="str">
        <x:v>ORD-2024-10125</x:v>
      </x:c>
      <x:c r="B126" s="5" t="n">
        <x:v>45494</x:v>
      </x:c>
      <x:c r="C126" s="5" t="n">
        <x:v>45497</x:v>
      </x:c>
      <x:c r="D126" t="str">
        <x:v>CUST-4450</x:v>
      </x:c>
      <x:c r="E126" t="str">
        <x:v>Isha Nair</x:v>
      </x:c>
      <x:c r="F126" t="str">
        <x:v>Corporate</x:v>
      </x:c>
      <x:c r="G126" t="str">
        <x:v>South</x:v>
      </x:c>
      <x:c r="H126" t="str">
        <x:v>Karnataka</x:v>
      </x:c>
      <x:c r="I126" t="str">
        <x:v>Bengaluru</x:v>
      </x:c>
      <x:c r="J126" t="str">
        <x:v>Technology</x:v>
      </x:c>
      <x:c r="K126" t="str">
        <x:v>Copiers</x:v>
      </x:c>
      <x:c r="L126" t="str">
        <x:v>Pro Copiers 769</x:v>
      </x:c>
      <x:c r="M126" t="str">
        <x:v>Standard Class</x:v>
      </x:c>
      <x:c r="N126" t="n">
        <x:v>9</x:v>
      </x:c>
      <x:c r="O126" s="7" t="n">
        <x:v>465.06</x:v>
      </x:c>
      <x:c r="P126" s="6" t="n">
        <x:v>-0.15</x:v>
      </x:c>
      <x:c r="Q126" s="7" t="n">
        <x:v>4185.54</x:v>
      </x:c>
      <x:c r="R126" s="7" t="n">
        <x:v>3443.74</x:v>
      </x:c>
      <x:c r="S126" s="7" t="n">
        <x:v>741.8</x:v>
      </x:c>
      <x:c r="T126" t="str">
        <x:v>Paid</x:v>
      </x:c>
      <x:c r="U126" t="str">
        <x:v>Completed</x:v>
      </x:c>
      <x:c r="V126" s="6" t="n">
        <x:f>IF(ISBLANK(P126),IF(AND(ISNUMBER(N126),N126&gt;0,ISNUMBER(O126),O126&gt;=0,ISNUMBER(Q126),Q126&gt;=0,ISNUMBER(R126),R126&gt;=0,ISNUMBER(S126)),0,""),P126)</x:f>
        <x:v>-0.15</x:v>
      </x:c>
      <x:c r="W126" s="7" t="n">
        <x:f>IF(ISBLANK(V126),"",N126*O126*(1-V126))</x:f>
        <x:v>4813.370999999999</x:v>
      </x:c>
      <x:c r="X126" s="7" t="n">
        <x:f>IF(OR(ISBLANK(W126),ISBLANK(R126)),"",W126-R126)</x:f>
        <x:v>1369.6309999999994</x:v>
      </x:c>
      <x:c r="Y126" s="8" t="n">
        <x:f>IF(OR(ISBLANK(W126),W126=0),"",X126/W126)</x:f>
        <x:v>0.28454715001191466</x:v>
      </x:c>
      <x:c r="Z126" s="9" t="n">
        <x:f>IF(OR(ISBLANK(B126),ISBLANK(C126)),"",C126-B126)</x:f>
        <x:v>3</x:v>
      </x:c>
      <x:c r="AA126" t="str">
        <x:f>IF(ISBLANK(B126),"",TEXT(B126,"mmm"))</x:f>
        <x:v>Jul</x:v>
      </x:c>
      <x:c r="AB126" s="9" t="n">
        <x:f>IF(ISBLANK(B126),"",YEAR(B126))</x:f>
        <x:v>2024</x:v>
      </x:c>
      <x:c r="AC126" s="10" t="str">
        <x:v>INVALID: Negative discount</x:v>
      </x:c>
      <x:c r="AD126" t="str">
        <x:f>IF(AND(U126="Completed",T126="Paid",ISERROR(SEARCH("INVALID",AC126)),ISERROR(SEARCH("REVIEW",AC126))),"Include","Exclude")</x:f>
        <x:v>Exclude</x:v>
      </x:c>
      <x:c r="AE126" t="str">
        <x:f>IF(T126="Refunded","Refunded","")</x:f>
      </x:c>
    </x:row>
    <x:row r="127">
      <x:c r="A127" t="str">
        <x:v>ORD-2025-10126</x:v>
      </x:c>
      <x:c r="B127" s="5" t="n">
        <x:v>45855</x:v>
      </x:c>
      <x:c r="C127" s="5" t="n">
        <x:v>45856</x:v>
      </x:c>
      <x:c r="D127" t="str">
        <x:v>CUST-7924</x:v>
      </x:c>
      <x:c r="E127" t="str">
        <x:v>Neha Gupta</x:v>
      </x:c>
      <x:c r="F127" t="str">
        <x:v>Small Business</x:v>
      </x:c>
      <x:c r="G127" t="str">
        <x:v>West</x:v>
      </x:c>
      <x:c r="H127" t="str">
        <x:v>Rajasthan</x:v>
      </x:c>
      <x:c r="I127" t="str">
        <x:v>Udaipur</x:v>
      </x:c>
      <x:c r="J127" t="str">
        <x:v>Furniture</x:v>
      </x:c>
      <x:c r="K127" t="str">
        <x:v>Tables</x:v>
      </x:c>
      <x:c r="L127" t="str">
        <x:v>Basic Tables 753</x:v>
      </x:c>
      <x:c r="M127" t="str">
        <x:v>Same Day</x:v>
      </x:c>
      <x:c r="N127" t="n">
        <x:v>6</x:v>
      </x:c>
      <x:c r="O127" s="7" t="n">
        <x:v>3235.27</x:v>
      </x:c>
      <x:c r="P127" s="6" t="n">
        <x:v>0.25</x:v>
      </x:c>
      <x:c r="Q127" s="7" t="n">
        <x:v>14558.72</x:v>
      </x:c>
      <x:c r="R127" s="7" t="n">
        <x:v>9591.48</x:v>
      </x:c>
      <x:c r="S127" s="7" t="n">
        <x:v>4967.24</x:v>
      </x:c>
      <x:c r="T127" t="str">
        <x:v>Refunded</x:v>
      </x:c>
      <x:c r="U127" t="str">
        <x:v>Returned</x:v>
      </x:c>
      <x:c r="V127" s="6" t="n">
        <x:f>IF(ISBLANK(P127),IF(AND(ISNUMBER(N127),N127&gt;0,ISNUMBER(O127),O127&gt;=0,ISNUMBER(Q127),Q127&gt;=0,ISNUMBER(R127),R127&gt;=0,ISNUMBER(S127)),0,""),P127)</x:f>
        <x:v>0.25</x:v>
      </x:c>
      <x:c r="W127" s="7" t="n">
        <x:f>IF(ISBLANK(V127),"",N127*O127*(1-V127))</x:f>
        <x:v>14558.715</x:v>
      </x:c>
      <x:c r="X127" s="7" t="n">
        <x:f>IF(OR(ISBLANK(W127),ISBLANK(R127)),"",W127-R127)</x:f>
        <x:v>4967.235000000001</x:v>
      </x:c>
      <x:c r="Y127" s="8" t="n">
        <x:f>IF(OR(ISBLANK(W127),W127=0),"",X127/W127)</x:f>
        <x:v>0.341186361571059</x:v>
      </x:c>
      <x:c r="Z127" s="9" t="n">
        <x:f>IF(OR(ISBLANK(B127),ISBLANK(C127)),"",C127-B127)</x:f>
        <x:v>1</x:v>
      </x:c>
      <x:c r="AA127" t="str">
        <x:f>IF(ISBLANK(B127),"",TEXT(B127,"mmm"))</x:f>
        <x:v>Jul</x:v>
      </x:c>
      <x:c r="AB127" s="9" t="n">
        <x:f>IF(ISBLANK(B127),"",YEAR(B127))</x:f>
        <x:v>2025</x:v>
      </x:c>
      <x:c r="AC127" s="10" t="str">
        <x:v>REFUND: Summarize separately</x:v>
      </x:c>
      <x:c r="AD127" t="str">
        <x:f>IF(AND(U127="Completed",T127="Paid",ISERROR(SEARCH("INVALID",AC127)),ISERROR(SEARCH("REVIEW",AC127))),"Include","Exclude")</x:f>
        <x:v>Exclude</x:v>
      </x:c>
      <x:c r="AE127" t="str">
        <x:f>IF(T127="Refunded","Refunded","")</x:f>
        <x:v>Refunded</x:v>
      </x:c>
    </x:row>
    <x:row r="128">
      <x:c r="A128" t="str">
        <x:v>ORD-2025-10127</x:v>
      </x:c>
      <x:c r="B128" s="5" t="n">
        <x:v>45924</x:v>
      </x:c>
      <x:c r="C128" s="5" t="n">
        <x:v>45926</x:v>
      </x:c>
      <x:c r="D128" t="str">
        <x:v>CUST-1715</x:v>
      </x:c>
      <x:c r="E128" t="str">
        <x:v>Priya Menon</x:v>
      </x:c>
      <x:c r="F128" t="str">
        <x:v>Corporate</x:v>
      </x:c>
      <x:c r="G128" t="str">
        <x:v>North</x:v>
      </x:c>
      <x:c r="H128" t="str">
        <x:v>Delhi</x:v>
      </x:c>
      <x:c r="I128" t="str">
        <x:v>New Delhi</x:v>
      </x:c>
      <x:c r="J128" t="str">
        <x:v>Technology</x:v>
      </x:c>
      <x:c r="K128" t="str">
        <x:v>Copiers</x:v>
      </x:c>
      <x:c r="L128" t="str">
        <x:v>Prime Copiers 651</x:v>
      </x:c>
      <x:c r="M128" t="str">
        <x:v>Standard Class</x:v>
      </x:c>
      <x:c r="N128" t="n">
        <x:v>3</x:v>
      </x:c>
      <x:c r="O128" s="7" t="n">
        <x:v>1593.86</x:v>
      </x:c>
      <x:c r="P128" s="6" t="n">
        <x:v>0.1</x:v>
      </x:c>
      <x:c r="Q128" s="7" t="n">
        <x:v>4303.42</x:v>
      </x:c>
      <x:c r="R128" s="7" t="n">
        <x:v>2568.57</x:v>
      </x:c>
      <x:c r="S128" s="7" t="n">
        <x:v>1734.85</x:v>
      </x:c>
      <x:c r="T128" t="str">
        <x:v>Paid</x:v>
      </x:c>
      <x:c r="U128" t="str">
        <x:v>Completed</x:v>
      </x:c>
      <x:c r="V128" s="6" t="n">
        <x:f>IF(ISBLANK(P128),IF(AND(ISNUMBER(N128),N128&gt;0,ISNUMBER(O128),O128&gt;=0,ISNUMBER(Q128),Q128&gt;=0,ISNUMBER(R128),R128&gt;=0,ISNUMBER(S128)),0,""),P128)</x:f>
        <x:v>0.1</x:v>
      </x:c>
      <x:c r="W128" s="7" t="n">
        <x:f>IF(ISBLANK(V128),"",N128*O128*(1-V128))</x:f>
        <x:v>4303.4220000000005</x:v>
      </x:c>
      <x:c r="X128" s="7" t="n">
        <x:f>IF(OR(ISBLANK(W128),ISBLANK(R128)),"",W128-R128)</x:f>
        <x:v>1734.8520000000003</x:v>
      </x:c>
      <x:c r="Y128" s="8" t="n">
        <x:f>IF(OR(ISBLANK(W128),W128=0),"",X128/W128)</x:f>
        <x:v>0.40313313451481175</x:v>
      </x:c>
      <x:c r="Z128" s="9" t="n">
        <x:f>IF(OR(ISBLANK(B128),ISBLANK(C128)),"",C128-B128)</x:f>
        <x:v>2</x:v>
      </x:c>
      <x:c r="AA128" t="str">
        <x:f>IF(ISBLANK(B128),"",TEXT(B128,"mmm"))</x:f>
        <x:v>Sep</x:v>
      </x:c>
      <x:c r="AB128" s="9" t="n">
        <x:f>IF(ISBLANK(B128),"",YEAR(B128))</x:f>
        <x:v>2025</x:v>
      </x:c>
      <x:c r="AC128" s="10" t="str"/>
      <x:c r="AD128" t="str">
        <x:f>IF(AND(U128="Completed",T128="Paid",ISERROR(SEARCH("INVALID",AC128)),ISERROR(SEARCH("REVIEW",AC128))),"Include","Exclude")</x:f>
        <x:v>Include</x:v>
      </x:c>
      <x:c r="AE128" t="str">
        <x:f>IF(T128="Refunded","Refunded","")</x:f>
      </x:c>
    </x:row>
    <x:row r="129">
      <x:c r="A129" t="str">
        <x:v>ORD-2025-10128</x:v>
      </x:c>
      <x:c r="B129" s="5" t="n">
        <x:v>45687</x:v>
      </x:c>
      <x:c r="C129" s="5" t="n">
        <x:v>45683</x:v>
      </x:c>
      <x:c r="D129" t="str">
        <x:v>CUST-6802</x:v>
      </x:c>
      <x:c r="E129" t="str">
        <x:v>Priya Menon</x:v>
      </x:c>
      <x:c r="F129" t="str">
        <x:v>Corporate</x:v>
      </x:c>
      <x:c r="G129" t="str">
        <x:v>West</x:v>
      </x:c>
      <x:c r="H129" t="str">
        <x:v>Madhya Pradesh</x:v>
      </x:c>
      <x:c r="I129" t="str">
        <x:v>Indore</x:v>
      </x:c>
      <x:c r="J129" t="str">
        <x:v>Office Supplies</x:v>
      </x:c>
      <x:c r="K129" t="str">
        <x:v>Storage</x:v>
      </x:c>
      <x:c r="L129" t="str">
        <x:v>Basic Storage 321</x:v>
      </x:c>
      <x:c r="M129" t="str">
        <x:v>Second Class</x:v>
      </x:c>
      <x:c r="N129" t="n">
        <x:v>2</x:v>
      </x:c>
      <x:c r="O129" s="7" t="n">
        <x:v>3039.3</x:v>
      </x:c>
      <x:c r="P129" s="6" t="n">
        <x:v>0.05</x:v>
      </x:c>
      <x:c r="Q129" s="7" t="n">
        <x:v>5774.67</x:v>
      </x:c>
      <x:c r="R129" s="7" t="n">
        <x:v>3518.36</x:v>
      </x:c>
      <x:c r="S129" s="7" t="n">
        <x:v>2256.31</x:v>
      </x:c>
      <x:c r="T129" t="str">
        <x:v>Paid</x:v>
      </x:c>
      <x:c r="U129" t="str">
        <x:v>Completed</x:v>
      </x:c>
      <x:c r="V129" s="6" t="n">
        <x:f>IF(ISBLANK(P129),IF(AND(ISNUMBER(N129),N129&gt;0,ISNUMBER(O129),O129&gt;=0,ISNUMBER(Q129),Q129&gt;=0,ISNUMBER(R129),R129&gt;=0,ISNUMBER(S129)),0,""),P129)</x:f>
        <x:v>0.05</x:v>
      </x:c>
      <x:c r="W129" s="7" t="n">
        <x:f>IF(ISBLANK(V129),"",N129*O129*(1-V129))</x:f>
        <x:v>5774.67</x:v>
      </x:c>
      <x:c r="X129" s="7" t="n">
        <x:f>IF(OR(ISBLANK(W129),ISBLANK(R129)),"",W129-R129)</x:f>
        <x:v>2256.31</x:v>
      </x:c>
      <x:c r="Y129" s="8" t="n">
        <x:f>IF(OR(ISBLANK(W129),W129=0),"",X129/W129)</x:f>
        <x:v>0.3907253574663141</x:v>
      </x:c>
      <x:c r="Z129" s="9" t="n">
        <x:f>IF(OR(ISBLANK(B129),ISBLANK(C129)),"",C129-B129)</x:f>
        <x:v>-4</x:v>
      </x:c>
      <x:c r="AA129" t="str">
        <x:f>IF(ISBLANK(B129),"",TEXT(B129,"mmm"))</x:f>
        <x:v>Jan</x:v>
      </x:c>
      <x:c r="AB129" s="9" t="n">
        <x:f>IF(ISBLANK(B129),"",YEAR(B129))</x:f>
        <x:v>2025</x:v>
      </x:c>
      <x:c r="AC129" s="10" t="str">
        <x:v>INVALID: Ship date before order date</x:v>
      </x:c>
      <x:c r="AD129" t="str">
        <x:f>IF(AND(U129="Completed",T129="Paid",ISERROR(SEARCH("INVALID",AC129)),ISERROR(SEARCH("REVIEW",AC129))),"Include","Exclude")</x:f>
        <x:v>Exclude</x:v>
      </x:c>
      <x:c r="AE129" t="str">
        <x:f>IF(T129="Refunded","Refunded","")</x:f>
      </x:c>
    </x:row>
    <x:row r="130">
      <x:c r="A130" t="str">
        <x:v>ORD-2024-10129</x:v>
      </x:c>
      <x:c r="B130" s="5" t="n">
        <x:v>45639</x:v>
      </x:c>
      <x:c r="C130" s="5" t="n">
        <x:v>45642</x:v>
      </x:c>
      <x:c r="D130" t="str">
        <x:v>CUST-9328</x:v>
      </x:c>
      <x:c r="E130" t="str">
        <x:v>Neha Gupta</x:v>
      </x:c>
      <x:c r="F130" t="str">
        <x:v>Small Business</x:v>
      </x:c>
      <x:c r="G130" t="str">
        <x:v>East</x:v>
      </x:c>
      <x:c r="H130" t="str">
        <x:v>Odisha</x:v>
      </x:c>
      <x:c r="I130" t="str">
        <x:v>Bhubaneswar</x:v>
      </x:c>
      <x:c r="J130" t="str">
        <x:v>Furniture</x:v>
      </x:c>
      <x:c r="K130" t="str">
        <x:v>Furnishings</x:v>
      </x:c>
      <x:c r="L130" t="str">
        <x:v>Prime Furnishings 710</x:v>
      </x:c>
      <x:c r="M130" t="str">
        <x:v>Standard Class</x:v>
      </x:c>
      <x:c r="N130" t="n">
        <x:v>5</x:v>
      </x:c>
      <x:c r="O130" s="7" t="n">
        <x:v>923.45</x:v>
      </x:c>
      <x:c r="P130" s="6" t="n">
        <x:v>0.05</x:v>
      </x:c>
      <x:c r="Q130" s="7" t="n">
        <x:v>4386.39</x:v>
      </x:c>
      <x:c r="R130" s="7" t="n">
        <x:v>3366.88</x:v>
      </x:c>
      <x:c r="S130" s="7" t="n">
        <x:v>1019.51</x:v>
      </x:c>
      <x:c r="T130" t="str">
        <x:v>Paid</x:v>
      </x:c>
      <x:c r="U130" t="str">
        <x:v>Returned</x:v>
      </x:c>
      <x:c r="V130" s="6" t="n">
        <x:f>IF(ISBLANK(P130),IF(AND(ISNUMBER(N130),N130&gt;0,ISNUMBER(O130),O130&gt;=0,ISNUMBER(Q130),Q130&gt;=0,ISNUMBER(R130),R130&gt;=0,ISNUMBER(S130)),0,""),P130)</x:f>
        <x:v>0.05</x:v>
      </x:c>
      <x:c r="W130" s="7" t="n">
        <x:f>IF(ISBLANK(V130),"",N130*O130*(1-V130))</x:f>
        <x:v>4386.3875</x:v>
      </x:c>
      <x:c r="X130" s="7" t="n">
        <x:f>IF(OR(ISBLANK(W130),ISBLANK(R130)),"",W130-R130)</x:f>
        <x:v>1019.5074999999997</x:v>
      </x:c>
      <x:c r="Y130" s="8" t="n">
        <x:f>IF(OR(ISBLANK(W130),W130=0),"",X130/W130)</x:f>
        <x:v>0.2324253158208206</x:v>
      </x:c>
      <x:c r="Z130" s="9" t="n">
        <x:f>IF(OR(ISBLANK(B130),ISBLANK(C130)),"",C130-B130)</x:f>
        <x:v>3</x:v>
      </x:c>
      <x:c r="AA130" t="str">
        <x:f>IF(ISBLANK(B130),"",TEXT(B130,"mmm"))</x:f>
        <x:v>Dec</x:v>
      </x:c>
      <x:c r="AB130" s="9" t="n">
        <x:f>IF(ISBLANK(B130),"",YEAR(B130))</x:f>
        <x:v>2024</x:v>
      </x:c>
      <x:c r="AC130" s="10" t="str"/>
      <x:c r="AD130" t="str">
        <x:f>IF(AND(U130="Completed",T130="Paid",ISERROR(SEARCH("INVALID",AC130)),ISERROR(SEARCH("REVIEW",AC130))),"Include","Exclude")</x:f>
        <x:v>Exclude</x:v>
      </x:c>
      <x:c r="AE130" t="str">
        <x:f>IF(T130="Refunded","Refunded","")</x:f>
      </x:c>
    </x:row>
    <x:row r="131">
      <x:c r="A131" t="str">
        <x:v>ORD-2024-10130</x:v>
      </x:c>
      <x:c r="B131" s="5" t="n">
        <x:v>45492</x:v>
      </x:c>
      <x:c r="C131" s="5" t="n">
        <x:v>45498</x:v>
      </x:c>
      <x:c r="D131" t="str">
        <x:v>CUST-2588</x:v>
      </x:c>
      <x:c r="E131" t="str">
        <x:v>Isha Nair</x:v>
      </x:c>
      <x:c r="F131" t="str">
        <x:v>Small Business</x:v>
      </x:c>
      <x:c r="G131" t="str">
        <x:v>West</x:v>
      </x:c>
      <x:c r="H131" t="str">
        <x:v>Goa</x:v>
      </x:c>
      <x:c r="I131" t="str">
        <x:v>Panaji</x:v>
      </x:c>
      <x:c r="J131" t="str">
        <x:v>Office Supplies</x:v>
      </x:c>
      <x:c r="K131" t="str">
        <x:v>Binders</x:v>
      </x:c>
      <x:c r="L131" t="str">
        <x:v>Elite Binders 723</x:v>
      </x:c>
      <x:c r="M131" t="str">
        <x:v>Standard Class</x:v>
      </x:c>
      <x:c r="N131" t="n">
        <x:v>7</x:v>
      </x:c>
      <x:c r="O131" s="7" t="n">
        <x:v>2741.29</x:v>
      </x:c>
      <x:c r="P131" s="6" t="n">
        <x:v>0.05</x:v>
      </x:c>
      <x:c r="Q131" s="7" t="n">
        <x:v>18229.58</x:v>
      </x:c>
      <x:c r="R131" s="7" t="n">
        <x:v>15139.15</x:v>
      </x:c>
      <x:c r="S131" s="7" t="n">
        <x:v>3090.43</x:v>
      </x:c>
      <x:c r="T131" t="str">
        <x:v>Paid</x:v>
      </x:c>
      <x:c r="U131" t="str">
        <x:v>Completed</x:v>
      </x:c>
      <x:c r="V131" s="6" t="n">
        <x:f>IF(ISBLANK(P131),IF(AND(ISNUMBER(N131),N131&gt;0,ISNUMBER(O131),O131&gt;=0,ISNUMBER(Q131),Q131&gt;=0,ISNUMBER(R131),R131&gt;=0,ISNUMBER(S131)),0,""),P131)</x:f>
        <x:v>0.05</x:v>
      </x:c>
      <x:c r="W131" s="7" t="n">
        <x:f>IF(ISBLANK(V131),"",N131*O131*(1-V131))</x:f>
        <x:v>18229.5785</x:v>
      </x:c>
      <x:c r="X131" s="7" t="n">
        <x:f>IF(OR(ISBLANK(W131),ISBLANK(R131)),"",W131-R131)</x:f>
        <x:v>3090.4285</x:v>
      </x:c>
      <x:c r="Y131" s="8" t="n">
        <x:f>IF(OR(ISBLANK(W131),W131=0),"",X131/W131)</x:f>
        <x:v>0.16952824773211295</x:v>
      </x:c>
      <x:c r="Z131" s="9" t="n">
        <x:f>IF(OR(ISBLANK(B131),ISBLANK(C131)),"",C131-B131)</x:f>
        <x:v>6</x:v>
      </x:c>
      <x:c r="AA131" t="str">
        <x:f>IF(ISBLANK(B131),"",TEXT(B131,"mmm"))</x:f>
        <x:v>Jul</x:v>
      </x:c>
      <x:c r="AB131" s="9" t="n">
        <x:f>IF(ISBLANK(B131),"",YEAR(B131))</x:f>
        <x:v>2024</x:v>
      </x:c>
      <x:c r="AC131" s="10" t="str"/>
      <x:c r="AD131" t="str">
        <x:f>IF(AND(U131="Completed",T131="Paid",ISERROR(SEARCH("INVALID",AC131)),ISERROR(SEARCH("REVIEW",AC131))),"Include","Exclude")</x:f>
        <x:v>Include</x:v>
      </x:c>
      <x:c r="AE131" t="str">
        <x:f>IF(T131="Refunded","Refunded","")</x:f>
      </x:c>
    </x:row>
    <x:row r="132">
      <x:c r="A132" t="str">
        <x:v>ORD-2024-10131</x:v>
      </x:c>
      <x:c r="B132" s="5" t="n">
        <x:v>45318</x:v>
      </x:c>
      <x:c r="C132" s="5" t="n">
        <x:v>45324</x:v>
      </x:c>
      <x:c r="D132" t="str">
        <x:v>CUST-5435</x:v>
      </x:c>
      <x:c r="E132" t="str">
        <x:v>Arjun Bose</x:v>
      </x:c>
      <x:c r="F132" t="str">
        <x:v>Consumer</x:v>
      </x:c>
      <x:c r="G132" t="str">
        <x:v>West</x:v>
      </x:c>
      <x:c r="H132" t="str">
        <x:v>Gujarat</x:v>
      </x:c>
      <x:c r="I132" t="str">
        <x:v>Ahmedabad</x:v>
      </x:c>
      <x:c r="J132" t="str">
        <x:v>Office Supplies</x:v>
      </x:c>
      <x:c r="K132" t="str">
        <x:v>Labels</x:v>
      </x:c>
      <x:c r="L132" t="str">
        <x:v>Smart Labels 878</x:v>
      </x:c>
      <x:c r="M132" t="str">
        <x:v>Same Day</x:v>
      </x:c>
      <x:c r="N132" t="n">
        <x:v>5</x:v>
      </x:c>
      <x:c r="O132" s="7" t="n">
        <x:v>218.42</x:v>
      </x:c>
      <x:c r="P132" s="6" t="n">
        <x:v>0.2</x:v>
      </x:c>
      <x:c r="Q132" s="7" t="n">
        <x:v>873.68</x:v>
      </x:c>
      <x:c r="R132" s="7" t="n">
        <x:v>661.72</x:v>
      </x:c>
      <x:c r="S132" s="7" t="n">
        <x:v>211.96</x:v>
      </x:c>
      <x:c r="T132" t="str">
        <x:v>Pending</x:v>
      </x:c>
      <x:c r="U132" t="str">
        <x:v>Cancelled</x:v>
      </x:c>
      <x:c r="V132" s="6" t="n">
        <x:f>IF(ISBLANK(P132),IF(AND(ISNUMBER(N132),N132&gt;0,ISNUMBER(O132),O132&gt;=0,ISNUMBER(Q132),Q132&gt;=0,ISNUMBER(R132),R132&gt;=0,ISNUMBER(S132)),0,""),P132)</x:f>
        <x:v>0.2</x:v>
      </x:c>
      <x:c r="W132" s="7" t="n">
        <x:f>IF(ISBLANK(V132),"",N132*O132*(1-V132))</x:f>
        <x:v>873.68</x:v>
      </x:c>
      <x:c r="X132" s="7" t="n">
        <x:f>IF(OR(ISBLANK(W132),ISBLANK(R132)),"",W132-R132)</x:f>
        <x:v>211.95999999999992</x:v>
      </x:c>
      <x:c r="Y132" s="8" t="n">
        <x:f>IF(OR(ISBLANK(W132),W132=0),"",X132/W132)</x:f>
        <x:v>0.24260598846259493</x:v>
      </x:c>
      <x:c r="Z132" s="9" t="n">
        <x:f>IF(OR(ISBLANK(B132),ISBLANK(C132)),"",C132-B132)</x:f>
        <x:v>6</x:v>
      </x:c>
      <x:c r="AA132" t="str">
        <x:f>IF(ISBLANK(B132),"",TEXT(B132,"mmm"))</x:f>
        <x:v>Jan</x:v>
      </x:c>
      <x:c r="AB132" s="9" t="n">
        <x:f>IF(ISBLANK(B132),"",YEAR(B132))</x:f>
        <x:v>2024</x:v>
      </x:c>
      <x:c r="AC132" s="10" t="str">
        <x:v>EXCLUDE: Cancelled order</x:v>
      </x:c>
      <x:c r="AD132" t="str">
        <x:f>IF(AND(U132="Completed",T132="Paid",ISERROR(SEARCH("INVALID",AC132)),ISERROR(SEARCH("REVIEW",AC132))),"Include","Exclude")</x:f>
        <x:v>Exclude</x:v>
      </x:c>
      <x:c r="AE132" t="str">
        <x:f>IF(T132="Refunded","Refunded","")</x:f>
      </x:c>
    </x:row>
    <x:row r="133">
      <x:c r="A133" t="str">
        <x:v>ORD-2025-10132</x:v>
      </x:c>
      <x:c r="B133" s="5" t="n">
        <x:v>45929</x:v>
      </x:c>
      <x:c r="C133" s="5" t="n">
        <x:v>45934</x:v>
      </x:c>
      <x:c r="D133" t="str">
        <x:v>CUST-7637</x:v>
      </x:c>
      <x:c r="E133" t="str">
        <x:v>Ananya Rao</x:v>
      </x:c>
      <x:c r="F133" t="str">
        <x:v>Home Office</x:v>
      </x:c>
      <x:c r="G133" t="str">
        <x:v>East</x:v>
      </x:c>
      <x:c r="H133" t="str">
        <x:v>Jharkhand</x:v>
      </x:c>
      <x:c r="I133" t="str">
        <x:v>Ranchi</x:v>
      </x:c>
      <x:c r="J133" t="str">
        <x:v>Office Supplies</x:v>
      </x:c>
      <x:c r="K133" t="str">
        <x:v>Paper</x:v>
      </x:c>
      <x:c r="L133" t="str">
        <x:v>Pro Paper 934</x:v>
      </x:c>
      <x:c r="M133" t="str">
        <x:v>Same Day</x:v>
      </x:c>
      <x:c r="N133" t="n">
        <x:v>9</x:v>
      </x:c>
      <x:c r="O133" s="7" t="n">
        <x:v>373.91</x:v>
      </x:c>
      <x:c r="P133" s="6" t="n">
        <x:v>0.2</x:v>
      </x:c>
      <x:c r="Q133" s="7" t="n">
        <x:v>2692.15</x:v>
      </x:c>
      <x:c r="R133" s="7" t="n">
        <x:v>2044.49</x:v>
      </x:c>
      <x:c r="S133" s="7" t="n">
        <x:v>647.66</x:v>
      </x:c>
      <x:c r="T133" t="str">
        <x:v>Paid</x:v>
      </x:c>
      <x:c r="U133" t="str">
        <x:v>Completed</x:v>
      </x:c>
      <x:c r="V133" s="6" t="n">
        <x:f>IF(ISBLANK(P133),IF(AND(ISNUMBER(N133),N133&gt;0,ISNUMBER(O133),O133&gt;=0,ISNUMBER(Q133),Q133&gt;=0,ISNUMBER(R133),R133&gt;=0,ISNUMBER(S133)),0,""),P133)</x:f>
        <x:v>0.2</x:v>
      </x:c>
      <x:c r="W133" s="7" t="n">
        <x:f>IF(ISBLANK(V133),"",N133*O133*(1-V133))</x:f>
        <x:v>2692.152</x:v>
      </x:c>
      <x:c r="X133" s="7" t="n">
        <x:f>IF(OR(ISBLANK(W133),ISBLANK(R133)),"",W133-R133)</x:f>
        <x:v>647.662</x:v>
      </x:c>
      <x:c r="Y133" s="8" t="n">
        <x:f>IF(OR(ISBLANK(W133),W133=0),"",X133/W133)</x:f>
        <x:v>0.24057408348414205</x:v>
      </x:c>
      <x:c r="Z133" s="9" t="n">
        <x:f>IF(OR(ISBLANK(B133),ISBLANK(C133)),"",C133-B133)</x:f>
        <x:v>5</x:v>
      </x:c>
      <x:c r="AA133" t="str">
        <x:f>IF(ISBLANK(B133),"",TEXT(B133,"mmm"))</x:f>
        <x:v>Sep</x:v>
      </x:c>
      <x:c r="AB133" s="9" t="n">
        <x:f>IF(ISBLANK(B133),"",YEAR(B133))</x:f>
        <x:v>2025</x:v>
      </x:c>
      <x:c r="AC133" s="10" t="str"/>
      <x:c r="AD133" t="str">
        <x:f>IF(AND(U133="Completed",T133="Paid",ISERROR(SEARCH("INVALID",AC133)),ISERROR(SEARCH("REVIEW",AC133))),"Include","Exclude")</x:f>
        <x:v>Include</x:v>
      </x:c>
      <x:c r="AE133" t="str">
        <x:f>IF(T133="Refunded","Refunded","")</x:f>
      </x:c>
    </x:row>
    <x:row r="134">
      <x:c r="A134" t="str">
        <x:v>ORD-2024-10133</x:v>
      </x:c>
      <x:c r="B134" s="5" t="n">
        <x:v>45600</x:v>
      </x:c>
      <x:c r="C134" s="5" t="n">
        <x:v>45600</x:v>
      </x:c>
      <x:c r="D134" t="str">
        <x:v>CUST-3602</x:v>
      </x:c>
      <x:c r="E134" t="str">
        <x:v>Kabir Singh</x:v>
      </x:c>
      <x:c r="F134" t="str">
        <x:v>Corporate</x:v>
      </x:c>
      <x:c r="G134" t="str">
        <x:v>East</x:v>
      </x:c>
      <x:c r="H134" t="str">
        <x:v>Assam</x:v>
      </x:c>
      <x:c r="I134" t="str">
        <x:v>Guwahati</x:v>
      </x:c>
      <x:c r="J134" t="str">
        <x:v>Technology</x:v>
      </x:c>
      <x:c r="K134" t="str">
        <x:v>Machines</x:v>
      </x:c>
      <x:c r="L134" t="str">
        <x:v>Classic Machines 886</x:v>
      </x:c>
      <x:c r="M134" t="str">
        <x:v>First Class</x:v>
      </x:c>
      <x:c r="N134" t="n">
        <x:v>2</x:v>
      </x:c>
      <x:c r="O134" s="7" t="n">
        <x:v>533.08</x:v>
      </x:c>
      <x:c r="P134" s="6" t="n">
        <x:v>0</x:v>
      </x:c>
      <x:c r="Q134" s="7" t="n">
        <x:v>1066.16</x:v>
      </x:c>
      <x:c r="R134" s="7" t="n">
        <x:v>656.3</x:v>
      </x:c>
      <x:c r="S134" s="7" t="n">
        <x:v>409.86</x:v>
      </x:c>
      <x:c r="T134" t="str">
        <x:v>Failed</x:v>
      </x:c>
      <x:c r="U134" t="str">
        <x:v>Cancelled</x:v>
      </x:c>
      <x:c r="V134" s="6" t="n">
        <x:f>IF(ISBLANK(P134),IF(AND(ISNUMBER(N134),N134&gt;0,ISNUMBER(O134),O134&gt;=0,ISNUMBER(Q134),Q134&gt;=0,ISNUMBER(R134),R134&gt;=0,ISNUMBER(S134)),0,""),P134)</x:f>
        <x:v>0</x:v>
      </x:c>
      <x:c r="W134" s="7" t="n">
        <x:f>IF(ISBLANK(V134),"",N134*O134*(1-V134))</x:f>
        <x:v>1066.16</x:v>
      </x:c>
      <x:c r="X134" s="7" t="n">
        <x:f>IF(OR(ISBLANK(W134),ISBLANK(R134)),"",W134-R134)</x:f>
        <x:v>409.8600000000001</x:v>
      </x:c>
      <x:c r="Y134" s="8" t="n">
        <x:f>IF(OR(ISBLANK(W134),W134=0),"",X134/W134)</x:f>
        <x:v>0.3844263525174459</x:v>
      </x:c>
      <x:c r="Z134" s="9" t="n">
        <x:f>IF(OR(ISBLANK(B134),ISBLANK(C134)),"",C134-B134)</x:f>
        <x:v>0</x:v>
      </x:c>
      <x:c r="AA134" t="str">
        <x:f>IF(ISBLANK(B134),"",TEXT(B134,"mmm"))</x:f>
        <x:v>Nov</x:v>
      </x:c>
      <x:c r="AB134" s="9" t="n">
        <x:f>IF(ISBLANK(B134),"",YEAR(B134))</x:f>
        <x:v>2024</x:v>
      </x:c>
      <x:c r="AC134" s="10" t="str">
        <x:v>EXCLUDE: Cancelled order; EXCLUDE: Failed payment</x:v>
      </x:c>
      <x:c r="AD134" t="str">
        <x:f>IF(AND(U134="Completed",T134="Paid",ISERROR(SEARCH("INVALID",AC134)),ISERROR(SEARCH("REVIEW",AC134))),"Include","Exclude")</x:f>
        <x:v>Exclude</x:v>
      </x:c>
      <x:c r="AE134" t="str">
        <x:f>IF(T134="Refunded","Refunded","")</x:f>
      </x:c>
    </x:row>
    <x:row r="135">
      <x:c r="A135" t="str">
        <x:v>ORD-2024-10134</x:v>
      </x:c>
      <x:c r="B135" s="5" t="n">
        <x:v>45639</x:v>
      </x:c>
      <x:c r="C135" s="5" t="n">
        <x:v>45644</x:v>
      </x:c>
      <x:c r="D135" t="str">
        <x:v>CUST-9441</x:v>
      </x:c>
      <x:c r="E135" t="str">
        <x:v>Karan Malhotra</x:v>
      </x:c>
      <x:c r="F135" t="str">
        <x:v>Consumer</x:v>
      </x:c>
      <x:c r="G135" t="str">
        <x:v>West</x:v>
      </x:c>
      <x:c r="H135" t="str">
        <x:v>Goa</x:v>
      </x:c>
      <x:c r="I135" t="str">
        <x:v>Panaji</x:v>
      </x:c>
      <x:c r="J135" t="str">
        <x:v>Technology</x:v>
      </x:c>
      <x:c r="K135" t="str">
        <x:v>Phones</x:v>
      </x:c>
      <x:c r="L135" t="str">
        <x:v>Prime Phones 419</x:v>
      </x:c>
      <x:c r="M135" t="str">
        <x:v>Second Class</x:v>
      </x:c>
      <x:c r="N135" t="n">
        <x:v>8</x:v>
      </x:c>
      <x:c r="O135" s="7" t="n">
        <x:v>3372.15</x:v>
      </x:c>
      <x:c r="P135" s="6" t="n">
        <x:v>0.15</x:v>
      </x:c>
      <x:c r="Q135" s="7" t="n">
        <x:v>22930.62</x:v>
      </x:c>
      <x:c r="R135" s="7" t="n">
        <x:v>16875.55</x:v>
      </x:c>
      <x:c r="S135" s="7" t="n">
        <x:v>6055.07</x:v>
      </x:c>
      <x:c r="T135" t="str">
        <x:v>Paid</x:v>
      </x:c>
      <x:c r="U135" t="str">
        <x:v>Completed</x:v>
      </x:c>
      <x:c r="V135" s="6" t="n">
        <x:f>IF(ISBLANK(P135),IF(AND(ISNUMBER(N135),N135&gt;0,ISNUMBER(O135),O135&gt;=0,ISNUMBER(Q135),Q135&gt;=0,ISNUMBER(R135),R135&gt;=0,ISNUMBER(S135)),0,""),P135)</x:f>
        <x:v>0.15</x:v>
      </x:c>
      <x:c r="W135" s="7" t="n">
        <x:f>IF(ISBLANK(V135),"",N135*O135*(1-V135))</x:f>
        <x:v>22930.62</x:v>
      </x:c>
      <x:c r="X135" s="7" t="n">
        <x:f>IF(OR(ISBLANK(W135),ISBLANK(R135)),"",W135-R135)</x:f>
        <x:v>6055.07</x:v>
      </x:c>
      <x:c r="Y135" s="8" t="n">
        <x:f>IF(OR(ISBLANK(W135),W135=0),"",X135/W135)</x:f>
        <x:v>0.26406045715292475</x:v>
      </x:c>
      <x:c r="Z135" s="9" t="n">
        <x:f>IF(OR(ISBLANK(B135),ISBLANK(C135)),"",C135-B135)</x:f>
        <x:v>5</x:v>
      </x:c>
      <x:c r="AA135" t="str">
        <x:f>IF(ISBLANK(B135),"",TEXT(B135,"mmm"))</x:f>
        <x:v>Dec</x:v>
      </x:c>
      <x:c r="AB135" s="9" t="n">
        <x:f>IF(ISBLANK(B135),"",YEAR(B135))</x:f>
        <x:v>2024</x:v>
      </x:c>
      <x:c r="AC135" s="10" t="str"/>
      <x:c r="AD135" t="str">
        <x:f>IF(AND(U135="Completed",T135="Paid",ISERROR(SEARCH("INVALID",AC135)),ISERROR(SEARCH("REVIEW",AC135))),"Include","Exclude")</x:f>
        <x:v>Include</x:v>
      </x:c>
      <x:c r="AE135" t="str">
        <x:f>IF(T135="Refunded","Refunded","")</x:f>
      </x:c>
    </x:row>
    <x:row r="136">
      <x:c r="A136" t="str">
        <x:v>ORD-2025-10135</x:v>
      </x:c>
      <x:c r="B136" s="5" t="n">
        <x:v>45852</x:v>
      </x:c>
      <x:c r="C136" s="5" t="n">
        <x:v>45852</x:v>
      </x:c>
      <x:c r="D136" t="str">
        <x:v>CUST-7361</x:v>
      </x:c>
      <x:c r="E136" t="str">
        <x:v>Vikram Iyer</x:v>
      </x:c>
      <x:c r="F136" t="str">
        <x:v>Home Office</x:v>
      </x:c>
      <x:c r="G136" t="str">
        <x:v>East</x:v>
      </x:c>
      <x:c r="H136" t="str">
        <x:v>West Bengal</x:v>
      </x:c>
      <x:c r="I136" t="str">
        <x:v>Kolkata</x:v>
      </x:c>
      <x:c r="J136" t="str">
        <x:v>Furniture</x:v>
      </x:c>
      <x:c r="K136" t="str">
        <x:v>Bookcases</x:v>
      </x:c>
      <x:c r="L136" t="str">
        <x:v>Elite Bookcases 266</x:v>
      </x:c>
      <x:c r="M136" t="str">
        <x:v>Unknown</x:v>
      </x:c>
      <x:c r="N136" t="n">
        <x:v>5</x:v>
      </x:c>
      <x:c r="O136" s="7" t="n">
        <x:v>383.1</x:v>
      </x:c>
      <x:c r="P136" s="6" t="n">
        <x:v>0.25</x:v>
      </x:c>
      <x:c r="Q136" s="7" t="n">
        <x:v>1436.62</x:v>
      </x:c>
      <x:c r="R136" s="7" t="n">
        <x:v>912.52</x:v>
      </x:c>
      <x:c r="S136" s="7" t="n">
        <x:v>524.1</x:v>
      </x:c>
      <x:c r="T136" t="str">
        <x:v>Pending</x:v>
      </x:c>
      <x:c r="U136" t="str">
        <x:v>Cancelled</x:v>
      </x:c>
      <x:c r="V136" s="6" t="n">
        <x:f>IF(ISBLANK(P136),IF(AND(ISNUMBER(N136),N136&gt;0,ISNUMBER(O136),O136&gt;=0,ISNUMBER(Q136),Q136&gt;=0,ISNUMBER(R136),R136&gt;=0,ISNUMBER(S136)),0,""),P136)</x:f>
        <x:v>0.25</x:v>
      </x:c>
      <x:c r="W136" s="7" t="n">
        <x:f>IF(ISBLANK(V136),"",N136*O136*(1-V136))</x:f>
        <x:v>1436.625</x:v>
      </x:c>
      <x:c r="X136" s="7" t="n">
        <x:f>IF(OR(ISBLANK(W136),ISBLANK(R136)),"",W136-R136)</x:f>
        <x:v>524.105</x:v>
      </x:c>
      <x:c r="Y136" s="8" t="n">
        <x:f>IF(OR(ISBLANK(W136),W136=0),"",X136/W136)</x:f>
        <x:v>0.36481684503610895</x:v>
      </x:c>
      <x:c r="Z136" s="9" t="n">
        <x:f>IF(OR(ISBLANK(B136),ISBLANK(C136)),"",C136-B136)</x:f>
        <x:v>0</x:v>
      </x:c>
      <x:c r="AA136" t="str">
        <x:f>IF(ISBLANK(B136),"",TEXT(B136,"mmm"))</x:f>
        <x:v>Jul</x:v>
      </x:c>
      <x:c r="AB136" s="9" t="n">
        <x:f>IF(ISBLANK(B136),"",YEAR(B136))</x:f>
        <x:v>2025</x:v>
      </x:c>
      <x:c r="AC136" s="10" t="str">
        <x:v>FLAG: Missing ship mode filled as Unknown; EXCLUDE: Cancelled order</x:v>
      </x:c>
      <x:c r="AD136" t="str">
        <x:f>IF(AND(U136="Completed",T136="Paid",ISERROR(SEARCH("INVALID",AC136)),ISERROR(SEARCH("REVIEW",AC136))),"Include","Exclude")</x:f>
        <x:v>Exclude</x:v>
      </x:c>
      <x:c r="AE136" t="str">
        <x:f>IF(T136="Refunded","Refunded","")</x:f>
      </x:c>
    </x:row>
    <x:row r="137">
      <x:c r="A137" t="str">
        <x:v>ORD-2025-10136</x:v>
      </x:c>
      <x:c r="B137" s="5" t="n">
        <x:v>45893</x:v>
      </x:c>
      <x:c r="C137" s="5" t="n">
        <x:v>45893</x:v>
      </x:c>
      <x:c r="D137" t="str">
        <x:v>CUST-1148</x:v>
      </x:c>
      <x:c r="E137" t="str">
        <x:v>Diya Patel</x:v>
      </x:c>
      <x:c r="F137" t="str">
        <x:v>Small Business</x:v>
      </x:c>
      <x:c r="G137" t="str">
        <x:v>South</x:v>
      </x:c>
      <x:c r="H137" t="str">
        <x:v>Kerala</x:v>
      </x:c>
      <x:c r="I137" t="str">
        <x:v>Kochi</x:v>
      </x:c>
      <x:c r="J137" t="str">
        <x:v>Furniture</x:v>
      </x:c>
      <x:c r="K137" t="str">
        <x:v>Bookcases</x:v>
      </x:c>
      <x:c r="L137" t="str">
        <x:v>Prime Bookcases 954</x:v>
      </x:c>
      <x:c r="M137" t="str">
        <x:v>Standard Class</x:v>
      </x:c>
      <x:c r="N137" t="n">
        <x:v>1</x:v>
      </x:c>
      <x:c r="O137" s="7" t="n">
        <x:v>3424.78</x:v>
      </x:c>
      <x:c r="P137" s="6" t="n">
        <x:v>0</x:v>
      </x:c>
      <x:c r="Q137" s="7" t="n">
        <x:v>3424.78</x:v>
      </x:c>
      <x:c r="R137" s="7" t="n">
        <x:v>1951.45</x:v>
      </x:c>
      <x:c r="S137" s="7" t="n">
        <x:v>1473.33</x:v>
      </x:c>
      <x:c r="T137" t="str">
        <x:v>Paid</x:v>
      </x:c>
      <x:c r="U137" t="str">
        <x:v>Completed</x:v>
      </x:c>
      <x:c r="V137" s="6" t="n">
        <x:f>IF(ISBLANK(P137),IF(AND(ISNUMBER(N137),N137&gt;0,ISNUMBER(O137),O137&gt;=0,ISNUMBER(Q137),Q137&gt;=0,ISNUMBER(R137),R137&gt;=0,ISNUMBER(S137)),0,""),P137)</x:f>
        <x:v>0</x:v>
      </x:c>
      <x:c r="W137" s="7" t="n">
        <x:f>IF(ISBLANK(V137),"",N137*O137*(1-V137))</x:f>
        <x:v>3424.78</x:v>
      </x:c>
      <x:c r="X137" s="7" t="n">
        <x:f>IF(OR(ISBLANK(W137),ISBLANK(R137)),"",W137-R137)</x:f>
        <x:v>1473.3300000000002</x:v>
      </x:c>
      <x:c r="Y137" s="8" t="n">
        <x:f>IF(OR(ISBLANK(W137),W137=0),"",X137/W137)</x:f>
        <x:v>0.43019697615613267</x:v>
      </x:c>
      <x:c r="Z137" s="9" t="n">
        <x:f>IF(OR(ISBLANK(B137),ISBLANK(C137)),"",C137-B137)</x:f>
        <x:v>0</x:v>
      </x:c>
      <x:c r="AA137" t="str">
        <x:f>IF(ISBLANK(B137),"",TEXT(B137,"mmm"))</x:f>
        <x:v>Aug</x:v>
      </x:c>
      <x:c r="AB137" s="9" t="n">
        <x:f>IF(ISBLANK(B137),"",YEAR(B137))</x:f>
        <x:v>2025</x:v>
      </x:c>
      <x:c r="AC137" s="10" t="str"/>
      <x:c r="AD137" t="str">
        <x:f>IF(AND(U137="Completed",T137="Paid",ISERROR(SEARCH("INVALID",AC137)),ISERROR(SEARCH("REVIEW",AC137))),"Include","Exclude")</x:f>
        <x:v>Include</x:v>
      </x:c>
      <x:c r="AE137" t="str">
        <x:f>IF(T137="Refunded","Refunded","")</x:f>
      </x:c>
    </x:row>
    <x:row r="138">
      <x:c r="A138" t="str">
        <x:v>ORD-2025-10137</x:v>
      </x:c>
      <x:c r="B138" s="5" t="n">
        <x:v>45697</x:v>
      </x:c>
      <x:c r="C138" s="5" t="n">
        <x:v>45703</x:v>
      </x:c>
      <x:c r="D138" t="str">
        <x:v>CUST-3350</x:v>
      </x:c>
      <x:c r="E138" t="str">
        <x:v>Mira Das</x:v>
      </x:c>
      <x:c r="F138" t="str">
        <x:v>Home Office</x:v>
      </x:c>
      <x:c r="G138" t="str">
        <x:v>East</x:v>
      </x:c>
      <x:c r="H138" t="str">
        <x:v>Jharkhand</x:v>
      </x:c>
      <x:c r="I138" t="str">
        <x:v>Ranchi</x:v>
      </x:c>
      <x:c r="J138" t="str">
        <x:v>Office Supplies</x:v>
      </x:c>
      <x:c r="K138" t="str">
        <x:v>Binders</x:v>
      </x:c>
      <x:c r="L138" t="str">
        <x:v>Max Binders 362</x:v>
      </x:c>
      <x:c r="M138" t="str">
        <x:v>Standard Class</x:v>
      </x:c>
      <x:c r="N138" t="n">
        <x:v>9</x:v>
      </x:c>
      <x:c r="O138" s="7" t="n">
        <x:v>4330.33</x:v>
      </x:c>
      <x:c r="P138" s="6" t="n">
        <x:v>0.2</x:v>
      </x:c>
      <x:c r="Q138" s="7" t="n">
        <x:v>31178.38</x:v>
      </x:c>
      <x:c r="R138" s="7" t="n">
        <x:v>21421.09</x:v>
      </x:c>
      <x:c r="S138" s="7" t="n">
        <x:v>9757.29</x:v>
      </x:c>
      <x:c r="T138" t="str">
        <x:v>Paid</x:v>
      </x:c>
      <x:c r="U138" t="str">
        <x:v>Completed</x:v>
      </x:c>
      <x:c r="V138" s="6" t="n">
        <x:f>IF(ISBLANK(P138),IF(AND(ISNUMBER(N138),N138&gt;0,ISNUMBER(O138),O138&gt;=0,ISNUMBER(Q138),Q138&gt;=0,ISNUMBER(R138),R138&gt;=0,ISNUMBER(S138)),0,""),P138)</x:f>
        <x:v>0.2</x:v>
      </x:c>
      <x:c r="W138" s="7" t="n">
        <x:f>IF(ISBLANK(V138),"",N138*O138*(1-V138))</x:f>
        <x:v>31178.376000000004</x:v>
      </x:c>
      <x:c r="X138" s="7" t="n">
        <x:f>IF(OR(ISBLANK(W138),ISBLANK(R138)),"",W138-R138)</x:f>
        <x:v>9757.286000000004</x:v>
      </x:c>
      <x:c r="Y138" s="8" t="n">
        <x:f>IF(OR(ISBLANK(W138),W138=0),"",X138/W138)</x:f>
        <x:v>0.3129504243582155</x:v>
      </x:c>
      <x:c r="Z138" s="9" t="n">
        <x:f>IF(OR(ISBLANK(B138),ISBLANK(C138)),"",C138-B138)</x:f>
        <x:v>6</x:v>
      </x:c>
      <x:c r="AA138" t="str">
        <x:f>IF(ISBLANK(B138),"",TEXT(B138,"mmm"))</x:f>
        <x:v>Feb</x:v>
      </x:c>
      <x:c r="AB138" s="9" t="n">
        <x:f>IF(ISBLANK(B138),"",YEAR(B138))</x:f>
        <x:v>2025</x:v>
      </x:c>
      <x:c r="AC138" s="10" t="str"/>
      <x:c r="AD138" t="str">
        <x:f>IF(AND(U138="Completed",T138="Paid",ISERROR(SEARCH("INVALID",AC138)),ISERROR(SEARCH("REVIEW",AC138))),"Include","Exclude")</x:f>
        <x:v>Include</x:v>
      </x:c>
      <x:c r="AE138" t="str">
        <x:f>IF(T138="Refunded","Refunded","")</x:f>
      </x:c>
    </x:row>
    <x:row r="139">
      <x:c r="A139" t="str">
        <x:v>ORD-2025-10138</x:v>
      </x:c>
      <x:c r="B139" s="5" t="n">
        <x:v>45666</x:v>
      </x:c>
      <x:c r="C139" s="5" t="n">
        <x:v>45666</x:v>
      </x:c>
      <x:c r="D139" t="str">
        <x:v>CUST-7932</x:v>
      </x:c>
      <x:c r="E139" t="str">
        <x:v>Sneha Kapoor</x:v>
      </x:c>
      <x:c r="F139" t="str">
        <x:v>Small Business</x:v>
      </x:c>
      <x:c r="G139" t="str">
        <x:v>North</x:v>
      </x:c>
      <x:c r="H139" t="str">
        <x:v>Rajasthan</x:v>
      </x:c>
      <x:c r="I139" t="str">
        <x:v>Jaipur</x:v>
      </x:c>
      <x:c r="J139" t="str">
        <x:v>Furniture</x:v>
      </x:c>
      <x:c r="K139" t="str">
        <x:v>Chairs</x:v>
      </x:c>
      <x:c r="L139" t="str">
        <x:v>Prime Chairs 261</x:v>
      </x:c>
      <x:c r="M139" t="str">
        <x:v>Same Day</x:v>
      </x:c>
      <x:c r="N139" t="n">
        <x:v>8</x:v>
      </x:c>
      <x:c r="O139" s="7" t="n">
        <x:v>2667.07</x:v>
      </x:c>
      <x:c r="P139" s="6" t="n">
        <x:v>0.1</x:v>
      </x:c>
      <x:c r="Q139" s="7" t="n">
        <x:v>19202.9</x:v>
      </x:c>
      <x:c r="R139" s="7" t="n">
        <x:v>15526.62</x:v>
      </x:c>
      <x:c r="S139" s="7" t="n">
        <x:v>3676.28</x:v>
      </x:c>
      <x:c r="T139" t="str">
        <x:v>Paid</x:v>
      </x:c>
      <x:c r="U139" t="str">
        <x:v>Completed</x:v>
      </x:c>
      <x:c r="V139" s="6" t="n">
        <x:f>IF(ISBLANK(P139),IF(AND(ISNUMBER(N139),N139&gt;0,ISNUMBER(O139),O139&gt;=0,ISNUMBER(Q139),Q139&gt;=0,ISNUMBER(R139),R139&gt;=0,ISNUMBER(S139)),0,""),P139)</x:f>
        <x:v>0.1</x:v>
      </x:c>
      <x:c r="W139" s="7" t="n">
        <x:f>IF(ISBLANK(V139),"",N139*O139*(1-V139))</x:f>
        <x:v>19202.904000000002</x:v>
      </x:c>
      <x:c r="X139" s="7" t="n">
        <x:f>IF(OR(ISBLANK(W139),ISBLANK(R139)),"",W139-R139)</x:f>
        <x:v>3676.2840000000015</x:v>
      </x:c>
      <x:c r="Y139" s="8" t="n">
        <x:f>IF(OR(ISBLANK(W139),W139=0),"",X139/W139)</x:f>
        <x:v>0.1914441690694283</x:v>
      </x:c>
      <x:c r="Z139" s="9" t="n">
        <x:f>IF(OR(ISBLANK(B139),ISBLANK(C139)),"",C139-B139)</x:f>
        <x:v>0</x:v>
      </x:c>
      <x:c r="AA139" t="str">
        <x:f>IF(ISBLANK(B139),"",TEXT(B139,"mmm"))</x:f>
        <x:v>Jan</x:v>
      </x:c>
      <x:c r="AB139" s="9" t="n">
        <x:f>IF(ISBLANK(B139),"",YEAR(B139))</x:f>
        <x:v>2025</x:v>
      </x:c>
      <x:c r="AC139" s="10" t="str"/>
      <x:c r="AD139" t="str">
        <x:f>IF(AND(U139="Completed",T139="Paid",ISERROR(SEARCH("INVALID",AC139)),ISERROR(SEARCH("REVIEW",AC139))),"Include","Exclude")</x:f>
        <x:v>Include</x:v>
      </x:c>
      <x:c r="AE139" t="str">
        <x:f>IF(T139="Refunded","Refunded","")</x:f>
      </x:c>
    </x:row>
    <x:row r="140">
      <x:c r="A140" t="str">
        <x:v>ORD-2024-10139</x:v>
      </x:c>
      <x:c r="B140" s="5" t="n">
        <x:v>45311</x:v>
      </x:c>
      <x:c r="C140" s="5" t="n">
        <x:v>45317</x:v>
      </x:c>
      <x:c r="D140" t="str">
        <x:v>CUST-7173</x:v>
      </x:c>
      <x:c r="E140" t="str">
        <x:v>Diya Patel</x:v>
      </x:c>
      <x:c r="F140" t="str">
        <x:v>Home Office</x:v>
      </x:c>
      <x:c r="G140" t="str">
        <x:v>East</x:v>
      </x:c>
      <x:c r="H140" t="str">
        <x:v>Jharkhand</x:v>
      </x:c>
      <x:c r="I140" t="str">
        <x:v>Ranchi</x:v>
      </x:c>
      <x:c r="J140" t="str">
        <x:v>Technology</x:v>
      </x:c>
      <x:c r="K140" t="str">
        <x:v>Machines</x:v>
      </x:c>
      <x:c r="L140" t="str">
        <x:v>Basic Machines 185</x:v>
      </x:c>
      <x:c r="M140" t="str">
        <x:v>Standard Class</x:v>
      </x:c>
      <x:c r="N140" t="n">
        <x:v>8</x:v>
      </x:c>
      <x:c r="O140" s="7" t="n">
        <x:v>4003.05</x:v>
      </x:c>
      <x:c r="P140" s="6" t="n">
        <x:v>0.25</x:v>
      </x:c>
      <x:c r="Q140" s="7" t="n">
        <x:v>24018.3</x:v>
      </x:c>
      <x:c r="R140" s="7" t="n">
        <x:v>14070.78</x:v>
      </x:c>
      <x:c r="S140" s="7" t="n">
        <x:v>9947.52</x:v>
      </x:c>
      <x:c r="T140" t="str">
        <x:v>Paid</x:v>
      </x:c>
      <x:c r="U140" t="str">
        <x:v>Completed</x:v>
      </x:c>
      <x:c r="V140" s="6" t="n">
        <x:f>IF(ISBLANK(P140),IF(AND(ISNUMBER(N140),N140&gt;0,ISNUMBER(O140),O140&gt;=0,ISNUMBER(Q140),Q140&gt;=0,ISNUMBER(R140),R140&gt;=0,ISNUMBER(S140)),0,""),P140)</x:f>
        <x:v>0.25</x:v>
      </x:c>
      <x:c r="W140" s="7" t="n">
        <x:f>IF(ISBLANK(V140),"",N140*O140*(1-V140))</x:f>
        <x:v>24018.300000000003</x:v>
      </x:c>
      <x:c r="X140" s="7" t="n">
        <x:f>IF(OR(ISBLANK(W140),ISBLANK(R140)),"",W140-R140)</x:f>
        <x:v>9947.520000000002</x:v>
      </x:c>
      <x:c r="Y140" s="8" t="n">
        <x:f>IF(OR(ISBLANK(W140),W140=0),"",X140/W140)</x:f>
        <x:v>0.41416419979765434</x:v>
      </x:c>
      <x:c r="Z140" s="9" t="n">
        <x:f>IF(OR(ISBLANK(B140),ISBLANK(C140)),"",C140-B140)</x:f>
        <x:v>6</x:v>
      </x:c>
      <x:c r="AA140" t="str">
        <x:f>IF(ISBLANK(B140),"",TEXT(B140,"mmm"))</x:f>
        <x:v>Jan</x:v>
      </x:c>
      <x:c r="AB140" s="9" t="n">
        <x:f>IF(ISBLANK(B140),"",YEAR(B140))</x:f>
        <x:v>2024</x:v>
      </x:c>
      <x:c r="AC140" s="10" t="str"/>
      <x:c r="AD140" t="str">
        <x:f>IF(AND(U140="Completed",T140="Paid",ISERROR(SEARCH("INVALID",AC140)),ISERROR(SEARCH("REVIEW",AC140))),"Include","Exclude")</x:f>
        <x:v>Include</x:v>
      </x:c>
      <x:c r="AE140" t="str">
        <x:f>IF(T140="Refunded","Refunded","")</x:f>
      </x:c>
    </x:row>
    <x:row r="141">
      <x:c r="A141" t="str">
        <x:v>ORD-2025-10140</x:v>
      </x:c>
      <x:c r="B141" s="5" t="n">
        <x:v>45718</x:v>
      </x:c>
      <x:c r="C141" s="5" t="n">
        <x:v>45723</x:v>
      </x:c>
      <x:c r="D141" t="str">
        <x:v>CUST-4225</x:v>
      </x:c>
      <x:c r="E141" t="str">
        <x:v>Neha Gupta</x:v>
      </x:c>
      <x:c r="F141" t="str">
        <x:v>Home Office</x:v>
      </x:c>
      <x:c r="G141" t="str">
        <x:v>South</x:v>
      </x:c>
      <x:c r="H141" t="str">
        <x:v>Karnataka</x:v>
      </x:c>
      <x:c r="I141" t="str">
        <x:v>Bengaluru</x:v>
      </x:c>
      <x:c r="J141" t="str">
        <x:v>Office Supplies</x:v>
      </x:c>
      <x:c r="K141" t="str">
        <x:v>Labels</x:v>
      </x:c>
      <x:c r="L141" t="str">
        <x:v>Basic Labels 509</x:v>
      </x:c>
      <x:c r="M141" t="str">
        <x:v>Standard Class</x:v>
      </x:c>
      <x:c r="N141" t="n">
        <x:v>8</x:v>
      </x:c>
      <x:c r="O141" s="7" t="n">
        <x:v>1287.63</x:v>
      </x:c>
      <x:c r="P141" s="6" t="n">
        <x:v>0</x:v>
      </x:c>
      <x:c r="Q141" s="7" t="n">
        <x:v>10301.04</x:v>
      </x:c>
      <x:c r="R141" s="7" t="n">
        <x:v>6564.06</x:v>
      </x:c>
      <x:c r="S141" s="7" t="n">
        <x:v>3736.98</x:v>
      </x:c>
      <x:c r="T141" t="str">
        <x:v>Paid</x:v>
      </x:c>
      <x:c r="U141" t="str">
        <x:v>Completed</x:v>
      </x:c>
      <x:c r="V141" s="6" t="n">
        <x:f>IF(ISBLANK(P141),IF(AND(ISNUMBER(N141),N141&gt;0,ISNUMBER(O141),O141&gt;=0,ISNUMBER(Q141),Q141&gt;=0,ISNUMBER(R141),R141&gt;=0,ISNUMBER(S141)),0,""),P141)</x:f>
        <x:v>0</x:v>
      </x:c>
      <x:c r="W141" s="7" t="n">
        <x:f>IF(ISBLANK(V141),"",N141*O141*(1-V141))</x:f>
        <x:v>10301.04</x:v>
      </x:c>
      <x:c r="X141" s="7" t="n">
        <x:f>IF(OR(ISBLANK(W141),ISBLANK(R141)),"",W141-R141)</x:f>
        <x:v>3736.9800000000005</x:v>
      </x:c>
      <x:c r="Y141" s="8" t="n">
        <x:f>IF(OR(ISBLANK(W141),W141=0),"",X141/W141)</x:f>
        <x:v>0.3627769623261341</x:v>
      </x:c>
      <x:c r="Z141" s="9" t="n">
        <x:f>IF(OR(ISBLANK(B141),ISBLANK(C141)),"",C141-B141)</x:f>
        <x:v>5</x:v>
      </x:c>
      <x:c r="AA141" t="str">
        <x:f>IF(ISBLANK(B141),"",TEXT(B141,"mmm"))</x:f>
        <x:v>Mar</x:v>
      </x:c>
      <x:c r="AB141" s="9" t="n">
        <x:f>IF(ISBLANK(B141),"",YEAR(B141))</x:f>
        <x:v>2025</x:v>
      </x:c>
      <x:c r="AC141" s="10" t="str"/>
      <x:c r="AD141" t="str">
        <x:f>IF(AND(U141="Completed",T141="Paid",ISERROR(SEARCH("INVALID",AC141)),ISERROR(SEARCH("REVIEW",AC141))),"Include","Exclude")</x:f>
        <x:v>Include</x:v>
      </x:c>
      <x:c r="AE141" t="str">
        <x:f>IF(T141="Refunded","Refunded","")</x:f>
      </x:c>
    </x:row>
    <x:row r="142">
      <x:c r="A142" t="str">
        <x:v>ORD-2024-10141</x:v>
      </x:c>
      <x:c r="B142" s="5" t="n">
        <x:v>45443</x:v>
      </x:c>
      <x:c r="C142" s="5" t="n">
        <x:v>45444</x:v>
      </x:c>
      <x:c r="D142" t="str">
        <x:v>CUST-2149</x:v>
      </x:c>
      <x:c r="E142" t="str">
        <x:v>Mira Das</x:v>
      </x:c>
      <x:c r="F142" t="str">
        <x:v>Corporate</x:v>
      </x:c>
      <x:c r="G142" t="str">
        <x:v>South</x:v>
      </x:c>
      <x:c r="H142" t="str">
        <x:v>Karnataka</x:v>
      </x:c>
      <x:c r="I142" t="str">
        <x:v>Bengaluru</x:v>
      </x:c>
      <x:c r="J142" t="str">
        <x:v>Furniture</x:v>
      </x:c>
      <x:c r="K142" t="str">
        <x:v>Bookcases</x:v>
      </x:c>
      <x:c r="L142" t="str">
        <x:v>Elite Bookcases 696</x:v>
      </x:c>
      <x:c r="M142" t="str">
        <x:v>Same Day</x:v>
      </x:c>
      <x:c r="N142" t="n">
        <x:v>3</x:v>
      </x:c>
      <x:c r="O142" s="7" t="n">
        <x:v>2914.55</x:v>
      </x:c>
      <x:c r="P142" s="6" t="n">
        <x:v>0</x:v>
      </x:c>
      <x:c r="Q142" s="7" t="n">
        <x:v>8743.65</x:v>
      </x:c>
      <x:c r="R142" s="7" t="n">
        <x:v>6603.76</x:v>
      </x:c>
      <x:c r="S142" s="7" t="n">
        <x:v>2139.89</x:v>
      </x:c>
      <x:c r="T142" t="str">
        <x:v>Paid</x:v>
      </x:c>
      <x:c r="U142" t="str">
        <x:v>Completed</x:v>
      </x:c>
      <x:c r="V142" s="6" t="n">
        <x:f>IF(ISBLANK(P142),IF(AND(ISNUMBER(N142),N142&gt;0,ISNUMBER(O142),O142&gt;=0,ISNUMBER(Q142),Q142&gt;=0,ISNUMBER(R142),R142&gt;=0,ISNUMBER(S142)),0,""),P142)</x:f>
        <x:v>0</x:v>
      </x:c>
      <x:c r="W142" s="7" t="n">
        <x:f>IF(ISBLANK(V142),"",N142*O142*(1-V142))</x:f>
        <x:v>8743.650000000001</x:v>
      </x:c>
      <x:c r="X142" s="7" t="n">
        <x:f>IF(OR(ISBLANK(W142),ISBLANK(R142)),"",W142-R142)</x:f>
        <x:v>2139.8900000000012</x:v>
      </x:c>
      <x:c r="Y142" s="8" t="n">
        <x:f>IF(OR(ISBLANK(W142),W142=0),"",X142/W142)</x:f>
        <x:v>0.2447364658923906</x:v>
      </x:c>
      <x:c r="Z142" s="9" t="n">
        <x:f>IF(OR(ISBLANK(B142),ISBLANK(C142)),"",C142-B142)</x:f>
        <x:v>1</x:v>
      </x:c>
      <x:c r="AA142" t="str">
        <x:f>IF(ISBLANK(B142),"",TEXT(B142,"mmm"))</x:f>
        <x:v>May</x:v>
      </x:c>
      <x:c r="AB142" s="9" t="n">
        <x:f>IF(ISBLANK(B142),"",YEAR(B142))</x:f>
        <x:v>2024</x:v>
      </x:c>
      <x:c r="AC142" s="10" t="str"/>
      <x:c r="AD142" t="str">
        <x:f>IF(AND(U142="Completed",T142="Paid",ISERROR(SEARCH("INVALID",AC142)),ISERROR(SEARCH("REVIEW",AC142))),"Include","Exclude")</x:f>
        <x:v>Include</x:v>
      </x:c>
      <x:c r="AE142" t="str">
        <x:f>IF(T142="Refunded","Refunded","")</x:f>
      </x:c>
    </x:row>
    <x:row r="143">
      <x:c r="A143" t="str">
        <x:v>ORD-2024-10142</x:v>
      </x:c>
      <x:c r="B143" s="5" t="n">
        <x:v>45374</x:v>
      </x:c>
      <x:c r="C143" s="5" t="n">
        <x:v>45380</x:v>
      </x:c>
      <x:c r="D143" t="str">
        <x:v>CUST-3314</x:v>
      </x:c>
      <x:c r="E143" t="str">
        <x:v>Priya Menon</x:v>
      </x:c>
      <x:c r="F143" t="str">
        <x:v>Corporate</x:v>
      </x:c>
      <x:c r="G143" t="str">
        <x:v>North</x:v>
      </x:c>
      <x:c r="H143" t="str">
        <x:v>Delhi</x:v>
      </x:c>
      <x:c r="I143" t="str">
        <x:v>New Delhi</x:v>
      </x:c>
      <x:c r="J143" t="str">
        <x:v>Furniture</x:v>
      </x:c>
      <x:c r="K143" t="str">
        <x:v>Bookcases</x:v>
      </x:c>
      <x:c r="L143" t="str">
        <x:v>Elite Bookcases 772</x:v>
      </x:c>
      <x:c r="M143" t="str">
        <x:v>Same Day</x:v>
      </x:c>
      <x:c r="N143" t="n">
        <x:v>7</x:v>
      </x:c>
      <x:c r="O143" s="7" t="n">
        <x:v>634.29</x:v>
      </x:c>
      <x:c r="P143" s="6" t="n">
        <x:v>0.1</x:v>
      </x:c>
      <x:c r="Q143" s="7" t="n">
        <x:v>3996.03</x:v>
      </x:c>
      <x:c r="R143" s="7" t="n">
        <x:v>2859.51</x:v>
      </x:c>
      <x:c r="S143" s="7" t="n">
        <x:v>1136.52</x:v>
      </x:c>
      <x:c r="T143" t="str">
        <x:v>Paid</x:v>
      </x:c>
      <x:c r="U143" t="str">
        <x:v>Returned</x:v>
      </x:c>
      <x:c r="V143" s="6" t="n">
        <x:f>IF(ISBLANK(P143),IF(AND(ISNUMBER(N143),N143&gt;0,ISNUMBER(O143),O143&gt;=0,ISNUMBER(Q143),Q143&gt;=0,ISNUMBER(R143),R143&gt;=0,ISNUMBER(S143)),0,""),P143)</x:f>
        <x:v>0.1</x:v>
      </x:c>
      <x:c r="W143" s="7" t="n">
        <x:f>IF(ISBLANK(V143),"",N143*O143*(1-V143))</x:f>
        <x:v>3996.027</x:v>
      </x:c>
      <x:c r="X143" s="7" t="n">
        <x:f>IF(OR(ISBLANK(W143),ISBLANK(R143)),"",W143-R143)</x:f>
        <x:v>1136.5169999999998</x:v>
      </x:c>
      <x:c r="Y143" s="8" t="n">
        <x:f>IF(OR(ISBLANK(W143),W143=0),"",X143/W143)</x:f>
        <x:v>0.2844117419627044</x:v>
      </x:c>
      <x:c r="Z143" s="9" t="n">
        <x:f>IF(OR(ISBLANK(B143),ISBLANK(C143)),"",C143-B143)</x:f>
        <x:v>6</x:v>
      </x:c>
      <x:c r="AA143" t="str">
        <x:f>IF(ISBLANK(B143),"",TEXT(B143,"mmm"))</x:f>
        <x:v>Mar</x:v>
      </x:c>
      <x:c r="AB143" s="9" t="n">
        <x:f>IF(ISBLANK(B143),"",YEAR(B143))</x:f>
        <x:v>2024</x:v>
      </x:c>
      <x:c r="AC143" s="10" t="str"/>
      <x:c r="AD143" t="str">
        <x:f>IF(AND(U143="Completed",T143="Paid",ISERROR(SEARCH("INVALID",AC143)),ISERROR(SEARCH("REVIEW",AC143))),"Include","Exclude")</x:f>
        <x:v>Exclude</x:v>
      </x:c>
      <x:c r="AE143" t="str">
        <x:f>IF(T143="Refunded","Refunded","")</x:f>
      </x:c>
    </x:row>
    <x:row r="144">
      <x:c r="A144" t="str">
        <x:v>ORD-2024-10143</x:v>
      </x:c>
      <x:c r="B144" s="5" t="n">
        <x:v>45381</x:v>
      </x:c>
      <x:c r="C144" s="5" t="n">
        <x:v>45377</x:v>
      </x:c>
      <x:c r="D144" t="str">
        <x:v>CUST-8944</x:v>
      </x:c>
      <x:c r="E144" t="str">
        <x:v>Aditi Sen</x:v>
      </x:c>
      <x:c r="F144" t="str">
        <x:v>Home Office</x:v>
      </x:c>
      <x:c r="G144" t="str">
        <x:v>North</x:v>
      </x:c>
      <x:c r="H144" t="str">
        <x:v>Rajasthan</x:v>
      </x:c>
      <x:c r="I144" t="str">
        <x:v>Jaipur</x:v>
      </x:c>
      <x:c r="J144" t="str">
        <x:v>Technology</x:v>
      </x:c>
      <x:c r="K144" t="str">
        <x:v>Phones</x:v>
      </x:c>
      <x:c r="L144" t="str">
        <x:v>Classic Phones 142</x:v>
      </x:c>
      <x:c r="M144" t="str">
        <x:v>Second Class</x:v>
      </x:c>
      <x:c r="N144" t="n">
        <x:v>5</x:v>
      </x:c>
      <x:c r="O144" s="7" t="n">
        <x:v>907.54</x:v>
      </x:c>
      <x:c r="P144" s="6" t="n">
        <x:v>0.15</x:v>
      </x:c>
      <x:c r="Q144" s="7" t="n">
        <x:v>3857.04</x:v>
      </x:c>
      <x:c r="R144" s="7" t="n">
        <x:v>2769.26</x:v>
      </x:c>
      <x:c r="S144" s="7" t="n">
        <x:v>1087.78</x:v>
      </x:c>
      <x:c r="T144" t="str">
        <x:v>Paid</x:v>
      </x:c>
      <x:c r="U144" t="str">
        <x:v>Completed</x:v>
      </x:c>
      <x:c r="V144" s="6" t="n">
        <x:f>IF(ISBLANK(P144),IF(AND(ISNUMBER(N144),N144&gt;0,ISNUMBER(O144),O144&gt;=0,ISNUMBER(Q144),Q144&gt;=0,ISNUMBER(R144),R144&gt;=0,ISNUMBER(S144)),0,""),P144)</x:f>
        <x:v>0.15</x:v>
      </x:c>
      <x:c r="W144" s="7" t="n">
        <x:f>IF(ISBLANK(V144),"",N144*O144*(1-V144))</x:f>
        <x:v>3857.0449999999996</x:v>
      </x:c>
      <x:c r="X144" s="7" t="n">
        <x:f>IF(OR(ISBLANK(W144),ISBLANK(R144)),"",W144-R144)</x:f>
        <x:v>1087.7849999999994</x:v>
      </x:c>
      <x:c r="Y144" s="8" t="n">
        <x:f>IF(OR(ISBLANK(W144),W144=0),"",X144/W144)</x:f>
        <x:v>0.2820254884244284</x:v>
      </x:c>
      <x:c r="Z144" s="9" t="n">
        <x:f>IF(OR(ISBLANK(B144),ISBLANK(C144)),"",C144-B144)</x:f>
        <x:v>-4</x:v>
      </x:c>
      <x:c r="AA144" t="str">
        <x:f>IF(ISBLANK(B144),"",TEXT(B144,"mmm"))</x:f>
        <x:v>Mar</x:v>
      </x:c>
      <x:c r="AB144" s="9" t="n">
        <x:f>IF(ISBLANK(B144),"",YEAR(B144))</x:f>
        <x:v>2024</x:v>
      </x:c>
      <x:c r="AC144" s="10" t="str">
        <x:v>INVALID: Ship date before order date; REVIEW: Conflicting duplicate order_id</x:v>
      </x:c>
      <x:c r="AD144" t="str">
        <x:f>IF(AND(U144="Completed",T144="Paid",ISERROR(SEARCH("INVALID",AC144)),ISERROR(SEARCH("REVIEW",AC144))),"Include","Exclude")</x:f>
        <x:v>Exclude</x:v>
      </x:c>
      <x:c r="AE144" t="str">
        <x:f>IF(T144="Refunded","Refunded","")</x:f>
      </x:c>
    </x:row>
    <x:row r="145">
      <x:c r="A145" t="str">
        <x:v>ORD-2024-10144</x:v>
      </x:c>
      <x:c r="B145" s="5" t="n">
        <x:v>45375</x:v>
      </x:c>
      <x:c r="C145" s="5" t="n">
        <x:v>45377</x:v>
      </x:c>
      <x:c r="D145" t="str">
        <x:v>CUST-3144</x:v>
      </x:c>
      <x:c r="E145" t="str">
        <x:v>Priya Menon</x:v>
      </x:c>
      <x:c r="F145" t="str">
        <x:v>Consumer</x:v>
      </x:c>
      <x:c r="G145" t="str">
        <x:v>West</x:v>
      </x:c>
      <x:c r="H145" t="str">
        <x:v>Gujarat</x:v>
      </x:c>
      <x:c r="I145" t="str">
        <x:v>Ahmedabad</x:v>
      </x:c>
      <x:c r="J145" t="str">
        <x:v>Office Supplies</x:v>
      </x:c>
      <x:c r="K145" t="str">
        <x:v>Paper</x:v>
      </x:c>
      <x:c r="L145" t="str">
        <x:v>Pro Paper 575</x:v>
      </x:c>
      <x:c r="M145" t="str">
        <x:v>Second Class</x:v>
      </x:c>
      <x:c r="N145" t="n">
        <x:v>1</x:v>
      </x:c>
      <x:c r="O145" s="7" t="n">
        <x:v>3409.5</x:v>
      </x:c>
      <x:c r="P145" s="6" t="n">
        <x:v>0.1</x:v>
      </x:c>
      <x:c r="Q145" s="7" t="n">
        <x:v>3068.55</x:v>
      </x:c>
      <x:c r="R145" s="7" t="n">
        <x:v>1916.16</x:v>
      </x:c>
      <x:c r="S145" s="7" t="n">
        <x:v>1152.39</x:v>
      </x:c>
      <x:c r="T145" t="str">
        <x:v>Paid</x:v>
      </x:c>
      <x:c r="U145" t="str">
        <x:v>Returned</x:v>
      </x:c>
      <x:c r="V145" s="6" t="n">
        <x:f>IF(ISBLANK(P145),IF(AND(ISNUMBER(N145),N145&gt;0,ISNUMBER(O145),O145&gt;=0,ISNUMBER(Q145),Q145&gt;=0,ISNUMBER(R145),R145&gt;=0,ISNUMBER(S145)),0,""),P145)</x:f>
        <x:v>0.1</x:v>
      </x:c>
      <x:c r="W145" s="7" t="n">
        <x:f>IF(ISBLANK(V145),"",N145*O145*(1-V145))</x:f>
        <x:v>3068.55</x:v>
      </x:c>
      <x:c r="X145" s="7" t="n">
        <x:f>IF(OR(ISBLANK(W145),ISBLANK(R145)),"",W145-R145)</x:f>
        <x:v>1152.39</x:v>
      </x:c>
      <x:c r="Y145" s="8" t="n">
        <x:f>IF(OR(ISBLANK(W145),W145=0),"",X145/W145)</x:f>
        <x:v>0.3755487119323459</x:v>
      </x:c>
      <x:c r="Z145" s="9" t="n">
        <x:f>IF(OR(ISBLANK(B145),ISBLANK(C145)),"",C145-B145)</x:f>
        <x:v>2</x:v>
      </x:c>
      <x:c r="AA145" t="str">
        <x:f>IF(ISBLANK(B145),"",TEXT(B145,"mmm"))</x:f>
        <x:v>Mar</x:v>
      </x:c>
      <x:c r="AB145" s="9" t="n">
        <x:f>IF(ISBLANK(B145),"",YEAR(B145))</x:f>
        <x:v>2024</x:v>
      </x:c>
      <x:c r="AC145" s="10" t="str"/>
      <x:c r="AD145" t="str">
        <x:f>IF(AND(U145="Completed",T145="Paid",ISERROR(SEARCH("INVALID",AC145)),ISERROR(SEARCH("REVIEW",AC145))),"Include","Exclude")</x:f>
        <x:v>Exclude</x:v>
      </x:c>
      <x:c r="AE145" t="str">
        <x:f>IF(T145="Refunded","Refunded","")</x:f>
      </x:c>
    </x:row>
    <x:row r="146">
      <x:c r="A146" t="str">
        <x:v>ORD-2024-10145</x:v>
      </x:c>
      <x:c r="B146" s="5" t="n">
        <x:v>45450</x:v>
      </x:c>
      <x:c r="C146" s="5" t="n">
        <x:v>45458</x:v>
      </x:c>
      <x:c r="D146" t="str">
        <x:v>CUST-6747</x:v>
      </x:c>
      <x:c r="E146" t="str">
        <x:v>Kabir Singh</x:v>
      </x:c>
      <x:c r="F146" t="str">
        <x:v>Small Business</x:v>
      </x:c>
      <x:c r="G146" t="str">
        <x:v>South</x:v>
      </x:c>
      <x:c r="H146" t="str">
        <x:v>Telangana</x:v>
      </x:c>
      <x:c r="I146" t="str">
        <x:v>Hyderabad</x:v>
      </x:c>
      <x:c r="J146" t="str">
        <x:v>Technology</x:v>
      </x:c>
      <x:c r="K146" t="str">
        <x:v>Accessories</x:v>
      </x:c>
      <x:c r="L146" t="str">
        <x:v>Elite Accessories 905</x:v>
      </x:c>
      <x:c r="M146" t="str">
        <x:v>First Class</x:v>
      </x:c>
      <x:c r="N146" t="n">
        <x:v>7</x:v>
      </x:c>
      <x:c r="O146" s="7" t="n">
        <x:v>2147.99</x:v>
      </x:c>
      <x:c r="P146" s="6" t="n">
        <x:v>0.25</x:v>
      </x:c>
      <x:c r="Q146" s="7" t="n">
        <x:v>11276.95</x:v>
      </x:c>
      <x:c r="R146" s="7" t="n">
        <x:v>6908.76</x:v>
      </x:c>
      <x:c r="S146" s="7" t="n">
        <x:v>4368.19</x:v>
      </x:c>
      <x:c r="T146" t="str">
        <x:v>Refunded</x:v>
      </x:c>
      <x:c r="U146" t="str">
        <x:v>Returned</x:v>
      </x:c>
      <x:c r="V146" s="6" t="n">
        <x:f>IF(ISBLANK(P146),IF(AND(ISNUMBER(N146),N146&gt;0,ISNUMBER(O146),O146&gt;=0,ISNUMBER(Q146),Q146&gt;=0,ISNUMBER(R146),R146&gt;=0,ISNUMBER(S146)),0,""),P146)</x:f>
        <x:v>0.25</x:v>
      </x:c>
      <x:c r="W146" s="7" t="n">
        <x:f>IF(ISBLANK(V146),"",N146*O146*(1-V146))</x:f>
        <x:v>11276.947499999998</x:v>
      </x:c>
      <x:c r="X146" s="7" t="n">
        <x:f>IF(OR(ISBLANK(W146),ISBLANK(R146)),"",W146-R146)</x:f>
        <x:v>4368.187499999998</x:v>
      </x:c>
      <x:c r="Y146" s="8" t="n">
        <x:f>IF(OR(ISBLANK(W146),W146=0),"",X146/W146)</x:f>
        <x:v>0.3873554878215048</x:v>
      </x:c>
      <x:c r="Z146" s="9" t="n">
        <x:f>IF(OR(ISBLANK(B146),ISBLANK(C146)),"",C146-B146)</x:f>
        <x:v>8</x:v>
      </x:c>
      <x:c r="AA146" t="str">
        <x:f>IF(ISBLANK(B146),"",TEXT(B146,"mmm"))</x:f>
        <x:v>Jun</x:v>
      </x:c>
      <x:c r="AB146" s="9" t="n">
        <x:f>IF(ISBLANK(B146),"",YEAR(B146))</x:f>
        <x:v>2024</x:v>
      </x:c>
      <x:c r="AC146" s="10" t="str">
        <x:v>REFUND: Summarize separately</x:v>
      </x:c>
      <x:c r="AD146" t="str">
        <x:f>IF(AND(U146="Completed",T146="Paid",ISERROR(SEARCH("INVALID",AC146)),ISERROR(SEARCH("REVIEW",AC146))),"Include","Exclude")</x:f>
        <x:v>Exclude</x:v>
      </x:c>
      <x:c r="AE146" t="str">
        <x:f>IF(T146="Refunded","Refunded","")</x:f>
        <x:v>Refunded</x:v>
      </x:c>
    </x:row>
    <x:row r="147">
      <x:c r="A147" t="str">
        <x:v>ORD-2025-10146</x:v>
      </x:c>
      <x:c r="B147" s="5" t="n">
        <x:v>45758</x:v>
      </x:c>
      <x:c r="C147" s="5" t="n">
        <x:v>45760</x:v>
      </x:c>
      <x:c r="D147" t="str">
        <x:v>CUST-6161</x:v>
      </x:c>
      <x:c r="E147" t="str">
        <x:v>Mira Das</x:v>
      </x:c>
      <x:c r="F147" t="str">
        <x:v>Small Business</x:v>
      </x:c>
      <x:c r="G147" t="str">
        <x:v>West</x:v>
      </x:c>
      <x:c r="H147" t="str">
        <x:v>Goa</x:v>
      </x:c>
      <x:c r="I147" t="str">
        <x:v>Panaji</x:v>
      </x:c>
      <x:c r="J147" t="str">
        <x:v>Office Supplies</x:v>
      </x:c>
      <x:c r="K147" t="str">
        <x:v>Paper</x:v>
      </x:c>
      <x:c r="L147" t="str">
        <x:v>Smart Paper 899</x:v>
      </x:c>
      <x:c r="M147" t="str">
        <x:v>Standard Class</x:v>
      </x:c>
      <x:c r="N147" t="n">
        <x:v>4</x:v>
      </x:c>
      <x:c r="O147" s="7" t="n">
        <x:v>4182.15</x:v>
      </x:c>
      <x:c r="P147" s="6" t="n">
        <x:v>0.1</x:v>
      </x:c>
      <x:c r="Q147" s="7" t="n">
        <x:v>15055.74</x:v>
      </x:c>
      <x:c r="R147" s="7" t="n">
        <x:v>9808.83</x:v>
      </x:c>
      <x:c r="S147" s="7" t="n">
        <x:v>5246.91</x:v>
      </x:c>
      <x:c r="T147" t="str">
        <x:v>Paid</x:v>
      </x:c>
      <x:c r="U147" t="str">
        <x:v>Completed</x:v>
      </x:c>
      <x:c r="V147" s="6" t="n">
        <x:f>IF(ISBLANK(P147),IF(AND(ISNUMBER(N147),N147&gt;0,ISNUMBER(O147),O147&gt;=0,ISNUMBER(Q147),Q147&gt;=0,ISNUMBER(R147),R147&gt;=0,ISNUMBER(S147)),0,""),P147)</x:f>
        <x:v>0.1</x:v>
      </x:c>
      <x:c r="W147" s="7" t="n">
        <x:f>IF(ISBLANK(V147),"",N147*O147*(1-V147))</x:f>
        <x:v>15055.74</x:v>
      </x:c>
      <x:c r="X147" s="7" t="n">
        <x:f>IF(OR(ISBLANK(W147),ISBLANK(R147)),"",W147-R147)</x:f>
        <x:v>5246.91</x:v>
      </x:c>
      <x:c r="Y147" s="8" t="n">
        <x:f>IF(OR(ISBLANK(W147),W147=0),"",X147/W147)</x:f>
        <x:v>0.34849897779850075</x:v>
      </x:c>
      <x:c r="Z147" s="9" t="n">
        <x:f>IF(OR(ISBLANK(B147),ISBLANK(C147)),"",C147-B147)</x:f>
        <x:v>2</x:v>
      </x:c>
      <x:c r="AA147" t="str">
        <x:f>IF(ISBLANK(B147),"",TEXT(B147,"mmm"))</x:f>
        <x:v>Apr</x:v>
      </x:c>
      <x:c r="AB147" s="9" t="n">
        <x:f>IF(ISBLANK(B147),"",YEAR(B147))</x:f>
        <x:v>2025</x:v>
      </x:c>
      <x:c r="AC147" s="10" t="str"/>
      <x:c r="AD147" t="str">
        <x:f>IF(AND(U147="Completed",T147="Paid",ISERROR(SEARCH("INVALID",AC147)),ISERROR(SEARCH("REVIEW",AC147))),"Include","Exclude")</x:f>
        <x:v>Include</x:v>
      </x:c>
      <x:c r="AE147" t="str">
        <x:f>IF(T147="Refunded","Refunded","")</x:f>
      </x:c>
    </x:row>
    <x:row r="148">
      <x:c r="A148" t="str">
        <x:v>ORD-2025-10147</x:v>
      </x:c>
      <x:c r="B148" s="5" t="n">
        <x:v>45868</x:v>
      </x:c>
      <x:c r="C148" s="5" t="n">
        <x:v>45870</x:v>
      </x:c>
      <x:c r="D148" t="str">
        <x:v>CUST-1460</x:v>
      </x:c>
      <x:c r="E148" t="str">
        <x:v>Sneha Kapoor</x:v>
      </x:c>
      <x:c r="F148" t="str">
        <x:v>Small Business</x:v>
      </x:c>
      <x:c r="G148" t="str">
        <x:v>South</x:v>
      </x:c>
      <x:c r="H148" t="str">
        <x:v>Tamil Nadu</x:v>
      </x:c>
      <x:c r="I148" t="str">
        <x:v>Chennai</x:v>
      </x:c>
      <x:c r="J148" t="str">
        <x:v>Office Supplies</x:v>
      </x:c>
      <x:c r="K148" t="str">
        <x:v>Storage</x:v>
      </x:c>
      <x:c r="L148" t="str">
        <x:v>Classic Storage 423</x:v>
      </x:c>
      <x:c r="M148" t="str">
        <x:v>Same Day</x:v>
      </x:c>
      <x:c r="N148" t="n">
        <x:v>9</x:v>
      </x:c>
      <x:c r="O148" s="7" t="n">
        <x:v>3165.43</x:v>
      </x:c>
      <x:c r="P148" s="6" t="n">
        <x:v>0.1</x:v>
      </x:c>
      <x:c r="Q148" s="7" t="n">
        <x:v>25639.98</x:v>
      </x:c>
      <x:c r="R148" s="7" t="n">
        <x:v>21635.08</x:v>
      </x:c>
      <x:c r="S148" s="7" t="n">
        <x:v>4004.9</x:v>
      </x:c>
      <x:c r="T148" t="str">
        <x:v>Paid</x:v>
      </x:c>
      <x:c r="U148" t="str">
        <x:v>Completed</x:v>
      </x:c>
      <x:c r="V148" s="6" t="n">
        <x:f>IF(ISBLANK(P148),IF(AND(ISNUMBER(N148),N148&gt;0,ISNUMBER(O148),O148&gt;=0,ISNUMBER(Q148),Q148&gt;=0,ISNUMBER(R148),R148&gt;=0,ISNUMBER(S148)),0,""),P148)</x:f>
        <x:v>0.1</x:v>
      </x:c>
      <x:c r="W148" s="7" t="n">
        <x:f>IF(ISBLANK(V148),"",N148*O148*(1-V148))</x:f>
        <x:v>25639.983</x:v>
      </x:c>
      <x:c r="X148" s="7" t="n">
        <x:f>IF(OR(ISBLANK(W148),ISBLANK(R148)),"",W148-R148)</x:f>
        <x:v>4004.9029999999984</x:v>
      </x:c>
      <x:c r="Y148" s="8" t="n">
        <x:f>IF(OR(ISBLANK(W148),W148=0),"",X148/W148)</x:f>
        <x:v>0.1561975684617263</x:v>
      </x:c>
      <x:c r="Z148" s="9" t="n">
        <x:f>IF(OR(ISBLANK(B148),ISBLANK(C148)),"",C148-B148)</x:f>
        <x:v>2</x:v>
      </x:c>
      <x:c r="AA148" t="str">
        <x:f>IF(ISBLANK(B148),"",TEXT(B148,"mmm"))</x:f>
        <x:v>Jul</x:v>
      </x:c>
      <x:c r="AB148" s="9" t="n">
        <x:f>IF(ISBLANK(B148),"",YEAR(B148))</x:f>
        <x:v>2025</x:v>
      </x:c>
      <x:c r="AC148" s="10" t="str"/>
      <x:c r="AD148" t="str">
        <x:f>IF(AND(U148="Completed",T148="Paid",ISERROR(SEARCH("INVALID",AC148)),ISERROR(SEARCH("REVIEW",AC148))),"Include","Exclude")</x:f>
        <x:v>Include</x:v>
      </x:c>
      <x:c r="AE148" t="str">
        <x:f>IF(T148="Refunded","Refunded","")</x:f>
      </x:c>
    </x:row>
    <x:row r="149">
      <x:c r="A149" t="str">
        <x:v>ORD-2024-10148</x:v>
      </x:c>
      <x:c r="B149" s="5" t="n">
        <x:v>45649</x:v>
      </x:c>
      <x:c r="C149" s="5" t="n">
        <x:v>45656</x:v>
      </x:c>
      <x:c r="D149" t="str">
        <x:v>CUST-2692</x:v>
      </x:c>
      <x:c r="E149" t="str">
        <x:v>Priya Menon</x:v>
      </x:c>
      <x:c r="F149" t="str">
        <x:v>Home Office</x:v>
      </x:c>
      <x:c r="G149" t="str">
        <x:v>West</x:v>
      </x:c>
      <x:c r="H149" t="str">
        <x:v>Goa</x:v>
      </x:c>
      <x:c r="I149" t="str">
        <x:v>Panaji</x:v>
      </x:c>
      <x:c r="J149" t="str">
        <x:v>Furniture</x:v>
      </x:c>
      <x:c r="K149" t="str">
        <x:v>Furnishings</x:v>
      </x:c>
      <x:c r="L149" t="str">
        <x:v>Classic Furnishings 743</x:v>
      </x:c>
      <x:c r="M149" t="str">
        <x:v>First Class</x:v>
      </x:c>
      <x:c r="N149" t="n">
        <x:v>8</x:v>
      </x:c>
      <x:c r="O149" s="7" t="n">
        <x:v>386.1</x:v>
      </x:c>
      <x:c r="P149" s="6" t="n">
        <x:v>0.1</x:v>
      </x:c>
      <x:c r="Q149" s="7" t="n">
        <x:v>2779.92</x:v>
      </x:c>
      <x:c r="R149" s="7" t="n">
        <x:v>1744.05</x:v>
      </x:c>
      <x:c r="S149" s="7" t="n">
        <x:v>1035.87</x:v>
      </x:c>
      <x:c r="T149" t="str">
        <x:v>Paid</x:v>
      </x:c>
      <x:c r="U149" t="str">
        <x:v>Completed</x:v>
      </x:c>
      <x:c r="V149" s="6" t="n">
        <x:f>IF(ISBLANK(P149),IF(AND(ISNUMBER(N149),N149&gt;0,ISNUMBER(O149),O149&gt;=0,ISNUMBER(Q149),Q149&gt;=0,ISNUMBER(R149),R149&gt;=0,ISNUMBER(S149)),0,""),P149)</x:f>
        <x:v>0.1</x:v>
      </x:c>
      <x:c r="W149" s="7" t="n">
        <x:f>IF(ISBLANK(V149),"",N149*O149*(1-V149))</x:f>
        <x:v>2779.92</x:v>
      </x:c>
      <x:c r="X149" s="7" t="n">
        <x:f>IF(OR(ISBLANK(W149),ISBLANK(R149)),"",W149-R149)</x:f>
        <x:v>1035.8700000000001</x:v>
      </x:c>
      <x:c r="Y149" s="8" t="n">
        <x:f>IF(OR(ISBLANK(W149),W149=0),"",X149/W149)</x:f>
        <x:v>0.37262583095916435</x:v>
      </x:c>
      <x:c r="Z149" s="9" t="n">
        <x:f>IF(OR(ISBLANK(B149),ISBLANK(C149)),"",C149-B149)</x:f>
        <x:v>7</x:v>
      </x:c>
      <x:c r="AA149" t="str">
        <x:f>IF(ISBLANK(B149),"",TEXT(B149,"mmm"))</x:f>
        <x:v>Dec</x:v>
      </x:c>
      <x:c r="AB149" s="9" t="n">
        <x:f>IF(ISBLANK(B149),"",YEAR(B149))</x:f>
        <x:v>2024</x:v>
      </x:c>
      <x:c r="AC149" s="10" t="str"/>
      <x:c r="AD149" t="str">
        <x:f>IF(AND(U149="Completed",T149="Paid",ISERROR(SEARCH("INVALID",AC149)),ISERROR(SEARCH("REVIEW",AC149))),"Include","Exclude")</x:f>
        <x:v>Include</x:v>
      </x:c>
      <x:c r="AE149" t="str">
        <x:f>IF(T149="Refunded","Refunded","")</x:f>
      </x:c>
    </x:row>
    <x:row r="150">
      <x:c r="A150" t="str">
        <x:v>ORD-2025-10149</x:v>
      </x:c>
      <x:c r="B150" s="5" t="n">
        <x:v>45697</x:v>
      </x:c>
      <x:c r="C150" s="5" t="n">
        <x:v>45701</x:v>
      </x:c>
      <x:c r="D150" t="str">
        <x:v>CUST-2822</x:v>
      </x:c>
      <x:c r="E150" t="str">
        <x:v>Mira Das</x:v>
      </x:c>
      <x:c r="F150" t="str">
        <x:v>Home Office</x:v>
      </x:c>
      <x:c r="G150" t="str">
        <x:v>West</x:v>
      </x:c>
      <x:c r="H150" t="str">
        <x:v>Madhya Pradesh</x:v>
      </x:c>
      <x:c r="I150" t="str">
        <x:v>Indore</x:v>
      </x:c>
      <x:c r="J150" t="str">
        <x:v>Technology</x:v>
      </x:c>
      <x:c r="K150" t="str">
        <x:v>Phones</x:v>
      </x:c>
      <x:c r="L150" t="str">
        <x:v>Smart Phones 336</x:v>
      </x:c>
      <x:c r="M150" t="str">
        <x:v>Unknown</x:v>
      </x:c>
      <x:c r="N150" t="n">
        <x:v>8</x:v>
      </x:c>
      <x:c r="O150" s="7" t="n">
        <x:v>1696.07</x:v>
      </x:c>
      <x:c r="P150" s="6" t="n">
        <x:v>0.25</x:v>
      </x:c>
      <x:c r="Q150" s="7" t="n">
        <x:v>10176.42</x:v>
      </x:c>
      <x:c r="R150" s="7" t="n">
        <x:v>7604.47</x:v>
      </x:c>
      <x:c r="S150" s="7" t="n">
        <x:v>2571.95</x:v>
      </x:c>
      <x:c r="T150" t="str">
        <x:v>Paid</x:v>
      </x:c>
      <x:c r="U150" t="str">
        <x:v>Completed</x:v>
      </x:c>
      <x:c r="V150" s="6" t="n">
        <x:f>IF(ISBLANK(P150),IF(AND(ISNUMBER(N150),N150&gt;0,ISNUMBER(O150),O150&gt;=0,ISNUMBER(Q150),Q150&gt;=0,ISNUMBER(R150),R150&gt;=0,ISNUMBER(S150)),0,""),P150)</x:f>
        <x:v>0.25</x:v>
      </x:c>
      <x:c r="W150" s="7" t="n">
        <x:f>IF(ISBLANK(V150),"",N150*O150*(1-V150))</x:f>
        <x:v>10176.42</x:v>
      </x:c>
      <x:c r="X150" s="7" t="n">
        <x:f>IF(OR(ISBLANK(W150),ISBLANK(R150)),"",W150-R150)</x:f>
        <x:v>2571.95</x:v>
      </x:c>
      <x:c r="Y150" s="8" t="n">
        <x:f>IF(OR(ISBLANK(W150),W150=0),"",X150/W150)</x:f>
        <x:v>0.252736227474888</x:v>
      </x:c>
      <x:c r="Z150" s="9" t="n">
        <x:f>IF(OR(ISBLANK(B150),ISBLANK(C150)),"",C150-B150)</x:f>
        <x:v>4</x:v>
      </x:c>
      <x:c r="AA150" t="str">
        <x:f>IF(ISBLANK(B150),"",TEXT(B150,"mmm"))</x:f>
        <x:v>Feb</x:v>
      </x:c>
      <x:c r="AB150" s="9" t="n">
        <x:f>IF(ISBLANK(B150),"",YEAR(B150))</x:f>
        <x:v>2025</x:v>
      </x:c>
      <x:c r="AC150" s="10" t="str">
        <x:v>FLAG: Missing ship mode filled as Unknown</x:v>
      </x:c>
      <x:c r="AD150" t="str">
        <x:f>IF(AND(U150="Completed",T150="Paid",ISERROR(SEARCH("INVALID",AC150)),ISERROR(SEARCH("REVIEW",AC150))),"Include","Exclude")</x:f>
        <x:v>Include</x:v>
      </x:c>
      <x:c r="AE150" t="str">
        <x:f>IF(T150="Refunded","Refunded","")</x:f>
      </x:c>
    </x:row>
    <x:row r="151">
      <x:c r="A151" t="str">
        <x:v>ORD-2024-10150</x:v>
      </x:c>
      <x:c r="B151" s="5" t="n">
        <x:v>45321</x:v>
      </x:c>
      <x:c r="C151" s="5" t="n">
        <x:v>45321</x:v>
      </x:c>
      <x:c r="D151" t="str">
        <x:v>CUST-5876</x:v>
      </x:c>
      <x:c r="E151" t="str">
        <x:v>Aarav Sharma</x:v>
      </x:c>
      <x:c r="F151" t="str">
        <x:v>Small Business</x:v>
      </x:c>
      <x:c r="G151" t="str">
        <x:v>West</x:v>
      </x:c>
      <x:c r="H151" t="str">
        <x:v>Rajasthan</x:v>
      </x:c>
      <x:c r="I151" t="str">
        <x:v>Udaipur</x:v>
      </x:c>
      <x:c r="J151" t="str">
        <x:v>Technology</x:v>
      </x:c>
      <x:c r="K151" t="str">
        <x:v>Copiers</x:v>
      </x:c>
      <x:c r="L151" t="str">
        <x:v>Eco Copiers 381</x:v>
      </x:c>
      <x:c r="M151" t="str">
        <x:v>Same Day</x:v>
      </x:c>
      <x:c r="N151" t="n">
        <x:v>7</x:v>
      </x:c>
      <x:c r="O151" s="7" t="n">
        <x:v>2527.61</x:v>
      </x:c>
      <x:c r="P151" s="6" t="n">
        <x:v>0.25</x:v>
      </x:c>
      <x:c r="Q151" s="7" t="n">
        <x:v>13269.95</x:v>
      </x:c>
      <x:c r="R151" s="7" t="n">
        <x:v>8977.1</x:v>
      </x:c>
      <x:c r="S151" s="7" t="n">
        <x:v>4292.85</x:v>
      </x:c>
      <x:c r="T151" t="str">
        <x:v>Paid</x:v>
      </x:c>
      <x:c r="U151" t="str">
        <x:v>Completed</x:v>
      </x:c>
      <x:c r="V151" s="6" t="n">
        <x:f>IF(ISBLANK(P151),IF(AND(ISNUMBER(N151),N151&gt;0,ISNUMBER(O151),O151&gt;=0,ISNUMBER(Q151),Q151&gt;=0,ISNUMBER(R151),R151&gt;=0,ISNUMBER(S151)),0,""),P151)</x:f>
        <x:v>0.25</x:v>
      </x:c>
      <x:c r="W151" s="7" t="n">
        <x:f>IF(ISBLANK(V151),"",N151*O151*(1-V151))</x:f>
        <x:v>13269.9525</x:v>
      </x:c>
      <x:c r="X151" s="7" t="n">
        <x:f>IF(OR(ISBLANK(W151),ISBLANK(R151)),"",W151-R151)</x:f>
        <x:v>4292.852499999999</x:v>
      </x:c>
      <x:c r="Y151" s="8" t="n">
        <x:f>IF(OR(ISBLANK(W151),W151=0),"",X151/W151)</x:f>
        <x:v>0.3235017231598982</x:v>
      </x:c>
      <x:c r="Z151" s="9" t="n">
        <x:f>IF(OR(ISBLANK(B151),ISBLANK(C151)),"",C151-B151)</x:f>
        <x:v>0</x:v>
      </x:c>
      <x:c r="AA151" t="str">
        <x:f>IF(ISBLANK(B151),"",TEXT(B151,"mmm"))</x:f>
        <x:v>Jan</x:v>
      </x:c>
      <x:c r="AB151" s="9" t="n">
        <x:f>IF(ISBLANK(B151),"",YEAR(B151))</x:f>
        <x:v>2024</x:v>
      </x:c>
      <x:c r="AC151" s="10" t="str"/>
      <x:c r="AD151" t="str">
        <x:f>IF(AND(U151="Completed",T151="Paid",ISERROR(SEARCH("INVALID",AC151)),ISERROR(SEARCH("REVIEW",AC151))),"Include","Exclude")</x:f>
        <x:v>Include</x:v>
      </x:c>
      <x:c r="AE151" t="str">
        <x:f>IF(T151="Refunded","Refunded","")</x:f>
      </x:c>
    </x:row>
    <x:row r="152">
      <x:c r="A152" t="str">
        <x:v>ORD-2024-10151</x:v>
      </x:c>
      <x:c r="B152" s="5" t="n">
        <x:v>45355</x:v>
      </x:c>
      <x:c r="C152" s="5" t="n">
        <x:v>45363</x:v>
      </x:c>
      <x:c r="D152" t="str">
        <x:v>CUST-4661</x:v>
      </x:c>
      <x:c r="E152" t="str">
        <x:v>Arjun Bose</x:v>
      </x:c>
      <x:c r="F152" t="str">
        <x:v>Consumer</x:v>
      </x:c>
      <x:c r="G152" t="str">
        <x:v>Unknown</x:v>
      </x:c>
      <x:c r="H152" t="str">
        <x:v>Gujarat</x:v>
      </x:c>
      <x:c r="I152" t="str">
        <x:v>Ahmedabad</x:v>
      </x:c>
      <x:c r="J152" t="str">
        <x:v>Furniture</x:v>
      </x:c>
      <x:c r="K152" t="str">
        <x:v>Bookcases</x:v>
      </x:c>
      <x:c r="L152" t="str">
        <x:v>Max Bookcases 595</x:v>
      </x:c>
      <x:c r="M152" t="str">
        <x:v>First Class</x:v>
      </x:c>
      <x:c r="N152" t="n">
        <x:v>1</x:v>
      </x:c>
      <x:c r="O152" s="7" t="n">
        <x:v>1554.12</x:v>
      </x:c>
      <x:c r="P152" s="6" t="n">
        <x:v>0.1</x:v>
      </x:c>
      <x:c r="Q152" s="7" t="n">
        <x:v>1398.71</x:v>
      </x:c>
      <x:c r="R152" s="7" t="n">
        <x:v>1056.92</x:v>
      </x:c>
      <x:c r="S152" s="7" t="n">
        <x:v>341.79</x:v>
      </x:c>
      <x:c r="T152" t="str">
        <x:v>Paid</x:v>
      </x:c>
      <x:c r="U152" t="str">
        <x:v>Completed</x:v>
      </x:c>
      <x:c r="V152" s="6" t="n">
        <x:f>IF(ISBLANK(P152),IF(AND(ISNUMBER(N152),N152&gt;0,ISNUMBER(O152),O152&gt;=0,ISNUMBER(Q152),Q152&gt;=0,ISNUMBER(R152),R152&gt;=0,ISNUMBER(S152)),0,""),P152)</x:f>
        <x:v>0.1</x:v>
      </x:c>
      <x:c r="W152" s="7" t="n">
        <x:f>IF(ISBLANK(V152),"",N152*O152*(1-V152))</x:f>
        <x:v>1398.7079999999999</x:v>
      </x:c>
      <x:c r="X152" s="7" t="n">
        <x:f>IF(OR(ISBLANK(W152),ISBLANK(R152)),"",W152-R152)</x:f>
        <x:v>341.7879999999998</x:v>
      </x:c>
      <x:c r="Y152" s="8" t="n">
        <x:f>IF(OR(ISBLANK(W152),W152=0),"",X152/W152)</x:f>
        <x:v>0.24435979489643286</x:v>
      </x:c>
      <x:c r="Z152" s="9" t="n">
        <x:f>IF(OR(ISBLANK(B152),ISBLANK(C152)),"",C152-B152)</x:f>
        <x:v>8</x:v>
      </x:c>
      <x:c r="AA152" t="str">
        <x:f>IF(ISBLANK(B152),"",TEXT(B152,"mmm"))</x:f>
        <x:v>Mar</x:v>
      </x:c>
      <x:c r="AB152" s="9" t="n">
        <x:f>IF(ISBLANK(B152),"",YEAR(B152))</x:f>
        <x:v>2024</x:v>
      </x:c>
      <x:c r="AC152" s="10" t="str">
        <x:v>FLAG: Missing region filled as Unknown</x:v>
      </x:c>
      <x:c r="AD152" t="str">
        <x:f>IF(AND(U152="Completed",T152="Paid",ISERROR(SEARCH("INVALID",AC152)),ISERROR(SEARCH("REVIEW",AC152))),"Include","Exclude")</x:f>
        <x:v>Include</x:v>
      </x:c>
      <x:c r="AE152" t="str">
        <x:f>IF(T152="Refunded","Refunded","")</x:f>
      </x:c>
    </x:row>
    <x:row r="153">
      <x:c r="A153" t="str">
        <x:v>ORD-2024-10152</x:v>
      </x:c>
      <x:c r="B153" s="5" t="n">
        <x:v>45470</x:v>
      </x:c>
      <x:c r="C153" s="5" t="n">
        <x:v>45470</x:v>
      </x:c>
      <x:c r="D153" t="str">
        <x:v>CUST-6011</x:v>
      </x:c>
      <x:c r="E153" t="str">
        <x:v>Neha Gupta</x:v>
      </x:c>
      <x:c r="F153" t="str">
        <x:v>Home Office</x:v>
      </x:c>
      <x:c r="G153" t="str">
        <x:v>Unknown</x:v>
      </x:c>
      <x:c r="H153" t="str">
        <x:v>Madhya Pradesh</x:v>
      </x:c>
      <x:c r="I153" t="str">
        <x:v>Indore</x:v>
      </x:c>
      <x:c r="J153" t="str">
        <x:v>Technology</x:v>
      </x:c>
      <x:c r="K153" t="str">
        <x:v>Copiers</x:v>
      </x:c>
      <x:c r="L153" t="str">
        <x:v>Max Copiers 992</x:v>
      </x:c>
      <x:c r="M153" t="str">
        <x:v>Standard Class</x:v>
      </x:c>
      <x:c r="N153" t="n">
        <x:v>2</x:v>
      </x:c>
      <x:c r="O153" s="7" t="n">
        <x:v>3859.11</x:v>
      </x:c>
      <x:c r="P153" s="6" t="n">
        <x:v>0</x:v>
      </x:c>
      <x:c r="Q153" s="7" t="n">
        <x:v>7718.22</x:v>
      </x:c>
      <x:c r="R153" s="7" t="n">
        <x:v>5355.93</x:v>
      </x:c>
      <x:c r="S153" s="7" t="n">
        <x:v>2362.29</x:v>
      </x:c>
      <x:c r="T153" t="str">
        <x:v>Pending</x:v>
      </x:c>
      <x:c r="U153" t="str">
        <x:v>Returned</x:v>
      </x:c>
      <x:c r="V153" s="6" t="n">
        <x:f>IF(ISBLANK(P153),IF(AND(ISNUMBER(N153),N153&gt;0,ISNUMBER(O153),O153&gt;=0,ISNUMBER(Q153),Q153&gt;=0,ISNUMBER(R153),R153&gt;=0,ISNUMBER(S153)),0,""),P153)</x:f>
        <x:v>0</x:v>
      </x:c>
      <x:c r="W153" s="7" t="n">
        <x:f>IF(ISBLANK(V153),"",N153*O153*(1-V153))</x:f>
        <x:v>7718.22</x:v>
      </x:c>
      <x:c r="X153" s="7" t="n">
        <x:f>IF(OR(ISBLANK(W153),ISBLANK(R153)),"",W153-R153)</x:f>
        <x:v>2362.29</x:v>
      </x:c>
      <x:c r="Y153" s="8" t="n">
        <x:f>IF(OR(ISBLANK(W153),W153=0),"",X153/W153)</x:f>
        <x:v>0.30606668376905555</x:v>
      </x:c>
      <x:c r="Z153" s="9" t="n">
        <x:f>IF(OR(ISBLANK(B153),ISBLANK(C153)),"",C153-B153)</x:f>
        <x:v>0</x:v>
      </x:c>
      <x:c r="AA153" t="str">
        <x:f>IF(ISBLANK(B153),"",TEXT(B153,"mmm"))</x:f>
        <x:v>Jun</x:v>
      </x:c>
      <x:c r="AB153" s="9" t="n">
        <x:f>IF(ISBLANK(B153),"",YEAR(B153))</x:f>
        <x:v>2024</x:v>
      </x:c>
      <x:c r="AC153" s="10" t="str">
        <x:v>FLAG: Missing region filled as Unknown</x:v>
      </x:c>
      <x:c r="AD153" t="str">
        <x:f>IF(AND(U153="Completed",T153="Paid",ISERROR(SEARCH("INVALID",AC153)),ISERROR(SEARCH("REVIEW",AC153))),"Include","Exclude")</x:f>
        <x:v>Exclude</x:v>
      </x:c>
      <x:c r="AE153" t="str">
        <x:f>IF(T153="Refunded","Refunded","")</x:f>
      </x:c>
    </x:row>
    <x:row r="154">
      <x:c r="A154" t="str">
        <x:v>ORD-2024-10153</x:v>
      </x:c>
      <x:c r="B154" s="5" t="n">
        <x:v>45457</x:v>
      </x:c>
      <x:c r="C154" s="5" t="n">
        <x:v>45460</x:v>
      </x:c>
      <x:c r="D154" t="str">
        <x:v>CUST-6160</x:v>
      </x:c>
      <x:c r="E154" t="str">
        <x:v>Kabir Singh</x:v>
      </x:c>
      <x:c r="F154" t="str">
        <x:v>Small Business</x:v>
      </x:c>
      <x:c r="G154" t="str">
        <x:v>South</x:v>
      </x:c>
      <x:c r="H154" t="str">
        <x:v>Kerala</x:v>
      </x:c>
      <x:c r="I154" t="str">
        <x:v>Kochi</x:v>
      </x:c>
      <x:c r="J154" t="str">
        <x:v>Furniture</x:v>
      </x:c>
      <x:c r="K154" t="str">
        <x:v>Tables</x:v>
      </x:c>
      <x:c r="L154" t="str">
        <x:v>Pro Tables 407</x:v>
      </x:c>
      <x:c r="M154" t="str">
        <x:v>Second Class</x:v>
      </x:c>
      <x:c r="N154" t="n">
        <x:v>6</x:v>
      </x:c>
      <x:c r="O154" s="7" t="n">
        <x:v>1088.04</x:v>
      </x:c>
      <x:c r="P154" s="6" t="n">
        <x:v>0.1</x:v>
      </x:c>
      <x:c r="Q154" s="7" t="n">
        <x:v>5875.42</x:v>
      </x:c>
      <x:c r="R154" s="7" t="n">
        <x:v>4380.55</x:v>
      </x:c>
      <x:c r="S154" s="7" t="n">
        <x:v>1494.87</x:v>
      </x:c>
      <x:c r="T154" t="str">
        <x:v>Pending</x:v>
      </x:c>
      <x:c r="U154" t="str">
        <x:v>Returned</x:v>
      </x:c>
      <x:c r="V154" s="6" t="n">
        <x:f>IF(ISBLANK(P154),IF(AND(ISNUMBER(N154),N154&gt;0,ISNUMBER(O154),O154&gt;=0,ISNUMBER(Q154),Q154&gt;=0,ISNUMBER(R154),R154&gt;=0,ISNUMBER(S154)),0,""),P154)</x:f>
        <x:v>0.1</x:v>
      </x:c>
      <x:c r="W154" s="7" t="n">
        <x:f>IF(ISBLANK(V154),"",N154*O154*(1-V154))</x:f>
        <x:v>5875.416</x:v>
      </x:c>
      <x:c r="X154" s="7" t="n">
        <x:f>IF(OR(ISBLANK(W154),ISBLANK(R154)),"",W154-R154)</x:f>
        <x:v>1494.866</x:v>
      </x:c>
      <x:c r="Y154" s="8" t="n">
        <x:f>IF(OR(ISBLANK(W154),W154=0),"",X154/W154)</x:f>
        <x:v>0.25442726098032886</x:v>
      </x:c>
      <x:c r="Z154" s="9" t="n">
        <x:f>IF(OR(ISBLANK(B154),ISBLANK(C154)),"",C154-B154)</x:f>
        <x:v>3</x:v>
      </x:c>
      <x:c r="AA154" t="str">
        <x:f>IF(ISBLANK(B154),"",TEXT(B154,"mmm"))</x:f>
        <x:v>Jun</x:v>
      </x:c>
      <x:c r="AB154" s="9" t="n">
        <x:f>IF(ISBLANK(B154),"",YEAR(B154))</x:f>
        <x:v>2024</x:v>
      </x:c>
      <x:c r="AC154" s="10" t="str"/>
      <x:c r="AD154" t="str">
        <x:f>IF(AND(U154="Completed",T154="Paid",ISERROR(SEARCH("INVALID",AC154)),ISERROR(SEARCH("REVIEW",AC154))),"Include","Exclude")</x:f>
        <x:v>Exclude</x:v>
      </x:c>
      <x:c r="AE154" t="str">
        <x:f>IF(T154="Refunded","Refunded","")</x:f>
      </x:c>
    </x:row>
    <x:row r="155">
      <x:c r="A155" t="str">
        <x:v>ORD-2025-10154</x:v>
      </x:c>
      <x:c r="B155" s="5" t="n">
        <x:v>45923</x:v>
      </x:c>
      <x:c r="C155" s="5" t="n">
        <x:v>45925</x:v>
      </x:c>
      <x:c r="D155" t="str">
        <x:v>CUST-6971</x:v>
      </x:c>
      <x:c r="E155" t="str">
        <x:v>Aditi Sen</x:v>
      </x:c>
      <x:c r="F155" t="str">
        <x:v>Consumer</x:v>
      </x:c>
      <x:c r="G155" t="str">
        <x:v>East</x:v>
      </x:c>
      <x:c r="H155" t="str">
        <x:v>Odisha</x:v>
      </x:c>
      <x:c r="I155" t="str">
        <x:v>Bhubaneswar</x:v>
      </x:c>
      <x:c r="J155" t="str">
        <x:v>Office Supplies</x:v>
      </x:c>
      <x:c r="K155" t="str">
        <x:v>Labels</x:v>
      </x:c>
      <x:c r="L155" t="str">
        <x:v>Prime Labels 559</x:v>
      </x:c>
      <x:c r="M155" t="str">
        <x:v>Standard Class</x:v>
      </x:c>
      <x:c r="N155" t="n">
        <x:v>7</x:v>
      </x:c>
      <x:c r="O155" s="7" t="n">
        <x:v>3280.31</x:v>
      </x:c>
      <x:c r="P155" s="6" t="n">
        <x:v>0</x:v>
      </x:c>
      <x:c r="Q155" s="7" t="n">
        <x:v>22962.17</x:v>
      </x:c>
      <x:c r="R155" s="7" t="n">
        <x:v>15716.5</x:v>
      </x:c>
      <x:c r="S155" s="7" t="n">
        <x:v>7245.67</x:v>
      </x:c>
      <x:c r="T155" t="str">
        <x:v>Refunded</x:v>
      </x:c>
      <x:c r="U155" t="str">
        <x:v>Returned</x:v>
      </x:c>
      <x:c r="V155" s="6" t="n">
        <x:f>IF(ISBLANK(P155),IF(AND(ISNUMBER(N155),N155&gt;0,ISNUMBER(O155),O155&gt;=0,ISNUMBER(Q155),Q155&gt;=0,ISNUMBER(R155),R155&gt;=0,ISNUMBER(S155)),0,""),P155)</x:f>
        <x:v>0</x:v>
      </x:c>
      <x:c r="W155" s="7" t="n">
        <x:f>IF(ISBLANK(V155),"",N155*O155*(1-V155))</x:f>
        <x:v>22962.17</x:v>
      </x:c>
      <x:c r="X155" s="7" t="n">
        <x:f>IF(OR(ISBLANK(W155),ISBLANK(R155)),"",W155-R155)</x:f>
        <x:v>7245.669999999998</x:v>
      </x:c>
      <x:c r="Y155" s="8" t="n">
        <x:f>IF(OR(ISBLANK(W155),W155=0),"",X155/W155)</x:f>
        <x:v>0.31554813852523517</x:v>
      </x:c>
      <x:c r="Z155" s="9" t="n">
        <x:f>IF(OR(ISBLANK(B155),ISBLANK(C155)),"",C155-B155)</x:f>
        <x:v>2</x:v>
      </x:c>
      <x:c r="AA155" t="str">
        <x:f>IF(ISBLANK(B155),"",TEXT(B155,"mmm"))</x:f>
        <x:v>Sep</x:v>
      </x:c>
      <x:c r="AB155" s="9" t="n">
        <x:f>IF(ISBLANK(B155),"",YEAR(B155))</x:f>
        <x:v>2025</x:v>
      </x:c>
      <x:c r="AC155" s="10" t="str">
        <x:v>REFUND: Summarize separately</x:v>
      </x:c>
      <x:c r="AD155" t="str">
        <x:f>IF(AND(U155="Completed",T155="Paid",ISERROR(SEARCH("INVALID",AC155)),ISERROR(SEARCH("REVIEW",AC155))),"Include","Exclude")</x:f>
        <x:v>Exclude</x:v>
      </x:c>
      <x:c r="AE155" t="str">
        <x:f>IF(T155="Refunded","Refunded","")</x:f>
        <x:v>Refunded</x:v>
      </x:c>
    </x:row>
    <x:row r="156">
      <x:c r="A156" t="str">
        <x:v>ORD-2024-10155</x:v>
      </x:c>
      <x:c r="B156" s="5" t="n">
        <x:v>45334</x:v>
      </x:c>
      <x:c r="C156" s="5" t="n">
        <x:v>45333</x:v>
      </x:c>
      <x:c r="D156" t="str">
        <x:v>CUST-7764</x:v>
      </x:c>
      <x:c r="E156" t="str">
        <x:v>Priya Menon</x:v>
      </x:c>
      <x:c r="F156" t="str">
        <x:v>Consumer</x:v>
      </x:c>
      <x:c r="G156" t="str">
        <x:v>South</x:v>
      </x:c>
      <x:c r="H156" t="str">
        <x:v>Tamil Nadu</x:v>
      </x:c>
      <x:c r="I156" t="str">
        <x:v>Chennai</x:v>
      </x:c>
      <x:c r="J156" t="str">
        <x:v>Furniture</x:v>
      </x:c>
      <x:c r="K156" t="str">
        <x:v>Bookcases</x:v>
      </x:c>
      <x:c r="L156" t="str">
        <x:v>Classic Bookcases 847</x:v>
      </x:c>
      <x:c r="M156" t="str">
        <x:v>Same Day</x:v>
      </x:c>
      <x:c r="N156" t="n">
        <x:v>1</x:v>
      </x:c>
      <x:c r="O156" s="7" t="n">
        <x:v>2599.12</x:v>
      </x:c>
      <x:c r="P156" s="6" t="n">
        <x:v>0.15</x:v>
      </x:c>
      <x:c r="Q156" s="7" t="n">
        <x:v>2209.25</x:v>
      </x:c>
      <x:c r="R156" s="7" t="n">
        <x:v>1523.78</x:v>
      </x:c>
      <x:c r="S156" s="7" t="n">
        <x:v>685.47</x:v>
      </x:c>
      <x:c r="T156" t="str">
        <x:v>Paid</x:v>
      </x:c>
      <x:c r="U156" t="str">
        <x:v>Completed</x:v>
      </x:c>
      <x:c r="V156" s="6" t="n">
        <x:f>IF(ISBLANK(P156),IF(AND(ISNUMBER(N156),N156&gt;0,ISNUMBER(O156),O156&gt;=0,ISNUMBER(Q156),Q156&gt;=0,ISNUMBER(R156),R156&gt;=0,ISNUMBER(S156)),0,""),P156)</x:f>
        <x:v>0.15</x:v>
      </x:c>
      <x:c r="W156" s="7" t="n">
        <x:f>IF(ISBLANK(V156),"",N156*O156*(1-V156))</x:f>
        <x:v>2209.252</x:v>
      </x:c>
      <x:c r="X156" s="7" t="n">
        <x:f>IF(OR(ISBLANK(W156),ISBLANK(R156)),"",W156-R156)</x:f>
        <x:v>685.472</x:v>
      </x:c>
      <x:c r="Y156" s="8" t="n">
        <x:f>IF(OR(ISBLANK(W156),W156=0),"",X156/W156)</x:f>
        <x:v>0.3102733413843237</x:v>
      </x:c>
      <x:c r="Z156" s="9" t="n">
        <x:f>IF(OR(ISBLANK(B156),ISBLANK(C156)),"",C156-B156)</x:f>
        <x:v>-1</x:v>
      </x:c>
      <x:c r="AA156" t="str">
        <x:f>IF(ISBLANK(B156),"",TEXT(B156,"mmm"))</x:f>
        <x:v>Feb</x:v>
      </x:c>
      <x:c r="AB156" s="9" t="n">
        <x:f>IF(ISBLANK(B156),"",YEAR(B156))</x:f>
        <x:v>2024</x:v>
      </x:c>
      <x:c r="AC156" s="10" t="str">
        <x:v>INVALID: Ship date before order date</x:v>
      </x:c>
      <x:c r="AD156" t="str">
        <x:f>IF(AND(U156="Completed",T156="Paid",ISERROR(SEARCH("INVALID",AC156)),ISERROR(SEARCH("REVIEW",AC156))),"Include","Exclude")</x:f>
        <x:v>Exclude</x:v>
      </x:c>
      <x:c r="AE156" t="str">
        <x:f>IF(T156="Refunded","Refunded","")</x:f>
      </x:c>
    </x:row>
    <x:row r="157">
      <x:c r="A157" t="str">
        <x:v>ORD-2025-10156</x:v>
      </x:c>
      <x:c r="B157" s="5" t="n">
        <x:v>45683</x:v>
      </x:c>
      <x:c r="C157" s="5" t="n">
        <x:v>45691</x:v>
      </x:c>
      <x:c r="D157" t="str">
        <x:v>CUST-8327</x:v>
      </x:c>
      <x:c r="E157" t="str">
        <x:v>Karan Malhotra</x:v>
      </x:c>
      <x:c r="F157" t="str">
        <x:v>Corporate</x:v>
      </x:c>
      <x:c r="G157" t="str">
        <x:v>West</x:v>
      </x:c>
      <x:c r="H157" t="str">
        <x:v>Rajasthan</x:v>
      </x:c>
      <x:c r="I157" t="str">
        <x:v>Udaipur</x:v>
      </x:c>
      <x:c r="J157" t="str">
        <x:v>Furniture</x:v>
      </x:c>
      <x:c r="K157" t="str">
        <x:v>Furnishings</x:v>
      </x:c>
      <x:c r="L157" t="str">
        <x:v>Classic Furnishings 655</x:v>
      </x:c>
      <x:c r="M157" t="str">
        <x:v>Same Day</x:v>
      </x:c>
      <x:c r="N157" t="n">
        <x:v>3</x:v>
      </x:c>
      <x:c r="O157" s="7" t="n">
        <x:v>2859.32</x:v>
      </x:c>
      <x:c r="P157" s="6" t="n">
        <x:v>0.1</x:v>
      </x:c>
      <x:c r="Q157" s="7" t="n">
        <x:v>7720.16</x:v>
      </x:c>
      <x:c r="R157" s="7" t="n">
        <x:v>5881</x:v>
      </x:c>
      <x:c r="S157" s="7" t="n">
        <x:v>1839.16</x:v>
      </x:c>
      <x:c r="T157" t="str">
        <x:v>Refunded</x:v>
      </x:c>
      <x:c r="U157" t="str">
        <x:v>Returned</x:v>
      </x:c>
      <x:c r="V157" s="6" t="n">
        <x:f>IF(ISBLANK(P157),IF(AND(ISNUMBER(N157),N157&gt;0,ISNUMBER(O157),O157&gt;=0,ISNUMBER(Q157),Q157&gt;=0,ISNUMBER(R157),R157&gt;=0,ISNUMBER(S157)),0,""),P157)</x:f>
        <x:v>0.1</x:v>
      </x:c>
      <x:c r="W157" s="7" t="n">
        <x:f>IF(ISBLANK(V157),"",N157*O157*(1-V157))</x:f>
        <x:v>7720.164000000001</x:v>
      </x:c>
      <x:c r="X157" s="7" t="n">
        <x:f>IF(OR(ISBLANK(W157),ISBLANK(R157)),"",W157-R157)</x:f>
        <x:v>1839.1640000000007</x:v>
      </x:c>
      <x:c r="Y157" s="8" t="n">
        <x:f>IF(OR(ISBLANK(W157),W157=0),"",X157/W157)</x:f>
        <x:v>0.23822861794127695</x:v>
      </x:c>
      <x:c r="Z157" s="9" t="n">
        <x:f>IF(OR(ISBLANK(B157),ISBLANK(C157)),"",C157-B157)</x:f>
        <x:v>8</x:v>
      </x:c>
      <x:c r="AA157" t="str">
        <x:f>IF(ISBLANK(B157),"",TEXT(B157,"mmm"))</x:f>
        <x:v>Jan</x:v>
      </x:c>
      <x:c r="AB157" s="9" t="n">
        <x:f>IF(ISBLANK(B157),"",YEAR(B157))</x:f>
        <x:v>2025</x:v>
      </x:c>
      <x:c r="AC157" s="10" t="str">
        <x:v>REFUND: Summarize separately</x:v>
      </x:c>
      <x:c r="AD157" t="str">
        <x:f>IF(AND(U157="Completed",T157="Paid",ISERROR(SEARCH("INVALID",AC157)),ISERROR(SEARCH("REVIEW",AC157))),"Include","Exclude")</x:f>
        <x:v>Exclude</x:v>
      </x:c>
      <x:c r="AE157" t="str">
        <x:f>IF(T157="Refunded","Refunded","")</x:f>
        <x:v>Refunded</x:v>
      </x:c>
    </x:row>
    <x:row r="158">
      <x:c r="A158" t="str">
        <x:v>ORD-2025-10157</x:v>
      </x:c>
      <x:c r="B158" s="5" t="n">
        <x:v>45743</x:v>
      </x:c>
      <x:c r="C158" s="5" t="n">
        <x:v>45743</x:v>
      </x:c>
      <x:c r="D158" t="str">
        <x:v>CUST-4058</x:v>
      </x:c>
      <x:c r="E158" t="str">
        <x:v>Vikram Iyer</x:v>
      </x:c>
      <x:c r="F158" t="str">
        <x:v>Small Business</x:v>
      </x:c>
      <x:c r="G158" t="str">
        <x:v>East</x:v>
      </x:c>
      <x:c r="H158" t="str">
        <x:v>Bihar</x:v>
      </x:c>
      <x:c r="I158" t="str">
        <x:v>Patna</x:v>
      </x:c>
      <x:c r="J158" t="str">
        <x:v>Technology</x:v>
      </x:c>
      <x:c r="K158" t="str">
        <x:v>Machines</x:v>
      </x:c>
      <x:c r="L158" t="str">
        <x:v>Eco Machines 657</x:v>
      </x:c>
      <x:c r="M158" t="str">
        <x:v>Second Class</x:v>
      </x:c>
      <x:c r="N158" t="n">
        <x:v>7</x:v>
      </x:c>
      <x:c r="O158" s="7" t="n">
        <x:v>2305.37</x:v>
      </x:c>
      <x:c r="P158" s="6" t="n">
        <x:v>0.25</x:v>
      </x:c>
      <x:c r="Q158" s="7" t="n">
        <x:v>12103.19</x:v>
      </x:c>
      <x:c r="R158" s="7" t="n">
        <x:v>6717.87</x:v>
      </x:c>
      <x:c r="S158" s="7" t="n">
        <x:v>5385.32</x:v>
      </x:c>
      <x:c r="T158" t="str">
        <x:v>Paid</x:v>
      </x:c>
      <x:c r="U158" t="str">
        <x:v>Completed</x:v>
      </x:c>
      <x:c r="V158" s="6" t="n">
        <x:f>IF(ISBLANK(P158),IF(AND(ISNUMBER(N158),N158&gt;0,ISNUMBER(O158),O158&gt;=0,ISNUMBER(Q158),Q158&gt;=0,ISNUMBER(R158),R158&gt;=0,ISNUMBER(S158)),0,""),P158)</x:f>
        <x:v>0.25</x:v>
      </x:c>
      <x:c r="W158" s="7" t="n">
        <x:f>IF(ISBLANK(V158),"",N158*O158*(1-V158))</x:f>
        <x:v>12103.192500000001</x:v>
      </x:c>
      <x:c r="X158" s="7" t="n">
        <x:f>IF(OR(ISBLANK(W158),ISBLANK(R158)),"",W158-R158)</x:f>
        <x:v>5385.322500000001</x:v>
      </x:c>
      <x:c r="Y158" s="8" t="n">
        <x:f>IF(OR(ISBLANK(W158),W158=0),"",X158/W158)</x:f>
        <x:v>0.44495057812225997</x:v>
      </x:c>
      <x:c r="Z158" s="9" t="n">
        <x:f>IF(OR(ISBLANK(B158),ISBLANK(C158)),"",C158-B158)</x:f>
        <x:v>0</x:v>
      </x:c>
      <x:c r="AA158" t="str">
        <x:f>IF(ISBLANK(B158),"",TEXT(B158,"mmm"))</x:f>
        <x:v>Mar</x:v>
      </x:c>
      <x:c r="AB158" s="9" t="n">
        <x:f>IF(ISBLANK(B158),"",YEAR(B158))</x:f>
        <x:v>2025</x:v>
      </x:c>
      <x:c r="AC158" s="10" t="str"/>
      <x:c r="AD158" t="str">
        <x:f>IF(AND(U158="Completed",T158="Paid",ISERROR(SEARCH("INVALID",AC158)),ISERROR(SEARCH("REVIEW",AC158))),"Include","Exclude")</x:f>
        <x:v>Include</x:v>
      </x:c>
      <x:c r="AE158" t="str">
        <x:f>IF(T158="Refunded","Refunded","")</x:f>
      </x:c>
    </x:row>
    <x:row r="159">
      <x:c r="A159" t="str">
        <x:v>ORD-2024-10158</x:v>
      </x:c>
      <x:c r="B159" s="5" t="n">
        <x:v>45587</x:v>
      </x:c>
      <x:c r="C159" s="5" t="n">
        <x:v>45589</x:v>
      </x:c>
      <x:c r="D159" t="str">
        <x:v>CUST-1142</x:v>
      </x:c>
      <x:c r="E159" t="str">
        <x:v>Rohan Mehta</x:v>
      </x:c>
      <x:c r="F159" t="str">
        <x:v>Small Business</x:v>
      </x:c>
      <x:c r="G159" t="str">
        <x:v>South</x:v>
      </x:c>
      <x:c r="H159" t="str">
        <x:v>Andhra Pradesh</x:v>
      </x:c>
      <x:c r="I159" t="str">
        <x:v>Vijayawada</x:v>
      </x:c>
      <x:c r="J159" t="str">
        <x:v>Furniture</x:v>
      </x:c>
      <x:c r="K159" t="str">
        <x:v>Bookcases</x:v>
      </x:c>
      <x:c r="L159" t="str">
        <x:v>Pro Bookcases 430</x:v>
      </x:c>
      <x:c r="M159" t="str">
        <x:v>Standard Class</x:v>
      </x:c>
      <x:c r="N159" t="n">
        <x:v>3</x:v>
      </x:c>
      <x:c r="O159" s="7" t="n">
        <x:v>915.84</x:v>
      </x:c>
      <x:c r="P159" s="6" t="n">
        <x:v>0.15</x:v>
      </x:c>
      <x:c r="Q159" s="7" t="n">
        <x:v>2335.39</x:v>
      </x:c>
      <x:c r="R159" s="7" t="n">
        <x:v>1466.15</x:v>
      </x:c>
      <x:c r="S159" s="7" t="n">
        <x:v>869.24</x:v>
      </x:c>
      <x:c r="T159" t="str">
        <x:v>Paid</x:v>
      </x:c>
      <x:c r="U159" t="str">
        <x:v>Completed</x:v>
      </x:c>
      <x:c r="V159" s="6" t="n">
        <x:f>IF(ISBLANK(P159),IF(AND(ISNUMBER(N159),N159&gt;0,ISNUMBER(O159),O159&gt;=0,ISNUMBER(Q159),Q159&gt;=0,ISNUMBER(R159),R159&gt;=0,ISNUMBER(S159)),0,""),P159)</x:f>
        <x:v>0.15</x:v>
      </x:c>
      <x:c r="W159" s="7" t="n">
        <x:f>IF(ISBLANK(V159),"",N159*O159*(1-V159))</x:f>
        <x:v>2335.392</x:v>
      </x:c>
      <x:c r="X159" s="7" t="n">
        <x:f>IF(OR(ISBLANK(W159),ISBLANK(R159)),"",W159-R159)</x:f>
        <x:v>869.2419999999997</x:v>
      </x:c>
      <x:c r="Y159" s="8" t="n">
        <x:f>IF(OR(ISBLANK(W159),W159=0),"",X159/W159)</x:f>
        <x:v>0.3722038955344541</x:v>
      </x:c>
      <x:c r="Z159" s="9" t="n">
        <x:f>IF(OR(ISBLANK(B159),ISBLANK(C159)),"",C159-B159)</x:f>
        <x:v>2</x:v>
      </x:c>
      <x:c r="AA159" t="str">
        <x:f>IF(ISBLANK(B159),"",TEXT(B159,"mmm"))</x:f>
        <x:v>Oct</x:v>
      </x:c>
      <x:c r="AB159" s="9" t="n">
        <x:f>IF(ISBLANK(B159),"",YEAR(B159))</x:f>
        <x:v>2024</x:v>
      </x:c>
      <x:c r="AC159" s="10" t="str"/>
      <x:c r="AD159" t="str">
        <x:f>IF(AND(U159="Completed",T159="Paid",ISERROR(SEARCH("INVALID",AC159)),ISERROR(SEARCH("REVIEW",AC159))),"Include","Exclude")</x:f>
        <x:v>Include</x:v>
      </x:c>
      <x:c r="AE159" t="str">
        <x:f>IF(T159="Refunded","Refunded","")</x:f>
      </x:c>
    </x:row>
    <x:row r="160">
      <x:c r="A160" t="str">
        <x:v>ORD-2024-10159</x:v>
      </x:c>
      <x:c r="B160" s="5" t="n">
        <x:v>45544</x:v>
      </x:c>
      <x:c r="C160" s="5" t="n">
        <x:v>45546</x:v>
      </x:c>
      <x:c r="D160" t="str">
        <x:v>CUST-2324</x:v>
      </x:c>
      <x:c r="E160" t="str">
        <x:v>Neha Gupta</x:v>
      </x:c>
      <x:c r="F160" t="str">
        <x:v>Home Office</x:v>
      </x:c>
      <x:c r="G160" t="str">
        <x:v>South</x:v>
      </x:c>
      <x:c r="H160" t="str">
        <x:v>Telangana</x:v>
      </x:c>
      <x:c r="I160" t="str">
        <x:v>Hyderabad</x:v>
      </x:c>
      <x:c r="J160" t="str">
        <x:v>Furniture</x:v>
      </x:c>
      <x:c r="K160" t="str">
        <x:v>Bookcases</x:v>
      </x:c>
      <x:c r="L160" t="str">
        <x:v>Max Bookcases 881</x:v>
      </x:c>
      <x:c r="M160" t="str">
        <x:v>First Class</x:v>
      </x:c>
      <x:c r="N160" t="n">
        <x:v>1</x:v>
      </x:c>
      <x:c r="O160" s="7" t="n">
        <x:v>4199.54</x:v>
      </x:c>
      <x:c r="P160" s="6" t="n">
        <x:v>0.05</x:v>
      </x:c>
      <x:c r="Q160" s="7" t="n">
        <x:v>3989.56</x:v>
      </x:c>
      <x:c r="R160" s="7" t="n">
        <x:v>2381.38</x:v>
      </x:c>
      <x:c r="S160" s="7" t="n">
        <x:v>1608.18</x:v>
      </x:c>
      <x:c r="T160" t="str">
        <x:v>Paid</x:v>
      </x:c>
      <x:c r="U160" t="str">
        <x:v>Completed</x:v>
      </x:c>
      <x:c r="V160" s="6" t="n">
        <x:f>IF(ISBLANK(P160),IF(AND(ISNUMBER(N160),N160&gt;0,ISNUMBER(O160),O160&gt;=0,ISNUMBER(Q160),Q160&gt;=0,ISNUMBER(R160),R160&gt;=0,ISNUMBER(S160)),0,""),P160)</x:f>
        <x:v>0.05</x:v>
      </x:c>
      <x:c r="W160" s="7" t="n">
        <x:f>IF(ISBLANK(V160),"",N160*O160*(1-V160))</x:f>
        <x:v>3989.5629999999996</x:v>
      </x:c>
      <x:c r="X160" s="7" t="n">
        <x:f>IF(OR(ISBLANK(W160),ISBLANK(R160)),"",W160-R160)</x:f>
        <x:v>1608.1829999999995</x:v>
      </x:c>
      <x:c r="Y160" s="8" t="n">
        <x:f>IF(OR(ISBLANK(W160),W160=0),"",X160/W160)</x:f>
        <x:v>0.40309753223598666</x:v>
      </x:c>
      <x:c r="Z160" s="9" t="n">
        <x:f>IF(OR(ISBLANK(B160),ISBLANK(C160)),"",C160-B160)</x:f>
        <x:v>2</x:v>
      </x:c>
      <x:c r="AA160" t="str">
        <x:f>IF(ISBLANK(B160),"",TEXT(B160,"mmm"))</x:f>
        <x:v>Sep</x:v>
      </x:c>
      <x:c r="AB160" s="9" t="n">
        <x:f>IF(ISBLANK(B160),"",YEAR(B160))</x:f>
        <x:v>2024</x:v>
      </x:c>
      <x:c r="AC160" s="10" t="str"/>
      <x:c r="AD160" t="str">
        <x:f>IF(AND(U160="Completed",T160="Paid",ISERROR(SEARCH("INVALID",AC160)),ISERROR(SEARCH("REVIEW",AC160))),"Include","Exclude")</x:f>
        <x:v>Include</x:v>
      </x:c>
      <x:c r="AE160" t="str">
        <x:f>IF(T160="Refunded","Refunded","")</x:f>
      </x:c>
    </x:row>
    <x:row r="161">
      <x:c r="A161" t="str">
        <x:v>ORD-2025-10160</x:v>
      </x:c>
      <x:c r="B161" s="5" t="n">
        <x:v>45687</x:v>
      </x:c>
      <x:c r="C161" s="5" t="n">
        <x:v>45692</x:v>
      </x:c>
      <x:c r="D161" t="str">
        <x:v>CUST-7717</x:v>
      </x:c>
      <x:c r="E161" t="str">
        <x:v>Priya Menon</x:v>
      </x:c>
      <x:c r="F161" t="str">
        <x:v>Corporate</x:v>
      </x:c>
      <x:c r="G161" t="str">
        <x:v>North</x:v>
      </x:c>
      <x:c r="H161" t="str">
        <x:v>Haryana</x:v>
      </x:c>
      <x:c r="I161" t="str">
        <x:v>Gurugram</x:v>
      </x:c>
      <x:c r="J161" t="str">
        <x:v>Furniture</x:v>
      </x:c>
      <x:c r="K161" t="str">
        <x:v>Chairs</x:v>
      </x:c>
      <x:c r="L161" t="str">
        <x:v>Elite Chairs 998</x:v>
      </x:c>
      <x:c r="M161" t="str">
        <x:v>Same Day</x:v>
      </x:c>
      <x:c r="N161" t="n">
        <x:v>9</x:v>
      </x:c>
      <x:c r="O161" s="7" t="n">
        <x:v>4430.5</x:v>
      </x:c>
      <x:c r="P161" s="6" t="n">
        <x:v>0.15</x:v>
      </x:c>
      <x:c r="Q161" s="7" t="n">
        <x:v>33893.32</x:v>
      </x:c>
      <x:c r="R161" s="7" t="n">
        <x:v>25750.35</x:v>
      </x:c>
      <x:c r="S161" s="7" t="n">
        <x:v>8142.97</x:v>
      </x:c>
      <x:c r="T161" t="str">
        <x:v>Pending</x:v>
      </x:c>
      <x:c r="U161" t="str">
        <x:v>Cancelled</x:v>
      </x:c>
      <x:c r="V161" s="6" t="n">
        <x:f>IF(ISBLANK(P161),IF(AND(ISNUMBER(N161),N161&gt;0,ISNUMBER(O161),O161&gt;=0,ISNUMBER(Q161),Q161&gt;=0,ISNUMBER(R161),R161&gt;=0,ISNUMBER(S161)),0,""),P161)</x:f>
        <x:v>0.15</x:v>
      </x:c>
      <x:c r="W161" s="7" t="n">
        <x:f>IF(ISBLANK(V161),"",N161*O161*(1-V161))</x:f>
        <x:v>33893.325</x:v>
      </x:c>
      <x:c r="X161" s="7" t="n">
        <x:f>IF(OR(ISBLANK(W161),ISBLANK(R161)),"",W161-R161)</x:f>
        <x:v>8142.9749999999985</x:v>
      </x:c>
      <x:c r="Y161" s="8" t="n">
        <x:f>IF(OR(ISBLANK(W161),W161=0),"",X161/W161)</x:f>
        <x:v>0.24025305867748292</x:v>
      </x:c>
      <x:c r="Z161" s="9" t="n">
        <x:f>IF(OR(ISBLANK(B161),ISBLANK(C161)),"",C161-B161)</x:f>
        <x:v>5</x:v>
      </x:c>
      <x:c r="AA161" t="str">
        <x:f>IF(ISBLANK(B161),"",TEXT(B161,"mmm"))</x:f>
        <x:v>Jan</x:v>
      </x:c>
      <x:c r="AB161" s="9" t="n">
        <x:f>IF(ISBLANK(B161),"",YEAR(B161))</x:f>
        <x:v>2025</x:v>
      </x:c>
      <x:c r="AC161" s="10" t="str">
        <x:v>EXCLUDE: Cancelled order</x:v>
      </x:c>
      <x:c r="AD161" t="str">
        <x:f>IF(AND(U161="Completed",T161="Paid",ISERROR(SEARCH("INVALID",AC161)),ISERROR(SEARCH("REVIEW",AC161))),"Include","Exclude")</x:f>
        <x:v>Exclude</x:v>
      </x:c>
      <x:c r="AE161" t="str">
        <x:f>IF(T161="Refunded","Refunded","")</x:f>
      </x:c>
    </x:row>
    <x:row r="162">
      <x:c r="A162" t="str">
        <x:v>ORD-2025-10161</x:v>
      </x:c>
      <x:c r="B162" s="5" t="n">
        <x:v>45938</x:v>
      </x:c>
      <x:c r="C162" s="5" t="n">
        <x:v>45936</x:v>
      </x:c>
      <x:c r="D162" t="str">
        <x:v>CUST-4932</x:v>
      </x:c>
      <x:c r="E162" t="str">
        <x:v>Vikram Iyer</x:v>
      </x:c>
      <x:c r="F162" t="str">
        <x:v>Small Business</x:v>
      </x:c>
      <x:c r="G162" t="str">
        <x:v>West</x:v>
      </x:c>
      <x:c r="H162" t="str">
        <x:v>Maharashtra</x:v>
      </x:c>
      <x:c r="I162" t="str">
        <x:v>Mumbai</x:v>
      </x:c>
      <x:c r="J162" t="str">
        <x:v>Office Supplies</x:v>
      </x:c>
      <x:c r="K162" t="str">
        <x:v>Paper</x:v>
      </x:c>
      <x:c r="L162" t="str">
        <x:v>Max Paper 113</x:v>
      </x:c>
      <x:c r="M162" t="str">
        <x:v>Second Class</x:v>
      </x:c>
      <x:c r="N162" t="n">
        <x:v>4</x:v>
      </x:c>
      <x:c r="O162" s="7" t="n">
        <x:v>1260.42</x:v>
      </x:c>
      <x:c r="P162" s="6" t="n">
        <x:v>0.05</x:v>
      </x:c>
      <x:c r="Q162" s="7" t="n">
        <x:v>4789.6</x:v>
      </x:c>
      <x:c r="R162" s="7" t="n">
        <x:v>4037.64</x:v>
      </x:c>
      <x:c r="S162" s="7" t="n">
        <x:v>751.96</x:v>
      </x:c>
      <x:c r="T162" t="str">
        <x:v>Pending</x:v>
      </x:c>
      <x:c r="U162" t="str">
        <x:v>Cancelled</x:v>
      </x:c>
      <x:c r="V162" s="6" t="n">
        <x:f>IF(ISBLANK(P162),IF(AND(ISNUMBER(N162),N162&gt;0,ISNUMBER(O162),O162&gt;=0,ISNUMBER(Q162),Q162&gt;=0,ISNUMBER(R162),R162&gt;=0,ISNUMBER(S162)),0,""),P162)</x:f>
        <x:v>0.05</x:v>
      </x:c>
      <x:c r="W162" s="7" t="n">
        <x:f>IF(ISBLANK(V162),"",N162*O162*(1-V162))</x:f>
        <x:v>4789.5960000000005</x:v>
      </x:c>
      <x:c r="X162" s="7" t="n">
        <x:f>IF(OR(ISBLANK(W162),ISBLANK(R162)),"",W162-R162)</x:f>
        <x:v>751.9560000000006</x:v>
      </x:c>
      <x:c r="Y162" s="8" t="n">
        <x:f>IF(OR(ISBLANK(W162),W162=0),"",X162/W162)</x:f>
        <x:v>0.1569977927157114</x:v>
      </x:c>
      <x:c r="Z162" s="9" t="n">
        <x:f>IF(OR(ISBLANK(B162),ISBLANK(C162)),"",C162-B162)</x:f>
        <x:v>-2</x:v>
      </x:c>
      <x:c r="AA162" t="str">
        <x:f>IF(ISBLANK(B162),"",TEXT(B162,"mmm"))</x:f>
        <x:v>Oct</x:v>
      </x:c>
      <x:c r="AB162" s="9" t="n">
        <x:f>IF(ISBLANK(B162),"",YEAR(B162))</x:f>
        <x:v>2025</x:v>
      </x:c>
      <x:c r="AC162" s="10" t="str">
        <x:v>INVALID: Ship date before order date; EXCLUDE: Cancelled order</x:v>
      </x:c>
      <x:c r="AD162" t="str">
        <x:f>IF(AND(U162="Completed",T162="Paid",ISERROR(SEARCH("INVALID",AC162)),ISERROR(SEARCH("REVIEW",AC162))),"Include","Exclude")</x:f>
        <x:v>Exclude</x:v>
      </x:c>
      <x:c r="AE162" t="str">
        <x:f>IF(T162="Refunded","Refunded","")</x:f>
      </x:c>
    </x:row>
    <x:row r="163">
      <x:c r="A163" t="str">
        <x:v>ORD-2025-10162</x:v>
      </x:c>
      <x:c r="B163" s="5" t="n">
        <x:v>45862</x:v>
      </x:c>
      <x:c r="C163" s="5" t="n">
        <x:v>45868</x:v>
      </x:c>
      <x:c r="D163" t="str">
        <x:v>CUST-2367</x:v>
      </x:c>
      <x:c r="E163" t="str">
        <x:v>Arjun Bose</x:v>
      </x:c>
      <x:c r="F163" t="str">
        <x:v>Consumer</x:v>
      </x:c>
      <x:c r="G163" t="str">
        <x:v>West</x:v>
      </x:c>
      <x:c r="H163" t="str">
        <x:v>Rajasthan</x:v>
      </x:c>
      <x:c r="I163" t="str">
        <x:v>Udaipur</x:v>
      </x:c>
      <x:c r="J163" t="str">
        <x:v>Office Supplies</x:v>
      </x:c>
      <x:c r="K163" t="str">
        <x:v>Binders</x:v>
      </x:c>
      <x:c r="L163" t="str">
        <x:v>Smart Binders 267</x:v>
      </x:c>
      <x:c r="M163" t="str">
        <x:v>Standard Class</x:v>
      </x:c>
      <x:c r="N163" t="n">
        <x:v>1</x:v>
      </x:c>
      <x:c r="O163" s="7" t="n">
        <x:v>1643.41</x:v>
      </x:c>
      <x:c r="P163" s="6" t="n">
        <x:v>0</x:v>
      </x:c>
      <x:c r="Q163" s="7" t="n">
        <x:v>1643.41</x:v>
      </x:c>
      <x:c r="R163" s="7" t="n">
        <x:v>907.4</x:v>
      </x:c>
      <x:c r="S163" s="7" t="n">
        <x:v>736.01</x:v>
      </x:c>
      <x:c r="T163" t="str">
        <x:v>Pending</x:v>
      </x:c>
      <x:c r="U163" t="str">
        <x:v>Cancelled</x:v>
      </x:c>
      <x:c r="V163" s="6" t="n">
        <x:f>IF(ISBLANK(P163),IF(AND(ISNUMBER(N163),N163&gt;0,ISNUMBER(O163),O163&gt;=0,ISNUMBER(Q163),Q163&gt;=0,ISNUMBER(R163),R163&gt;=0,ISNUMBER(S163)),0,""),P163)</x:f>
        <x:v>0</x:v>
      </x:c>
      <x:c r="W163" s="7" t="n">
        <x:f>IF(ISBLANK(V163),"",N163*O163*(1-V163))</x:f>
        <x:v>1643.41</x:v>
      </x:c>
      <x:c r="X163" s="7" t="n">
        <x:f>IF(OR(ISBLANK(W163),ISBLANK(R163)),"",W163-R163)</x:f>
        <x:v>736.0100000000001</x:v>
      </x:c>
      <x:c r="Y163" s="8" t="n">
        <x:f>IF(OR(ISBLANK(W163),W163=0),"",X163/W163)</x:f>
        <x:v>0.44785537388722235</x:v>
      </x:c>
      <x:c r="Z163" s="9" t="n">
        <x:f>IF(OR(ISBLANK(B163),ISBLANK(C163)),"",C163-B163)</x:f>
        <x:v>6</x:v>
      </x:c>
      <x:c r="AA163" t="str">
        <x:f>IF(ISBLANK(B163),"",TEXT(B163,"mmm"))</x:f>
        <x:v>Jul</x:v>
      </x:c>
      <x:c r="AB163" s="9" t="n">
        <x:f>IF(ISBLANK(B163),"",YEAR(B163))</x:f>
        <x:v>2025</x:v>
      </x:c>
      <x:c r="AC163" s="10" t="str">
        <x:v>EXCLUDE: Cancelled order</x:v>
      </x:c>
      <x:c r="AD163" t="str">
        <x:f>IF(AND(U163="Completed",T163="Paid",ISERROR(SEARCH("INVALID",AC163)),ISERROR(SEARCH("REVIEW",AC163))),"Include","Exclude")</x:f>
        <x:v>Exclude</x:v>
      </x:c>
      <x:c r="AE163" t="str">
        <x:f>IF(T163="Refunded","Refunded","")</x:f>
      </x:c>
    </x:row>
    <x:row r="164">
      <x:c r="A164" t="str">
        <x:v>ORD-2024-10163</x:v>
      </x:c>
      <x:c r="B164" s="5" t="n">
        <x:v>45360</x:v>
      </x:c>
      <x:c r="C164" s="5" t="n">
        <x:v>45365</x:v>
      </x:c>
      <x:c r="D164" t="str">
        <x:v>CUST-4830</x:v>
      </x:c>
      <x:c r="E164" t="str">
        <x:v>Neha Gupta</x:v>
      </x:c>
      <x:c r="F164" t="str">
        <x:v>Small Business</x:v>
      </x:c>
      <x:c r="G164" t="str">
        <x:v>West</x:v>
      </x:c>
      <x:c r="H164" t="str">
        <x:v>Goa</x:v>
      </x:c>
      <x:c r="I164" t="str">
        <x:v>Panaji</x:v>
      </x:c>
      <x:c r="J164" t="str">
        <x:v>Furniture</x:v>
      </x:c>
      <x:c r="K164" t="str">
        <x:v>Furnishings</x:v>
      </x:c>
      <x:c r="L164" t="str">
        <x:v>Pro Furnishings 108</x:v>
      </x:c>
      <x:c r="M164" t="str">
        <x:v>Second Class</x:v>
      </x:c>
      <x:c r="N164" t="n">
        <x:v>8</x:v>
      </x:c>
      <x:c r="O164" s="7" t="n">
        <x:v>4472.84</x:v>
      </x:c>
      <x:c r="P164" s="6" t="n">
        <x:v>0</x:v>
      </x:c>
      <x:c r="Q164" s="7" t="n">
        <x:v>35997.62</x:v>
      </x:c>
      <x:c r="R164" s="7" t="n">
        <x:v>26424.41</x:v>
      </x:c>
      <x:c r="S164" s="7" t="n">
        <x:v>9358.31</x:v>
      </x:c>
      <x:c r="T164" t="str">
        <x:v>Pending</x:v>
      </x:c>
      <x:c r="U164" t="str">
        <x:v>Returned</x:v>
      </x:c>
      <x:c r="V164" s="6" t="n">
        <x:f>IF(ISBLANK(P164),IF(AND(ISNUMBER(N164),N164&gt;0,ISNUMBER(O164),O164&gt;=0,ISNUMBER(Q164),Q164&gt;=0,ISNUMBER(R164),R164&gt;=0,ISNUMBER(S164)),0,""),P164)</x:f>
        <x:v>0</x:v>
      </x:c>
      <x:c r="W164" s="7" t="n">
        <x:f>IF(ISBLANK(V164),"",N164*O164*(1-V164))</x:f>
        <x:v>35782.72</x:v>
      </x:c>
      <x:c r="X164" s="7" t="n">
        <x:f>IF(OR(ISBLANK(W164),ISBLANK(R164)),"",W164-R164)</x:f>
        <x:v>9358.310000000001</x:v>
      </x:c>
      <x:c r="Y164" s="8" t="n">
        <x:f>IF(OR(ISBLANK(W164),W164=0),"",X164/W164)</x:f>
        <x:v>0.2615315437171909</x:v>
      </x:c>
      <x:c r="Z164" s="9" t="n">
        <x:f>IF(OR(ISBLANK(B164),ISBLANK(C164)),"",C164-B164)</x:f>
        <x:v>5</x:v>
      </x:c>
      <x:c r="AA164" t="str">
        <x:f>IF(ISBLANK(B164),"",TEXT(B164,"mmm"))</x:f>
        <x:v>Mar</x:v>
      </x:c>
      <x:c r="AB164" s="9" t="n">
        <x:f>IF(ISBLANK(B164),"",YEAR(B164))</x:f>
        <x:v>2024</x:v>
      </x:c>
      <x:c r="AC164" s="10" t="str"/>
      <x:c r="AD164" t="str">
        <x:f>IF(AND(U164="Completed",T164="Paid",ISERROR(SEARCH("INVALID",AC164)),ISERROR(SEARCH("REVIEW",AC164))),"Include","Exclude")</x:f>
        <x:v>Exclude</x:v>
      </x:c>
      <x:c r="AE164" t="str">
        <x:f>IF(T164="Refunded","Refunded","")</x:f>
      </x:c>
    </x:row>
    <x:row r="165">
      <x:c r="A165" t="str">
        <x:v>ORD-2025-10164</x:v>
      </x:c>
      <x:c r="B165" s="5" t="n">
        <x:v>45921</x:v>
      </x:c>
      <x:c r="C165" s="5" t="n">
        <x:v>45926</x:v>
      </x:c>
      <x:c r="D165" t="str">
        <x:v>CUST-2548</x:v>
      </x:c>
      <x:c r="E165" t="str">
        <x:v>Rohan Mehta</x:v>
      </x:c>
      <x:c r="F165" t="str">
        <x:v>Home Office</x:v>
      </x:c>
      <x:c r="G165" t="str">
        <x:v>West</x:v>
      </x:c>
      <x:c r="H165" t="str">
        <x:v>Gujarat</x:v>
      </x:c>
      <x:c r="I165" t="str">
        <x:v>Ahmedabad</x:v>
      </x:c>
      <x:c r="J165" t="str">
        <x:v>Furniture</x:v>
      </x:c>
      <x:c r="K165" t="str">
        <x:v>Tables</x:v>
      </x:c>
      <x:c r="L165" t="str">
        <x:v>Elite Tables 389</x:v>
      </x:c>
      <x:c r="M165" t="str">
        <x:v>Unknown</x:v>
      </x:c>
      <x:c r="N165" t="n">
        <x:v>6</x:v>
      </x:c>
      <x:c r="O165" s="7" t="n">
        <x:v>2903.58</x:v>
      </x:c>
      <x:c r="P165" s="6" t="n">
        <x:v>0.1</x:v>
      </x:c>
      <x:c r="Q165" s="7" t="n">
        <x:v>15679.33</x:v>
      </x:c>
      <x:c r="R165" s="7" t="n">
        <x:v>12477.82</x:v>
      </x:c>
      <x:c r="S165" s="7" t="n">
        <x:v>3201.51</x:v>
      </x:c>
      <x:c r="T165" t="str">
        <x:v>Pending</x:v>
      </x:c>
      <x:c r="U165" t="str">
        <x:v>Returned</x:v>
      </x:c>
      <x:c r="V165" s="6" t="n">
        <x:f>IF(ISBLANK(P165),IF(AND(ISNUMBER(N165),N165&gt;0,ISNUMBER(O165),O165&gt;=0,ISNUMBER(Q165),Q165&gt;=0,ISNUMBER(R165),R165&gt;=0,ISNUMBER(S165)),0,""),P165)</x:f>
        <x:v>0.1</x:v>
      </x:c>
      <x:c r="W165" s="7" t="n">
        <x:f>IF(ISBLANK(V165),"",N165*O165*(1-V165))</x:f>
        <x:v>15679.332</x:v>
      </x:c>
      <x:c r="X165" s="7" t="n">
        <x:f>IF(OR(ISBLANK(W165),ISBLANK(R165)),"",W165-R165)</x:f>
        <x:v>3201.5120000000006</x:v>
      </x:c>
      <x:c r="Y165" s="8" t="n">
        <x:f>IF(OR(ISBLANK(W165),W165=0),"",X165/W165)</x:f>
        <x:v>0.2041867599971734</x:v>
      </x:c>
      <x:c r="Z165" s="9" t="n">
        <x:f>IF(OR(ISBLANK(B165),ISBLANK(C165)),"",C165-B165)</x:f>
        <x:v>5</x:v>
      </x:c>
      <x:c r="AA165" t="str">
        <x:f>IF(ISBLANK(B165),"",TEXT(B165,"mmm"))</x:f>
        <x:v>Sep</x:v>
      </x:c>
      <x:c r="AB165" s="9" t="n">
        <x:f>IF(ISBLANK(B165),"",YEAR(B165))</x:f>
        <x:v>2025</x:v>
      </x:c>
      <x:c r="AC165" s="10" t="str">
        <x:v>FLAG: Missing ship mode filled as Unknown</x:v>
      </x:c>
      <x:c r="AD165" t="str">
        <x:f>IF(AND(U165="Completed",T165="Paid",ISERROR(SEARCH("INVALID",AC165)),ISERROR(SEARCH("REVIEW",AC165))),"Include","Exclude")</x:f>
        <x:v>Exclude</x:v>
      </x:c>
      <x:c r="AE165" t="str">
        <x:f>IF(T165="Refunded","Refunded","")</x:f>
      </x:c>
    </x:row>
    <x:row r="166">
      <x:c r="A166" t="str">
        <x:v>ORD-2025-10165</x:v>
      </x:c>
      <x:c r="B166" s="5" t="n">
        <x:v>45909</x:v>
      </x:c>
      <x:c r="C166" s="5" t="n">
        <x:v>45914</x:v>
      </x:c>
      <x:c r="D166" t="str">
        <x:v>CUST-3833</x:v>
      </x:c>
      <x:c r="E166" t="str">
        <x:v>Rahul Verma</x:v>
      </x:c>
      <x:c r="F166" t="str">
        <x:v>Small Business</x:v>
      </x:c>
      <x:c r="G166" t="str">
        <x:v>East</x:v>
      </x:c>
      <x:c r="H166" t="str">
        <x:v>West Bengal</x:v>
      </x:c>
      <x:c r="I166" t="str">
        <x:v>Kolkata</x:v>
      </x:c>
      <x:c r="J166" t="str">
        <x:v>Furniture</x:v>
      </x:c>
      <x:c r="K166" t="str">
        <x:v>Bookcases</x:v>
      </x:c>
      <x:c r="L166" t="str">
        <x:v>Pro Bookcases 595</x:v>
      </x:c>
      <x:c r="M166" t="str">
        <x:v>Second Class</x:v>
      </x:c>
      <x:c r="N166" t="n">
        <x:v>1</x:v>
      </x:c>
      <x:c r="O166" s="7" t="n">
        <x:v>3154.42</x:v>
      </x:c>
      <x:c r="P166" s="6" t="n">
        <x:v>0.25</x:v>
      </x:c>
      <x:c r="Q166" s="7" t="n">
        <x:v>2365.82</x:v>
      </x:c>
      <x:c r="R166" s="7" t="n">
        <x:v>1547.99</x:v>
      </x:c>
      <x:c r="S166" s="7" t="n">
        <x:v>817.83</x:v>
      </x:c>
      <x:c r="T166" t="str">
        <x:v>Paid</x:v>
      </x:c>
      <x:c r="U166" t="str">
        <x:v>Completed</x:v>
      </x:c>
      <x:c r="V166" s="6" t="n">
        <x:f>IF(ISBLANK(P166),IF(AND(ISNUMBER(N166),N166&gt;0,ISNUMBER(O166),O166&gt;=0,ISNUMBER(Q166),Q166&gt;=0,ISNUMBER(R166),R166&gt;=0,ISNUMBER(S166)),0,""),P166)</x:f>
        <x:v>0.25</x:v>
      </x:c>
      <x:c r="W166" s="7" t="n">
        <x:f>IF(ISBLANK(V166),"",N166*O166*(1-V166))</x:f>
        <x:v>2365.815</x:v>
      </x:c>
      <x:c r="X166" s="7" t="n">
        <x:f>IF(OR(ISBLANK(W166),ISBLANK(R166)),"",W166-R166)</x:f>
        <x:v>817.825</x:v>
      </x:c>
      <x:c r="Y166" s="8" t="n">
        <x:f>IF(OR(ISBLANK(W166),W166=0),"",X166/W166)</x:f>
        <x:v>0.3456842567994539</x:v>
      </x:c>
      <x:c r="Z166" s="9" t="n">
        <x:f>IF(OR(ISBLANK(B166),ISBLANK(C166)),"",C166-B166)</x:f>
        <x:v>5</x:v>
      </x:c>
      <x:c r="AA166" t="str">
        <x:f>IF(ISBLANK(B166),"",TEXT(B166,"mmm"))</x:f>
        <x:v>Sep</x:v>
      </x:c>
      <x:c r="AB166" s="9" t="n">
        <x:f>IF(ISBLANK(B166),"",YEAR(B166))</x:f>
        <x:v>2025</x:v>
      </x:c>
      <x:c r="AC166" s="10" t="str"/>
      <x:c r="AD166" t="str">
        <x:f>IF(AND(U166="Completed",T166="Paid",ISERROR(SEARCH("INVALID",AC166)),ISERROR(SEARCH("REVIEW",AC166))),"Include","Exclude")</x:f>
        <x:v>Include</x:v>
      </x:c>
      <x:c r="AE166" t="str">
        <x:f>IF(T166="Refunded","Refunded","")</x:f>
      </x:c>
    </x:row>
    <x:row r="167">
      <x:c r="A167" t="str">
        <x:v>ORD-2024-10166</x:v>
      </x:c>
      <x:c r="B167" s="5" t="n">
        <x:v>45618</x:v>
      </x:c>
      <x:c r="C167" s="5" t="n">
        <x:v>45625</x:v>
      </x:c>
      <x:c r="D167" t="str">
        <x:v>CUST-4598</x:v>
      </x:c>
      <x:c r="E167" t="str">
        <x:v>Mira Das</x:v>
      </x:c>
      <x:c r="F167" t="str">
        <x:v>Home Office</x:v>
      </x:c>
      <x:c r="G167" t="str">
        <x:v>East</x:v>
      </x:c>
      <x:c r="H167" t="str">
        <x:v>Bihar</x:v>
      </x:c>
      <x:c r="I167" t="str">
        <x:v>Patna</x:v>
      </x:c>
      <x:c r="J167" t="str">
        <x:v>Furniture</x:v>
      </x:c>
      <x:c r="K167" t="str">
        <x:v>Chairs</x:v>
      </x:c>
      <x:c r="L167" t="str">
        <x:v>Max Chairs 148</x:v>
      </x:c>
      <x:c r="M167" t="str">
        <x:v>Standard Class</x:v>
      </x:c>
      <x:c r="N167" t="n">
        <x:v>4</x:v>
      </x:c>
      <x:c r="O167" s="7" t="n">
        <x:v>3422.99</x:v>
      </x:c>
      <x:c r="P167" s="6" t="n">
        <x:v>0.25</x:v>
      </x:c>
      <x:c r="Q167" s="7" t="n">
        <x:v>10268.97</x:v>
      </x:c>
      <x:c r="R167" s="7" t="n">
        <x:v>6470.92</x:v>
      </x:c>
      <x:c r="S167" s="7" t="n">
        <x:v>3798.05</x:v>
      </x:c>
      <x:c r="T167" t="str">
        <x:v>Paid</x:v>
      </x:c>
      <x:c r="U167" t="str">
        <x:v>Completed</x:v>
      </x:c>
      <x:c r="V167" s="6" t="n">
        <x:f>IF(ISBLANK(P167),IF(AND(ISNUMBER(N167),N167&gt;0,ISNUMBER(O167),O167&gt;=0,ISNUMBER(Q167),Q167&gt;=0,ISNUMBER(R167),R167&gt;=0,ISNUMBER(S167)),0,""),P167)</x:f>
        <x:v>0.25</x:v>
      </x:c>
      <x:c r="W167" s="7" t="n">
        <x:f>IF(ISBLANK(V167),"",N167*O167*(1-V167))</x:f>
        <x:v>10268.97</x:v>
      </x:c>
      <x:c r="X167" s="7" t="n">
        <x:f>IF(OR(ISBLANK(W167),ISBLANK(R167)),"",W167-R167)</x:f>
        <x:v>3798.0499999999993</x:v>
      </x:c>
      <x:c r="Y167" s="8" t="n">
        <x:f>IF(OR(ISBLANK(W167),W167=0),"",X167/W167)</x:f>
        <x:v>0.3698569574163718</x:v>
      </x:c>
      <x:c r="Z167" s="9" t="n">
        <x:f>IF(OR(ISBLANK(B167),ISBLANK(C167)),"",C167-B167)</x:f>
        <x:v>7</x:v>
      </x:c>
      <x:c r="AA167" t="str">
        <x:f>IF(ISBLANK(B167),"",TEXT(B167,"mmm"))</x:f>
        <x:v>Nov</x:v>
      </x:c>
      <x:c r="AB167" s="9" t="n">
        <x:f>IF(ISBLANK(B167),"",YEAR(B167))</x:f>
        <x:v>2024</x:v>
      </x:c>
      <x:c r="AC167" s="10" t="str"/>
      <x:c r="AD167" t="str">
        <x:f>IF(AND(U167="Completed",T167="Paid",ISERROR(SEARCH("INVALID",AC167)),ISERROR(SEARCH("REVIEW",AC167))),"Include","Exclude")</x:f>
        <x:v>Include</x:v>
      </x:c>
      <x:c r="AE167" t="str">
        <x:f>IF(T167="Refunded","Refunded","")</x:f>
      </x:c>
    </x:row>
    <x:row r="168">
      <x:c r="A168" t="str">
        <x:v>ORD-2025-10167</x:v>
      </x:c>
      <x:c r="B168" s="5" t="n">
        <x:v>45708</x:v>
      </x:c>
      <x:c r="C168" s="5" t="n">
        <x:v>45714</x:v>
      </x:c>
      <x:c r="D168" t="str">
        <x:v>CUST-7215</x:v>
      </x:c>
      <x:c r="E168" t="str">
        <x:v>Karan Malhotra</x:v>
      </x:c>
      <x:c r="F168" t="str">
        <x:v>Small Business</x:v>
      </x:c>
      <x:c r="G168" t="str">
        <x:v>West</x:v>
      </x:c>
      <x:c r="H168" t="str">
        <x:v>Gujarat</x:v>
      </x:c>
      <x:c r="I168" t="str">
        <x:v>Ahmedabad</x:v>
      </x:c>
      <x:c r="J168" t="str">
        <x:v>Office Supplies</x:v>
      </x:c>
      <x:c r="K168" t="str">
        <x:v>Labels</x:v>
      </x:c>
      <x:c r="L168" t="str">
        <x:v>Basic Labels 671</x:v>
      </x:c>
      <x:c r="M168" t="str">
        <x:v>First Class</x:v>
      </x:c>
      <x:c r="N168" t="n">
        <x:v>1</x:v>
      </x:c>
      <x:c r="O168" s="7" t="n">
        <x:v>2557.85</x:v>
      </x:c>
      <x:c r="P168" s="6" t="n">
        <x:v>0.2</x:v>
      </x:c>
      <x:c r="Q168" s="7" t="n">
        <x:v>2046.28</x:v>
      </x:c>
      <x:c r="R168" s="7" t="n">
        <x:v>1449.54</x:v>
      </x:c>
      <x:c r="S168" s="7" t="n">
        <x:v>596.74</x:v>
      </x:c>
      <x:c r="T168" t="str">
        <x:v>Paid</x:v>
      </x:c>
      <x:c r="U168" t="str">
        <x:v>Completed</x:v>
      </x:c>
      <x:c r="V168" s="6" t="n">
        <x:f>IF(ISBLANK(P168),IF(AND(ISNUMBER(N168),N168&gt;0,ISNUMBER(O168),O168&gt;=0,ISNUMBER(Q168),Q168&gt;=0,ISNUMBER(R168),R168&gt;=0,ISNUMBER(S168)),0,""),P168)</x:f>
        <x:v>0.2</x:v>
      </x:c>
      <x:c r="W168" s="7" t="n">
        <x:f>IF(ISBLANK(V168),"",N168*O168*(1-V168))</x:f>
        <x:v>2046.28</x:v>
      </x:c>
      <x:c r="X168" s="7" t="n">
        <x:f>IF(OR(ISBLANK(W168),ISBLANK(R168)),"",W168-R168)</x:f>
        <x:v>596.74</x:v>
      </x:c>
      <x:c r="Y168" s="8" t="n">
        <x:f>IF(OR(ISBLANK(W168),W168=0),"",X168/W168)</x:f>
        <x:v>0.29162186992982386</x:v>
      </x:c>
      <x:c r="Z168" s="9" t="n">
        <x:f>IF(OR(ISBLANK(B168),ISBLANK(C168)),"",C168-B168)</x:f>
        <x:v>6</x:v>
      </x:c>
      <x:c r="AA168" t="str">
        <x:f>IF(ISBLANK(B168),"",TEXT(B168,"mmm"))</x:f>
        <x:v>Feb</x:v>
      </x:c>
      <x:c r="AB168" s="9" t="n">
        <x:f>IF(ISBLANK(B168),"",YEAR(B168))</x:f>
        <x:v>2025</x:v>
      </x:c>
      <x:c r="AC168" s="10" t="str"/>
      <x:c r="AD168" t="str">
        <x:f>IF(AND(U168="Completed",T168="Paid",ISERROR(SEARCH("INVALID",AC168)),ISERROR(SEARCH("REVIEW",AC168))),"Include","Exclude")</x:f>
        <x:v>Include</x:v>
      </x:c>
      <x:c r="AE168" t="str">
        <x:f>IF(T168="Refunded","Refunded","")</x:f>
      </x:c>
    </x:row>
    <x:row r="169">
      <x:c r="A169" t="str">
        <x:v>ORD-2025-10168</x:v>
      </x:c>
      <x:c r="B169" s="5" t="n">
        <x:v>45887</x:v>
      </x:c>
      <x:c r="C169" s="5" t="n">
        <x:v>45887</x:v>
      </x:c>
      <x:c r="D169" t="str">
        <x:v>CUST-7770</x:v>
      </x:c>
      <x:c r="E169" t="str">
        <x:v>Arjun Bose</x:v>
      </x:c>
      <x:c r="F169" t="str">
        <x:v>Home Office</x:v>
      </x:c>
      <x:c r="G169" t="str">
        <x:v>South</x:v>
      </x:c>
      <x:c r="H169" t="str">
        <x:v>Karnataka</x:v>
      </x:c>
      <x:c r="I169" t="str">
        <x:v>Bengaluru</x:v>
      </x:c>
      <x:c r="J169" t="str">
        <x:v>Office Supplies</x:v>
      </x:c>
      <x:c r="K169" t="str">
        <x:v>Storage</x:v>
      </x:c>
      <x:c r="L169" t="str">
        <x:v>Elite Storage 628</x:v>
      </x:c>
      <x:c r="M169" t="str">
        <x:v>First Class</x:v>
      </x:c>
      <x:c r="N169" t="n">
        <x:v>9</x:v>
      </x:c>
      <x:c r="O169" s="7" t="n">
        <x:v>3030.93</x:v>
      </x:c>
      <x:c r="P169" s="6" t="n">
        <x:v>0.15</x:v>
      </x:c>
      <x:c r="Q169" s="7" t="n">
        <x:v>23186.61</x:v>
      </x:c>
      <x:c r="R169" s="7" t="n">
        <x:v>17906.54</x:v>
      </x:c>
      <x:c r="S169" s="7" t="n">
        <x:v>5280.07</x:v>
      </x:c>
      <x:c r="T169" t="str">
        <x:v>Paid</x:v>
      </x:c>
      <x:c r="U169" t="str">
        <x:v>Returned</x:v>
      </x:c>
      <x:c r="V169" s="6" t="n">
        <x:f>IF(ISBLANK(P169),IF(AND(ISNUMBER(N169),N169&gt;0,ISNUMBER(O169),O169&gt;=0,ISNUMBER(Q169),Q169&gt;=0,ISNUMBER(R169),R169&gt;=0,ISNUMBER(S169)),0,""),P169)</x:f>
        <x:v>0.15</x:v>
      </x:c>
      <x:c r="W169" s="7" t="n">
        <x:f>IF(ISBLANK(V169),"",N169*O169*(1-V169))</x:f>
        <x:v>23186.6145</x:v>
      </x:c>
      <x:c r="X169" s="7" t="n">
        <x:f>IF(OR(ISBLANK(W169),ISBLANK(R169)),"",W169-R169)</x:f>
        <x:v>5280.074499999999</x:v>
      </x:c>
      <x:c r="Y169" s="8" t="n">
        <x:f>IF(OR(ISBLANK(W169),W169=0),"",X169/W169)</x:f>
        <x:v>0.2277208041734596</x:v>
      </x:c>
      <x:c r="Z169" s="9" t="n">
        <x:f>IF(OR(ISBLANK(B169),ISBLANK(C169)),"",C169-B169)</x:f>
        <x:v>0</x:v>
      </x:c>
      <x:c r="AA169" t="str">
        <x:f>IF(ISBLANK(B169),"",TEXT(B169,"mmm"))</x:f>
        <x:v>Aug</x:v>
      </x:c>
      <x:c r="AB169" s="9" t="n">
        <x:f>IF(ISBLANK(B169),"",YEAR(B169))</x:f>
        <x:v>2025</x:v>
      </x:c>
      <x:c r="AC169" s="10" t="str"/>
      <x:c r="AD169" t="str">
        <x:f>IF(AND(U169="Completed",T169="Paid",ISERROR(SEARCH("INVALID",AC169)),ISERROR(SEARCH("REVIEW",AC169))),"Include","Exclude")</x:f>
        <x:v>Exclude</x:v>
      </x:c>
      <x:c r="AE169" t="str">
        <x:f>IF(T169="Refunded","Refunded","")</x:f>
      </x:c>
    </x:row>
    <x:row r="170">
      <x:c r="A170" t="str">
        <x:v>ORD-2025-10169</x:v>
      </x:c>
      <x:c r="B170" s="5" t="n">
        <x:v>45677</x:v>
      </x:c>
      <x:c r="C170" s="5" t="n">
        <x:v>45680</x:v>
      </x:c>
      <x:c r="D170" t="str">
        <x:v>CUST-9756</x:v>
      </x:c>
      <x:c r="E170" t="str">
        <x:v>Kabir Singh</x:v>
      </x:c>
      <x:c r="F170" t="str">
        <x:v>Consumer</x:v>
      </x:c>
      <x:c r="G170" t="str">
        <x:v>West</x:v>
      </x:c>
      <x:c r="H170" t="str">
        <x:v>Maharashtra</x:v>
      </x:c>
      <x:c r="I170" t="str">
        <x:v>Mumbai</x:v>
      </x:c>
      <x:c r="J170" t="str">
        <x:v>Technology</x:v>
      </x:c>
      <x:c r="K170" t="str">
        <x:v>Accessories</x:v>
      </x:c>
      <x:c r="L170" t="str">
        <x:v>Eco Accessories 590</x:v>
      </x:c>
      <x:c r="M170" t="str">
        <x:v>Same Day</x:v>
      </x:c>
      <x:c r="N170" t="n">
        <x:v>5</x:v>
      </x:c>
      <x:c r="O170" s="7" t="n">
        <x:v>639.27</x:v>
      </x:c>
      <x:c r="P170" s="6" t="n">
        <x:v>0.2</x:v>
      </x:c>
      <x:c r="Q170" s="7" t="n">
        <x:v>2557.08</x:v>
      </x:c>
      <x:c r="R170" s="7" t="n">
        <x:v>2025.69</x:v>
      </x:c>
      <x:c r="S170" s="7" t="n">
        <x:v>531.39</x:v>
      </x:c>
      <x:c r="T170" t="str">
        <x:v>Paid</x:v>
      </x:c>
      <x:c r="U170" t="str">
        <x:v>Cancelled</x:v>
      </x:c>
      <x:c r="V170" s="6" t="n">
        <x:f>IF(ISBLANK(P170),IF(AND(ISNUMBER(N170),N170&gt;0,ISNUMBER(O170),O170&gt;=0,ISNUMBER(Q170),Q170&gt;=0,ISNUMBER(R170),R170&gt;=0,ISNUMBER(S170)),0,""),P170)</x:f>
        <x:v>0.2</x:v>
      </x:c>
      <x:c r="W170" s="7" t="n">
        <x:f>IF(ISBLANK(V170),"",N170*O170*(1-V170))</x:f>
        <x:v>2557.08</x:v>
      </x:c>
      <x:c r="X170" s="7" t="n">
        <x:f>IF(OR(ISBLANK(W170),ISBLANK(R170)),"",W170-R170)</x:f>
        <x:v>531.3899999999999</x:v>
      </x:c>
      <x:c r="Y170" s="8" t="n">
        <x:f>IF(OR(ISBLANK(W170),W170=0),"",X170/W170)</x:f>
        <x:v>0.2078112534609789</x:v>
      </x:c>
      <x:c r="Z170" s="9" t="n">
        <x:f>IF(OR(ISBLANK(B170),ISBLANK(C170)),"",C170-B170)</x:f>
        <x:v>3</x:v>
      </x:c>
      <x:c r="AA170" t="str">
        <x:f>IF(ISBLANK(B170),"",TEXT(B170,"mmm"))</x:f>
        <x:v>Jan</x:v>
      </x:c>
      <x:c r="AB170" s="9" t="n">
        <x:f>IF(ISBLANK(B170),"",YEAR(B170))</x:f>
        <x:v>2025</x:v>
      </x:c>
      <x:c r="AC170" s="10" t="str">
        <x:v>EXCLUDE: Cancelled order</x:v>
      </x:c>
      <x:c r="AD170" t="str">
        <x:f>IF(AND(U170="Completed",T170="Paid",ISERROR(SEARCH("INVALID",AC170)),ISERROR(SEARCH("REVIEW",AC170))),"Include","Exclude")</x:f>
        <x:v>Exclude</x:v>
      </x:c>
      <x:c r="AE170" t="str">
        <x:f>IF(T170="Refunded","Refunded","")</x:f>
      </x:c>
    </x:row>
    <x:row r="171">
      <x:c r="A171" t="str">
        <x:v>ORD-2025-10170</x:v>
      </x:c>
      <x:c r="B171" s="5" t="n">
        <x:v>45913</x:v>
      </x:c>
      <x:c r="C171" s="5" t="n">
        <x:v>45913</x:v>
      </x:c>
      <x:c r="D171" t="str">
        <x:v>CUST-2261</x:v>
      </x:c>
      <x:c r="E171" t="str">
        <x:v>Diya Patel</x:v>
      </x:c>
      <x:c r="F171" t="str">
        <x:v>Consumer</x:v>
      </x:c>
      <x:c r="G171" t="str">
        <x:v>East</x:v>
      </x:c>
      <x:c r="H171" t="str">
        <x:v>Assam</x:v>
      </x:c>
      <x:c r="I171" t="str">
        <x:v>Guwahati</x:v>
      </x:c>
      <x:c r="J171" t="str">
        <x:v>Office Supplies</x:v>
      </x:c>
      <x:c r="K171" t="str">
        <x:v>Art</x:v>
      </x:c>
      <x:c r="L171" t="str">
        <x:v>Pro Art 734</x:v>
      </x:c>
      <x:c r="M171" t="str">
        <x:v>Standard Class</x:v>
      </x:c>
      <x:c r="N171" t="n">
        <x:v>8</x:v>
      </x:c>
      <x:c r="O171" s="7" t="n">
        <x:v>733.9</x:v>
      </x:c>
      <x:c r="P171" s="6" t="n">
        <x:v>0.05</x:v>
      </x:c>
      <x:c r="Q171" s="7" t="n">
        <x:v>5577.64</x:v>
      </x:c>
      <x:c r="R171" s="7" t="n">
        <x:v>3541.29</x:v>
      </x:c>
      <x:c r="S171" s="7" t="n">
        <x:v>2036.35</x:v>
      </x:c>
      <x:c r="T171" t="str">
        <x:v>Pending</x:v>
      </x:c>
      <x:c r="U171" t="str">
        <x:v>Returned</x:v>
      </x:c>
      <x:c r="V171" s="6" t="n">
        <x:f>IF(ISBLANK(P171),IF(AND(ISNUMBER(N171),N171&gt;0,ISNUMBER(O171),O171&gt;=0,ISNUMBER(Q171),Q171&gt;=0,ISNUMBER(R171),R171&gt;=0,ISNUMBER(S171)),0,""),P171)</x:f>
        <x:v>0.05</x:v>
      </x:c>
      <x:c r="W171" s="7" t="n">
        <x:f>IF(ISBLANK(V171),"",N171*O171*(1-V171))</x:f>
        <x:v>5577.639999999999</x:v>
      </x:c>
      <x:c r="X171" s="7" t="n">
        <x:f>IF(OR(ISBLANK(W171),ISBLANK(R171)),"",W171-R171)</x:f>
        <x:v>2036.3499999999995</x:v>
      </x:c>
      <x:c r="Y171" s="8" t="n">
        <x:f>IF(OR(ISBLANK(W171),W171=0),"",X171/W171)</x:f>
        <x:v>0.3650916875237555</x:v>
      </x:c>
      <x:c r="Z171" s="9" t="n">
        <x:f>IF(OR(ISBLANK(B171),ISBLANK(C171)),"",C171-B171)</x:f>
        <x:v>0</x:v>
      </x:c>
      <x:c r="AA171" t="str">
        <x:f>IF(ISBLANK(B171),"",TEXT(B171,"mmm"))</x:f>
        <x:v>Sep</x:v>
      </x:c>
      <x:c r="AB171" s="9" t="n">
        <x:f>IF(ISBLANK(B171),"",YEAR(B171))</x:f>
        <x:v>2025</x:v>
      </x:c>
      <x:c r="AC171" s="10" t="str"/>
      <x:c r="AD171" t="str">
        <x:f>IF(AND(U171="Completed",T171="Paid",ISERROR(SEARCH("INVALID",AC171)),ISERROR(SEARCH("REVIEW",AC171))),"Include","Exclude")</x:f>
        <x:v>Exclude</x:v>
      </x:c>
      <x:c r="AE171" t="str">
        <x:f>IF(T171="Refunded","Refunded","")</x:f>
      </x:c>
    </x:row>
    <x:row r="172">
      <x:c r="A172" t="str">
        <x:v>ORD-2025-10171</x:v>
      </x:c>
      <x:c r="B172" s="5" t="n">
        <x:v>45907</x:v>
      </x:c>
      <x:c r="C172" s="5" t="n">
        <x:v>45915</x:v>
      </x:c>
      <x:c r="D172" t="str">
        <x:v>CUST-3734</x:v>
      </x:c>
      <x:c r="E172" t="str">
        <x:v>Rohan Mehta</x:v>
      </x:c>
      <x:c r="F172" t="str">
        <x:v>Corporate</x:v>
      </x:c>
      <x:c r="G172" t="str">
        <x:v>East</x:v>
      </x:c>
      <x:c r="H172" t="str">
        <x:v>Bihar</x:v>
      </x:c>
      <x:c r="I172" t="str">
        <x:v>Patna</x:v>
      </x:c>
      <x:c r="J172" t="str">
        <x:v>Technology</x:v>
      </x:c>
      <x:c r="K172" t="str">
        <x:v>Copiers</x:v>
      </x:c>
      <x:c r="L172" t="str">
        <x:v>Eco Copiers 102</x:v>
      </x:c>
      <x:c r="M172" t="str">
        <x:v>Standard Class</x:v>
      </x:c>
      <x:c r="N172" t="n">
        <x:v>3</x:v>
      </x:c>
      <x:c r="O172" s="7" t="n">
        <x:v>1711.32</x:v>
      </x:c>
      <x:c r="P172" s="6" t="n">
        <x:v>0</x:v>
      </x:c>
      <x:c r="Q172" s="7" t="n">
        <x:v>5133.96</x:v>
      </x:c>
      <x:c r="R172" s="7" t="n">
        <x:v>3930</x:v>
      </x:c>
      <x:c r="S172" s="7" t="n">
        <x:v>1203.96</x:v>
      </x:c>
      <x:c r="T172" t="str">
        <x:v>Paid</x:v>
      </x:c>
      <x:c r="U172" t="str">
        <x:v>Completed</x:v>
      </x:c>
      <x:c r="V172" s="6" t="n">
        <x:f>IF(ISBLANK(P172),IF(AND(ISNUMBER(N172),N172&gt;0,ISNUMBER(O172),O172&gt;=0,ISNUMBER(Q172),Q172&gt;=0,ISNUMBER(R172),R172&gt;=0,ISNUMBER(S172)),0,""),P172)</x:f>
        <x:v>0</x:v>
      </x:c>
      <x:c r="W172" s="7" t="n">
        <x:f>IF(ISBLANK(V172),"",N172*O172*(1-V172))</x:f>
        <x:v>5133.96</x:v>
      </x:c>
      <x:c r="X172" s="7" t="n">
        <x:f>IF(OR(ISBLANK(W172),ISBLANK(R172)),"",W172-R172)</x:f>
        <x:v>1203.96</x:v>
      </x:c>
      <x:c r="Y172" s="8" t="n">
        <x:f>IF(OR(ISBLANK(W172),W172=0),"",X172/W172)</x:f>
        <x:v>0.23450903396208775</x:v>
      </x:c>
      <x:c r="Z172" s="9" t="n">
        <x:f>IF(OR(ISBLANK(B172),ISBLANK(C172)),"",C172-B172)</x:f>
        <x:v>8</x:v>
      </x:c>
      <x:c r="AA172" t="str">
        <x:f>IF(ISBLANK(B172),"",TEXT(B172,"mmm"))</x:f>
        <x:v>Sep</x:v>
      </x:c>
      <x:c r="AB172" s="9" t="n">
        <x:f>IF(ISBLANK(B172),"",YEAR(B172))</x:f>
        <x:v>2025</x:v>
      </x:c>
      <x:c r="AC172" s="10" t="str">
        <x:v>REVIEW: Conflicting duplicate order_id</x:v>
      </x:c>
      <x:c r="AD172" t="str">
        <x:f>IF(AND(U172="Completed",T172="Paid",ISERROR(SEARCH("INVALID",AC172)),ISERROR(SEARCH("REVIEW",AC172))),"Include","Exclude")</x:f>
        <x:v>Exclude</x:v>
      </x:c>
      <x:c r="AE172" t="str">
        <x:f>IF(T172="Refunded","Refunded","")</x:f>
      </x:c>
    </x:row>
    <x:row r="173">
      <x:c r="A173" t="str">
        <x:v>ORD-2025-10172</x:v>
      </x:c>
      <x:c r="B173" s="5" t="n">
        <x:v>45711</x:v>
      </x:c>
      <x:c r="C173" s="5" t="n">
        <x:v>45713</x:v>
      </x:c>
      <x:c r="D173" t="str">
        <x:v>CUST-3436</x:v>
      </x:c>
      <x:c r="E173" t="str">
        <x:v>Karan Malhotra</x:v>
      </x:c>
      <x:c r="F173" t="str">
        <x:v>Corporate</x:v>
      </x:c>
      <x:c r="G173" t="str">
        <x:v>East</x:v>
      </x:c>
      <x:c r="H173" t="str">
        <x:v>Bihar</x:v>
      </x:c>
      <x:c r="I173" t="str">
        <x:v>Patna</x:v>
      </x:c>
      <x:c r="J173" t="str">
        <x:v>Office Supplies</x:v>
      </x:c>
      <x:c r="K173" t="str">
        <x:v>Labels</x:v>
      </x:c>
      <x:c r="L173" t="str">
        <x:v>Basic Labels 876</x:v>
      </x:c>
      <x:c r="M173" t="str">
        <x:v>Same Day</x:v>
      </x:c>
      <x:c r="N173" t="n">
        <x:v>5</x:v>
      </x:c>
      <x:c r="O173" s="7" t="n">
        <x:v>4246.27</x:v>
      </x:c>
      <x:c r="P173" s="6" t="n">
        <x:v>0.25</x:v>
      </x:c>
      <x:c r="Q173" s="7" t="n">
        <x:v>15923.51</x:v>
      </x:c>
      <x:c r="R173" s="7" t="n">
        <x:v>11291.8</x:v>
      </x:c>
      <x:c r="S173" s="7" t="n">
        <x:v>4631.71</x:v>
      </x:c>
      <x:c r="T173" t="str">
        <x:v>Paid</x:v>
      </x:c>
      <x:c r="U173" t="str">
        <x:v>Completed</x:v>
      </x:c>
      <x:c r="V173" s="6" t="n">
        <x:f>IF(ISBLANK(P173),IF(AND(ISNUMBER(N173),N173&gt;0,ISNUMBER(O173),O173&gt;=0,ISNUMBER(Q173),Q173&gt;=0,ISNUMBER(R173),R173&gt;=0,ISNUMBER(S173)),0,""),P173)</x:f>
        <x:v>0.25</x:v>
      </x:c>
      <x:c r="W173" s="7" t="n">
        <x:f>IF(ISBLANK(V173),"",N173*O173*(1-V173))</x:f>
        <x:v>15923.5125</x:v>
      </x:c>
      <x:c r="X173" s="7" t="n">
        <x:f>IF(OR(ISBLANK(W173),ISBLANK(R173)),"",W173-R173)</x:f>
        <x:v>4631.7125000000015</x:v>
      </x:c>
      <x:c r="Y173" s="8" t="n">
        <x:f>IF(OR(ISBLANK(W173),W173=0),"",X173/W173)</x:f>
        <x:v>0.2908725383297185</x:v>
      </x:c>
      <x:c r="Z173" s="9" t="n">
        <x:f>IF(OR(ISBLANK(B173),ISBLANK(C173)),"",C173-B173)</x:f>
        <x:v>2</x:v>
      </x:c>
      <x:c r="AA173" t="str">
        <x:f>IF(ISBLANK(B173),"",TEXT(B173,"mmm"))</x:f>
        <x:v>Feb</x:v>
      </x:c>
      <x:c r="AB173" s="9" t="n">
        <x:f>IF(ISBLANK(B173),"",YEAR(B173))</x:f>
        <x:v>2025</x:v>
      </x:c>
      <x:c r="AC173" s="10" t="str"/>
      <x:c r="AD173" t="str">
        <x:f>IF(AND(U173="Completed",T173="Paid",ISERROR(SEARCH("INVALID",AC173)),ISERROR(SEARCH("REVIEW",AC173))),"Include","Exclude")</x:f>
        <x:v>Include</x:v>
      </x:c>
      <x:c r="AE173" t="str">
        <x:f>IF(T173="Refunded","Refunded","")</x:f>
      </x:c>
    </x:row>
    <x:row r="174">
      <x:c r="A174" t="str">
        <x:v>ORD-2025-10173</x:v>
      </x:c>
      <x:c r="B174" s="5" t="n">
        <x:v>45871</x:v>
      </x:c>
      <x:c r="C174" s="5" t="n">
        <x:v>45879</x:v>
      </x:c>
      <x:c r="D174" t="str">
        <x:v>CUST-4845</x:v>
      </x:c>
      <x:c r="E174" t="str">
        <x:v>Karan Malhotra</x:v>
      </x:c>
      <x:c r="F174" t="str">
        <x:v>Corporate</x:v>
      </x:c>
      <x:c r="G174" t="str">
        <x:v>North</x:v>
      </x:c>
      <x:c r="H174" t="str">
        <x:v>Delhi</x:v>
      </x:c>
      <x:c r="I174" t="str">
        <x:v>New Delhi</x:v>
      </x:c>
      <x:c r="J174" t="str">
        <x:v>Furniture</x:v>
      </x:c>
      <x:c r="K174" t="str">
        <x:v>Furnishings</x:v>
      </x:c>
      <x:c r="L174" t="str">
        <x:v>Prime Furnishings 381</x:v>
      </x:c>
      <x:c r="M174" t="str">
        <x:v>Same Day</x:v>
      </x:c>
      <x:c r="N174" t="n">
        <x:v>9</x:v>
      </x:c>
      <x:c r="O174" s="7" t="n">
        <x:v>2962.62</x:v>
      </x:c>
      <x:c r="P174" s="6" t="n">
        <x:v>0.1</x:v>
      </x:c>
      <x:c r="Q174" s="7" t="n">
        <x:v>23997.22</x:v>
      </x:c>
      <x:c r="R174" s="7" t="n">
        <x:v>16134.63</x:v>
      </x:c>
      <x:c r="S174" s="7" t="n">
        <x:v>7862.59</x:v>
      </x:c>
      <x:c r="T174" t="str">
        <x:v>Refunded</x:v>
      </x:c>
      <x:c r="U174" t="str">
        <x:v>Returned</x:v>
      </x:c>
      <x:c r="V174" s="6" t="n">
        <x:f>IF(ISBLANK(P174),IF(AND(ISNUMBER(N174),N174&gt;0,ISNUMBER(O174),O174&gt;=0,ISNUMBER(Q174),Q174&gt;=0,ISNUMBER(R174),R174&gt;=0,ISNUMBER(S174)),0,""),P174)</x:f>
        <x:v>0.1</x:v>
      </x:c>
      <x:c r="W174" s="7" t="n">
        <x:f>IF(ISBLANK(V174),"",N174*O174*(1-V174))</x:f>
        <x:v>23997.221999999998</x:v>
      </x:c>
      <x:c r="X174" s="7" t="n">
        <x:f>IF(OR(ISBLANK(W174),ISBLANK(R174)),"",W174-R174)</x:f>
        <x:v>7862.591999999999</x:v>
      </x:c>
      <x:c r="Y174" s="8" t="n">
        <x:f>IF(OR(ISBLANK(W174),W174=0),"",X174/W174)</x:f>
        <x:v>0.32764592501582057</x:v>
      </x:c>
      <x:c r="Z174" s="9" t="n">
        <x:f>IF(OR(ISBLANK(B174),ISBLANK(C174)),"",C174-B174)</x:f>
        <x:v>8</x:v>
      </x:c>
      <x:c r="AA174" t="str">
        <x:f>IF(ISBLANK(B174),"",TEXT(B174,"mmm"))</x:f>
        <x:v>Aug</x:v>
      </x:c>
      <x:c r="AB174" s="9" t="n">
        <x:f>IF(ISBLANK(B174),"",YEAR(B174))</x:f>
        <x:v>2025</x:v>
      </x:c>
      <x:c r="AC174" s="10" t="str">
        <x:v>REFUND: Summarize separately</x:v>
      </x:c>
      <x:c r="AD174" t="str">
        <x:f>IF(AND(U174="Completed",T174="Paid",ISERROR(SEARCH("INVALID",AC174)),ISERROR(SEARCH("REVIEW",AC174))),"Include","Exclude")</x:f>
        <x:v>Exclude</x:v>
      </x:c>
      <x:c r="AE174" t="str">
        <x:f>IF(T174="Refunded","Refunded","")</x:f>
        <x:v>Refunded</x:v>
      </x:c>
    </x:row>
    <x:row r="175">
      <x:c r="A175" t="str">
        <x:v>ORD-2024-10174</x:v>
      </x:c>
      <x:c r="B175" s="5" t="n">
        <x:v>45414</x:v>
      </x:c>
      <x:c r="C175" s="5" t="n">
        <x:v>45420</x:v>
      </x:c>
      <x:c r="D175" t="str">
        <x:v>CUST-6153</x:v>
      </x:c>
      <x:c r="E175" t="str">
        <x:v>Priya Menon</x:v>
      </x:c>
      <x:c r="F175" t="str">
        <x:v>Home Office</x:v>
      </x:c>
      <x:c r="G175" t="str">
        <x:v>North</x:v>
      </x:c>
      <x:c r="H175" t="str">
        <x:v>Punjab</x:v>
      </x:c>
      <x:c r="I175" t="str">
        <x:v>Ludhiana</x:v>
      </x:c>
      <x:c r="J175" t="str">
        <x:v>Technology</x:v>
      </x:c>
      <x:c r="K175" t="str">
        <x:v>Copiers</x:v>
      </x:c>
      <x:c r="L175" t="str">
        <x:v>Prime Copiers 440</x:v>
      </x:c>
      <x:c r="M175" t="str">
        <x:v>Second Class</x:v>
      </x:c>
      <x:c r="N175" t="n">
        <x:v>1</x:v>
      </x:c>
      <x:c r="O175" s="7" t="n">
        <x:v>2312.25</x:v>
      </x:c>
      <x:c r="P175" s="6" t="n">
        <x:v>0.25</x:v>
      </x:c>
      <x:c r="Q175" s="7" t="n">
        <x:v>1734.19</x:v>
      </x:c>
      <x:c r="R175" s="7" t="n">
        <x:v>1386.07</x:v>
      </x:c>
      <x:c r="S175" s="7" t="n">
        <x:v>348.12</x:v>
      </x:c>
      <x:c r="T175" t="str">
        <x:v>Paid</x:v>
      </x:c>
      <x:c r="U175" t="str">
        <x:v>Completed</x:v>
      </x:c>
      <x:c r="V175" s="6" t="n">
        <x:f>IF(ISBLANK(P175),IF(AND(ISNUMBER(N175),N175&gt;0,ISNUMBER(O175),O175&gt;=0,ISNUMBER(Q175),Q175&gt;=0,ISNUMBER(R175),R175&gt;=0,ISNUMBER(S175)),0,""),P175)</x:f>
        <x:v>0.25</x:v>
      </x:c>
      <x:c r="W175" s="7" t="n">
        <x:f>IF(ISBLANK(V175),"",N175*O175*(1-V175))</x:f>
        <x:v>1734.1875</x:v>
      </x:c>
      <x:c r="X175" s="7" t="n">
        <x:f>IF(OR(ISBLANK(W175),ISBLANK(R175)),"",W175-R175)</x:f>
        <x:v>348.11750000000006</x:v>
      </x:c>
      <x:c r="Y175" s="8" t="n">
        <x:f>IF(OR(ISBLANK(W175),W175=0),"",X175/W175)</x:f>
        <x:v>0.20073809781237614</x:v>
      </x:c>
      <x:c r="Z175" s="9" t="n">
        <x:f>IF(OR(ISBLANK(B175),ISBLANK(C175)),"",C175-B175)</x:f>
        <x:v>6</x:v>
      </x:c>
      <x:c r="AA175" t="str">
        <x:f>IF(ISBLANK(B175),"",TEXT(B175,"mmm"))</x:f>
        <x:v>May</x:v>
      </x:c>
      <x:c r="AB175" s="9" t="n">
        <x:f>IF(ISBLANK(B175),"",YEAR(B175))</x:f>
        <x:v>2024</x:v>
      </x:c>
      <x:c r="AC175" s="10" t="str"/>
      <x:c r="AD175" t="str">
        <x:f>IF(AND(U175="Completed",T175="Paid",ISERROR(SEARCH("INVALID",AC175)),ISERROR(SEARCH("REVIEW",AC175))),"Include","Exclude")</x:f>
        <x:v>Include</x:v>
      </x:c>
      <x:c r="AE175" t="str">
        <x:f>IF(T175="Refunded","Refunded","")</x:f>
      </x:c>
    </x:row>
    <x:row r="176">
      <x:c r="A176" t="str">
        <x:v>ORD-2025-10175</x:v>
      </x:c>
      <x:c r="B176" s="5" t="n">
        <x:v>45928</x:v>
      </x:c>
      <x:c r="C176" s="5" t="n">
        <x:v>45934</x:v>
      </x:c>
      <x:c r="D176" t="str">
        <x:v>CUST-5475</x:v>
      </x:c>
      <x:c r="E176" t="str">
        <x:v>Karan Malhotra</x:v>
      </x:c>
      <x:c r="F176" t="str">
        <x:v>Small Business</x:v>
      </x:c>
      <x:c r="G176" t="str">
        <x:v>South</x:v>
      </x:c>
      <x:c r="H176" t="str">
        <x:v>Karnataka</x:v>
      </x:c>
      <x:c r="I176" t="str">
        <x:v>Bengaluru</x:v>
      </x:c>
      <x:c r="J176" t="str">
        <x:v>Furniture</x:v>
      </x:c>
      <x:c r="K176" t="str">
        <x:v>Bookcases</x:v>
      </x:c>
      <x:c r="L176" t="str">
        <x:v>Pro Bookcases 319</x:v>
      </x:c>
      <x:c r="M176" t="str">
        <x:v>First Class</x:v>
      </x:c>
      <x:c r="N176" t="n">
        <x:v>6</x:v>
      </x:c>
      <x:c r="O176" s="7" t="n">
        <x:v>1620.53</x:v>
      </x:c>
      <x:c r="P176" s="6" t="n">
        <x:v>0.15</x:v>
      </x:c>
      <x:c r="Q176" s="7" t="n">
        <x:v>8264.7</x:v>
      </x:c>
      <x:c r="R176" s="7" t="n">
        <x:v>4768.75</x:v>
      </x:c>
      <x:c r="S176" s="7" t="n">
        <x:v>3495.95</x:v>
      </x:c>
      <x:c r="T176" t="str">
        <x:v>Pending</x:v>
      </x:c>
      <x:c r="U176" t="str">
        <x:v>Returned</x:v>
      </x:c>
      <x:c r="V176" s="6" t="n">
        <x:f>IF(ISBLANK(P176),IF(AND(ISNUMBER(N176),N176&gt;0,ISNUMBER(O176),O176&gt;=0,ISNUMBER(Q176),Q176&gt;=0,ISNUMBER(R176),R176&gt;=0,ISNUMBER(S176)),0,""),P176)</x:f>
        <x:v>0.15</x:v>
      </x:c>
      <x:c r="W176" s="7" t="n">
        <x:f>IF(ISBLANK(V176),"",N176*O176*(1-V176))</x:f>
        <x:v>8264.703</x:v>
      </x:c>
      <x:c r="X176" s="7" t="n">
        <x:f>IF(OR(ISBLANK(W176),ISBLANK(R176)),"",W176-R176)</x:f>
        <x:v>3495.9529999999995</x:v>
      </x:c>
      <x:c r="Y176" s="8" t="n">
        <x:f>IF(OR(ISBLANK(W176),W176=0),"",X176/W176)</x:f>
        <x:v>0.4229980194085619</x:v>
      </x:c>
      <x:c r="Z176" s="9" t="n">
        <x:f>IF(OR(ISBLANK(B176),ISBLANK(C176)),"",C176-B176)</x:f>
        <x:v>6</x:v>
      </x:c>
      <x:c r="AA176" t="str">
        <x:f>IF(ISBLANK(B176),"",TEXT(B176,"mmm"))</x:f>
        <x:v>Sep</x:v>
      </x:c>
      <x:c r="AB176" s="9" t="n">
        <x:f>IF(ISBLANK(B176),"",YEAR(B176))</x:f>
        <x:v>2025</x:v>
      </x:c>
      <x:c r="AC176" s="10" t="str"/>
      <x:c r="AD176" t="str">
        <x:f>IF(AND(U176="Completed",T176="Paid",ISERROR(SEARCH("INVALID",AC176)),ISERROR(SEARCH("REVIEW",AC176))),"Include","Exclude")</x:f>
        <x:v>Exclude</x:v>
      </x:c>
      <x:c r="AE176" t="str">
        <x:f>IF(T176="Refunded","Refunded","")</x:f>
      </x:c>
    </x:row>
    <x:row r="177">
      <x:c r="A177" t="str">
        <x:v>ORD-2024-10176</x:v>
      </x:c>
      <x:c r="B177" s="5" t="n">
        <x:v>45318</x:v>
      </x:c>
      <x:c r="C177" s="5" t="n">
        <x:v>45325</x:v>
      </x:c>
      <x:c r="D177" t="str">
        <x:v>CUST-5580</x:v>
      </x:c>
      <x:c r="E177" t="str">
        <x:v>Arjun Bose</x:v>
      </x:c>
      <x:c r="F177" t="str">
        <x:v>Small Business</x:v>
      </x:c>
      <x:c r="G177" t="str">
        <x:v>East</x:v>
      </x:c>
      <x:c r="H177" t="str">
        <x:v>Bihar</x:v>
      </x:c>
      <x:c r="I177" t="str">
        <x:v>Patna</x:v>
      </x:c>
      <x:c r="J177" t="str">
        <x:v>Technology</x:v>
      </x:c>
      <x:c r="K177" t="str">
        <x:v>Machines</x:v>
      </x:c>
      <x:c r="L177" t="str">
        <x:v>Basic Machines 584</x:v>
      </x:c>
      <x:c r="M177" t="str">
        <x:v>Same Day</x:v>
      </x:c>
      <x:c r="N177" t="n">
        <x:v>7</x:v>
      </x:c>
      <x:c r="O177" s="7" t="n">
        <x:v>2673.42</x:v>
      </x:c>
      <x:c r="P177" s="6" t="n">
        <x:v>0.15</x:v>
      </x:c>
      <x:c r="Q177" s="7" t="n">
        <x:v>15906.85</x:v>
      </x:c>
      <x:c r="R177" s="7" t="n">
        <x:v>11014.46</x:v>
      </x:c>
      <x:c r="S177" s="7" t="n">
        <x:v>4892.39</x:v>
      </x:c>
      <x:c r="T177" t="str">
        <x:v>Paid</x:v>
      </x:c>
      <x:c r="U177" t="str">
        <x:v>Returned</x:v>
      </x:c>
      <x:c r="V177" s="6" t="n">
        <x:f>IF(ISBLANK(P177),IF(AND(ISNUMBER(N177),N177&gt;0,ISNUMBER(O177),O177&gt;=0,ISNUMBER(Q177),Q177&gt;=0,ISNUMBER(R177),R177&gt;=0,ISNUMBER(S177)),0,""),P177)</x:f>
        <x:v>0.15</x:v>
      </x:c>
      <x:c r="W177" s="7" t="n">
        <x:f>IF(ISBLANK(V177),"",N177*O177*(1-V177))</x:f>
        <x:v>15906.849000000002</x:v>
      </x:c>
      <x:c r="X177" s="7" t="n">
        <x:f>IF(OR(ISBLANK(W177),ISBLANK(R177)),"",W177-R177)</x:f>
        <x:v>4892.389000000003</x:v>
      </x:c>
      <x:c r="Y177" s="8" t="n">
        <x:f>IF(OR(ISBLANK(W177),W177=0),"",X177/W177)</x:f>
        <x:v>0.30756493633654297</x:v>
      </x:c>
      <x:c r="Z177" s="9" t="n">
        <x:f>IF(OR(ISBLANK(B177),ISBLANK(C177)),"",C177-B177)</x:f>
        <x:v>7</x:v>
      </x:c>
      <x:c r="AA177" t="str">
        <x:f>IF(ISBLANK(B177),"",TEXT(B177,"mmm"))</x:f>
        <x:v>Jan</x:v>
      </x:c>
      <x:c r="AB177" s="9" t="n">
        <x:f>IF(ISBLANK(B177),"",YEAR(B177))</x:f>
        <x:v>2024</x:v>
      </x:c>
      <x:c r="AC177" s="10" t="str"/>
      <x:c r="AD177" t="str">
        <x:f>IF(AND(U177="Completed",T177="Paid",ISERROR(SEARCH("INVALID",AC177)),ISERROR(SEARCH("REVIEW",AC177))),"Include","Exclude")</x:f>
        <x:v>Exclude</x:v>
      </x:c>
      <x:c r="AE177" t="str">
        <x:f>IF(T177="Refunded","Refunded","")</x:f>
      </x:c>
    </x:row>
    <x:row r="178">
      <x:c r="A178" t="str">
        <x:v>ORD-2025-10177</x:v>
      </x:c>
      <x:c r="B178" s="5" t="n">
        <x:v>45734</x:v>
      </x:c>
      <x:c r="C178" s="5" t="n">
        <x:v>45742</x:v>
      </x:c>
      <x:c r="D178" t="str">
        <x:v>CUST-3027</x:v>
      </x:c>
      <x:c r="E178" t="str">
        <x:v>Vikram Iyer</x:v>
      </x:c>
      <x:c r="F178" t="str">
        <x:v>Corporate</x:v>
      </x:c>
      <x:c r="G178" t="str">
        <x:v>East</x:v>
      </x:c>
      <x:c r="H178" t="str">
        <x:v>Jharkhand</x:v>
      </x:c>
      <x:c r="I178" t="str">
        <x:v>Ranchi</x:v>
      </x:c>
      <x:c r="J178" t="str">
        <x:v>Furniture</x:v>
      </x:c>
      <x:c r="K178" t="str">
        <x:v>Bookcases</x:v>
      </x:c>
      <x:c r="L178" t="str">
        <x:v>Pro Bookcases 612</x:v>
      </x:c>
      <x:c r="M178" t="str">
        <x:v>Standard Class</x:v>
      </x:c>
      <x:c r="N178" t="n">
        <x:v>8</x:v>
      </x:c>
      <x:c r="O178" s="7" t="n">
        <x:v>3563.09</x:v>
      </x:c>
      <x:c r="P178" s="6" t="n">
        <x:v>0.15</x:v>
      </x:c>
      <x:c r="Q178" s="7" t="n">
        <x:v>24229.01</x:v>
      </x:c>
      <x:c r="R178" s="7" t="n">
        <x:v>13910.64</x:v>
      </x:c>
      <x:c r="S178" s="7" t="n">
        <x:v>10318.37</x:v>
      </x:c>
      <x:c r="T178" t="str">
        <x:v>Paid</x:v>
      </x:c>
      <x:c r="U178" t="str">
        <x:v>Completed</x:v>
      </x:c>
      <x:c r="V178" s="6" t="n">
        <x:f>IF(ISBLANK(P178),IF(AND(ISNUMBER(N178),N178&gt;0,ISNUMBER(O178),O178&gt;=0,ISNUMBER(Q178),Q178&gt;=0,ISNUMBER(R178),R178&gt;=0,ISNUMBER(S178)),0,""),P178)</x:f>
        <x:v>0.15</x:v>
      </x:c>
      <x:c r="W178" s="7" t="n">
        <x:f>IF(ISBLANK(V178),"",N178*O178*(1-V178))</x:f>
        <x:v>24229.012</x:v>
      </x:c>
      <x:c r="X178" s="7" t="n">
        <x:f>IF(OR(ISBLANK(W178),ISBLANK(R178)),"",W178-R178)</x:f>
        <x:v>10318.372</x:v>
      </x:c>
      <x:c r="Y178" s="8" t="n">
        <x:f>IF(OR(ISBLANK(W178),W178=0),"",X178/W178)</x:f>
        <x:v>0.4258684588542034</x:v>
      </x:c>
      <x:c r="Z178" s="9" t="n">
        <x:f>IF(OR(ISBLANK(B178),ISBLANK(C178)),"",C178-B178)</x:f>
        <x:v>8</x:v>
      </x:c>
      <x:c r="AA178" t="str">
        <x:f>IF(ISBLANK(B178),"",TEXT(B178,"mmm"))</x:f>
        <x:v>Mar</x:v>
      </x:c>
      <x:c r="AB178" s="9" t="n">
        <x:f>IF(ISBLANK(B178),"",YEAR(B178))</x:f>
        <x:v>2025</x:v>
      </x:c>
      <x:c r="AC178" s="10" t="str"/>
      <x:c r="AD178" t="str">
        <x:f>IF(AND(U178="Completed",T178="Paid",ISERROR(SEARCH("INVALID",AC178)),ISERROR(SEARCH("REVIEW",AC178))),"Include","Exclude")</x:f>
        <x:v>Include</x:v>
      </x:c>
      <x:c r="AE178" t="str">
        <x:f>IF(T178="Refunded","Refunded","")</x:f>
      </x:c>
    </x:row>
    <x:row r="179">
      <x:c r="A179" t="str">
        <x:v>ORD-2024-10178</x:v>
      </x:c>
      <x:c r="B179" s="5" t="n">
        <x:v>45444</x:v>
      </x:c>
      <x:c r="C179" s="5" t="n">
        <x:v>45446</x:v>
      </x:c>
      <x:c r="D179" t="str">
        <x:v>CUST-4399</x:v>
      </x:c>
      <x:c r="E179" t="str">
        <x:v>Sneha Kapoor</x:v>
      </x:c>
      <x:c r="F179" t="str">
        <x:v>Home Office</x:v>
      </x:c>
      <x:c r="G179" t="str">
        <x:v>Unknown</x:v>
      </x:c>
      <x:c r="H179" t="str">
        <x:v>Bihar</x:v>
      </x:c>
      <x:c r="I179" t="str">
        <x:v>Patna</x:v>
      </x:c>
      <x:c r="J179" t="str">
        <x:v>Office Supplies</x:v>
      </x:c>
      <x:c r="K179" t="str">
        <x:v>Art</x:v>
      </x:c>
      <x:c r="L179" t="str">
        <x:v>Classic Art 573</x:v>
      </x:c>
      <x:c r="M179" t="str">
        <x:v>Same Day</x:v>
      </x:c>
      <x:c r="N179" t="n">
        <x:v>8</x:v>
      </x:c>
      <x:c r="O179" s="7" t="n">
        <x:v>3879.95</x:v>
      </x:c>
      <x:c r="P179" s="6" t="n">
        <x:v>0</x:v>
      </x:c>
      <x:c r="Q179" s="7" t="n">
        <x:v>31039.6</x:v>
      </x:c>
      <x:c r="R179" s="7" t="n">
        <x:v>20866.72</x:v>
      </x:c>
      <x:c r="S179" s="7" t="n">
        <x:v>10172.88</x:v>
      </x:c>
      <x:c r="T179" t="str">
        <x:v>Paid</x:v>
      </x:c>
      <x:c r="U179" t="str">
        <x:v>Completed</x:v>
      </x:c>
      <x:c r="V179" s="6" t="n">
        <x:f>IF(ISBLANK(P179),IF(AND(ISNUMBER(N179),N179&gt;0,ISNUMBER(O179),O179&gt;=0,ISNUMBER(Q179),Q179&gt;=0,ISNUMBER(R179),R179&gt;=0,ISNUMBER(S179)),0,""),P179)</x:f>
        <x:v>0</x:v>
      </x:c>
      <x:c r="W179" s="7" t="n">
        <x:f>IF(ISBLANK(V179),"",N179*O179*(1-V179))</x:f>
        <x:v>31039.6</x:v>
      </x:c>
      <x:c r="X179" s="7" t="n">
        <x:f>IF(OR(ISBLANK(W179),ISBLANK(R179)),"",W179-R179)</x:f>
        <x:v>10172.879999999997</x:v>
      </x:c>
      <x:c r="Y179" s="8" t="n">
        <x:f>IF(OR(ISBLANK(W179),W179=0),"",X179/W179)</x:f>
        <x:v>0.32773875952009685</x:v>
      </x:c>
      <x:c r="Z179" s="9" t="n">
        <x:f>IF(OR(ISBLANK(B179),ISBLANK(C179)),"",C179-B179)</x:f>
        <x:v>2</x:v>
      </x:c>
      <x:c r="AA179" t="str">
        <x:f>IF(ISBLANK(B179),"",TEXT(B179,"mmm"))</x:f>
        <x:v>Jun</x:v>
      </x:c>
      <x:c r="AB179" s="9" t="n">
        <x:f>IF(ISBLANK(B179),"",YEAR(B179))</x:f>
        <x:v>2024</x:v>
      </x:c>
      <x:c r="AC179" s="10" t="str">
        <x:v>FLAG: Missing region filled as Unknown</x:v>
      </x:c>
      <x:c r="AD179" t="str">
        <x:f>IF(AND(U179="Completed",T179="Paid",ISERROR(SEARCH("INVALID",AC179)),ISERROR(SEARCH("REVIEW",AC179))),"Include","Exclude")</x:f>
        <x:v>Include</x:v>
      </x:c>
      <x:c r="AE179" t="str">
        <x:f>IF(T179="Refunded","Refunded","")</x:f>
      </x:c>
    </x:row>
    <x:row r="180">
      <x:c r="A180" t="str">
        <x:v>ORD-2024-10179</x:v>
      </x:c>
      <x:c r="B180" s="5" t="n">
        <x:v>45565</x:v>
      </x:c>
      <x:c r="C180" s="5" t="n">
        <x:v>45565</x:v>
      </x:c>
      <x:c r="D180" t="str">
        <x:v>CUST-3092</x:v>
      </x:c>
      <x:c r="E180" t="str">
        <x:v>Isha Nair</x:v>
      </x:c>
      <x:c r="F180" t="str">
        <x:v>Corporate</x:v>
      </x:c>
      <x:c r="G180" t="str">
        <x:v>South</x:v>
      </x:c>
      <x:c r="H180" t="str">
        <x:v>Telangana</x:v>
      </x:c>
      <x:c r="I180" t="str">
        <x:v>Hyderabad</x:v>
      </x:c>
      <x:c r="J180" t="str">
        <x:v>Office Supplies</x:v>
      </x:c>
      <x:c r="K180" t="str">
        <x:v>Art</x:v>
      </x:c>
      <x:c r="L180" t="str">
        <x:v>Eco Art 854</x:v>
      </x:c>
      <x:c r="M180" t="str">
        <x:v>Standard Class</x:v>
      </x:c>
      <x:c r="N180" t="n">
        <x:v>4</x:v>
      </x:c>
      <x:c r="O180" s="7" t="n">
        <x:v>3281.74</x:v>
      </x:c>
      <x:c r="P180" s="6" t="n">
        <x:v>0</x:v>
      </x:c>
      <x:c r="Q180" s="7" t="n">
        <x:v>13126.96</x:v>
      </x:c>
      <x:c r="R180" s="7" t="n">
        <x:v>10732.44</x:v>
      </x:c>
      <x:c r="S180" s="7" t="n">
        <x:v>2394.52</x:v>
      </x:c>
      <x:c r="T180" t="str">
        <x:v>Paid</x:v>
      </x:c>
      <x:c r="U180" t="str">
        <x:v>Completed</x:v>
      </x:c>
      <x:c r="V180" s="6" t="n">
        <x:f>IF(ISBLANK(P180),IF(AND(ISNUMBER(N180),N180&gt;0,ISNUMBER(O180),O180&gt;=0,ISNUMBER(Q180),Q180&gt;=0,ISNUMBER(R180),R180&gt;=0,ISNUMBER(S180)),0,""),P180)</x:f>
        <x:v>0</x:v>
      </x:c>
      <x:c r="W180" s="7" t="n">
        <x:f>IF(ISBLANK(V180),"",N180*O180*(1-V180))</x:f>
        <x:v>13126.96</x:v>
      </x:c>
      <x:c r="X180" s="7" t="n">
        <x:f>IF(OR(ISBLANK(W180),ISBLANK(R180)),"",W180-R180)</x:f>
        <x:v>2394.5199999999986</x:v>
      </x:c>
      <x:c r="Y180" s="8" t="n">
        <x:f>IF(OR(ISBLANK(W180),W180=0),"",X180/W180)</x:f>
        <x:v>0.18241237879905162</x:v>
      </x:c>
      <x:c r="Z180" s="9" t="n">
        <x:f>IF(OR(ISBLANK(B180),ISBLANK(C180)),"",C180-B180)</x:f>
        <x:v>0</x:v>
      </x:c>
      <x:c r="AA180" t="str">
        <x:f>IF(ISBLANK(B180),"",TEXT(B180,"mmm"))</x:f>
        <x:v>Sep</x:v>
      </x:c>
      <x:c r="AB180" s="9" t="n">
        <x:f>IF(ISBLANK(B180),"",YEAR(B180))</x:f>
        <x:v>2024</x:v>
      </x:c>
      <x:c r="AC180" s="10" t="str"/>
      <x:c r="AD180" t="str">
        <x:f>IF(AND(U180="Completed",T180="Paid",ISERROR(SEARCH("INVALID",AC180)),ISERROR(SEARCH("REVIEW",AC180))),"Include","Exclude")</x:f>
        <x:v>Include</x:v>
      </x:c>
      <x:c r="AE180" t="str">
        <x:f>IF(T180="Refunded","Refunded","")</x:f>
      </x:c>
    </x:row>
    <x:row r="181">
      <x:c r="A181" t="str">
        <x:v>ORD-2024-10180</x:v>
      </x:c>
      <x:c r="B181" s="5" t="n">
        <x:v>45366</x:v>
      </x:c>
      <x:c r="C181" s="5" t="n">
        <x:v>45370</x:v>
      </x:c>
      <x:c r="D181" t="str">
        <x:v>CUST-1778</x:v>
      </x:c>
      <x:c r="E181" t="str">
        <x:v>Ananya Rao</x:v>
      </x:c>
      <x:c r="F181" t="str">
        <x:v>Small Business</x:v>
      </x:c>
      <x:c r="G181" t="str">
        <x:v>South</x:v>
      </x:c>
      <x:c r="H181" t="str">
        <x:v>Tamil Nadu</x:v>
      </x:c>
      <x:c r="I181" t="str">
        <x:v>Chennai</x:v>
      </x:c>
      <x:c r="J181" t="str">
        <x:v>Furniture</x:v>
      </x:c>
      <x:c r="K181" t="str">
        <x:v>Furnishings</x:v>
      </x:c>
      <x:c r="L181" t="str">
        <x:v>Classic Furnishings 996</x:v>
      </x:c>
      <x:c r="M181" t="str">
        <x:v>Standard Class</x:v>
      </x:c>
      <x:c r="N181" t="n">
        <x:v>4</x:v>
      </x:c>
      <x:c r="O181" s="7" t="n">
        <x:v>3186.3</x:v>
      </x:c>
      <x:c r="P181" s="6" t="n">
        <x:v>0.25</x:v>
      </x:c>
      <x:c r="Q181" s="7" t="n">
        <x:v>9558.9</x:v>
      </x:c>
      <x:c r="R181" s="7" t="n">
        <x:v>5516.76</x:v>
      </x:c>
      <x:c r="S181" s="7" t="n">
        <x:v>4042.14</x:v>
      </x:c>
      <x:c r="T181" t="str">
        <x:v>Refunded</x:v>
      </x:c>
      <x:c r="U181" t="str">
        <x:v>Returned</x:v>
      </x:c>
      <x:c r="V181" s="6" t="n">
        <x:f>IF(ISBLANK(P181),IF(AND(ISNUMBER(N181),N181&gt;0,ISNUMBER(O181),O181&gt;=0,ISNUMBER(Q181),Q181&gt;=0,ISNUMBER(R181),R181&gt;=0,ISNUMBER(S181)),0,""),P181)</x:f>
        <x:v>0.25</x:v>
      </x:c>
      <x:c r="W181" s="7" t="n">
        <x:f>IF(ISBLANK(V181),"",N181*O181*(1-V181))</x:f>
        <x:v>9558.900000000001</x:v>
      </x:c>
      <x:c r="X181" s="7" t="n">
        <x:f>IF(OR(ISBLANK(W181),ISBLANK(R181)),"",W181-R181)</x:f>
        <x:v>4042.1400000000012</x:v>
      </x:c>
      <x:c r="Y181" s="8" t="n">
        <x:f>IF(OR(ISBLANK(W181),W181=0),"",X181/W181)</x:f>
        <x:v>0.42286664783604816</x:v>
      </x:c>
      <x:c r="Z181" s="9" t="n">
        <x:f>IF(OR(ISBLANK(B181),ISBLANK(C181)),"",C181-B181)</x:f>
        <x:v>4</x:v>
      </x:c>
      <x:c r="AA181" t="str">
        <x:f>IF(ISBLANK(B181),"",TEXT(B181,"mmm"))</x:f>
        <x:v>Mar</x:v>
      </x:c>
      <x:c r="AB181" s="9" t="n">
        <x:f>IF(ISBLANK(B181),"",YEAR(B181))</x:f>
        <x:v>2024</x:v>
      </x:c>
      <x:c r="AC181" s="10" t="str">
        <x:v>REFUND: Summarize separately</x:v>
      </x:c>
      <x:c r="AD181" t="str">
        <x:f>IF(AND(U181="Completed",T181="Paid",ISERROR(SEARCH("INVALID",AC181)),ISERROR(SEARCH("REVIEW",AC181))),"Include","Exclude")</x:f>
        <x:v>Exclude</x:v>
      </x:c>
      <x:c r="AE181" t="str">
        <x:f>IF(T181="Refunded","Refunded","")</x:f>
        <x:v>Refunded</x:v>
      </x:c>
    </x:row>
    <x:row r="182">
      <x:c r="A182" t="str">
        <x:v>ORD-2024-10181</x:v>
      </x:c>
      <x:c r="B182" s="5" t="n">
        <x:v>45530</x:v>
      </x:c>
      <x:c r="C182" s="5" t="n">
        <x:v>45530</x:v>
      </x:c>
      <x:c r="D182" t="str">
        <x:v>CUST-3787</x:v>
      </x:c>
      <x:c r="E182" t="str">
        <x:v>Mira Das</x:v>
      </x:c>
      <x:c r="F182" t="str">
        <x:v>Home Office</x:v>
      </x:c>
      <x:c r="G182" t="str">
        <x:v>North</x:v>
      </x:c>
      <x:c r="H182" t="str">
        <x:v>Uttar Pradesh</x:v>
      </x:c>
      <x:c r="I182" t="str">
        <x:v>Noida</x:v>
      </x:c>
      <x:c r="J182" t="str">
        <x:v>Office Supplies</x:v>
      </x:c>
      <x:c r="K182" t="str">
        <x:v>Binders</x:v>
      </x:c>
      <x:c r="L182" t="str">
        <x:v>Prime Binders 735</x:v>
      </x:c>
      <x:c r="M182" t="str">
        <x:v>First Class</x:v>
      </x:c>
      <x:c r="N182" t="n">
        <x:v>7</x:v>
      </x:c>
      <x:c r="O182" s="7" t="n">
        <x:v>844.59</x:v>
      </x:c>
      <x:c r="P182" s="6" t="n">
        <x:v>0.1</x:v>
      </x:c>
      <x:c r="Q182" s="7" t="n">
        <x:v>5320.92</x:v>
      </x:c>
      <x:c r="R182" s="7" t="n">
        <x:v>3041.5</x:v>
      </x:c>
      <x:c r="S182" s="7" t="n">
        <x:v>2279.42</x:v>
      </x:c>
      <x:c r="T182" t="str">
        <x:v>Paid</x:v>
      </x:c>
      <x:c r="U182" t="str">
        <x:v>Completed</x:v>
      </x:c>
      <x:c r="V182" s="6" t="n">
        <x:f>IF(ISBLANK(P182),IF(AND(ISNUMBER(N182),N182&gt;0,ISNUMBER(O182),O182&gt;=0,ISNUMBER(Q182),Q182&gt;=0,ISNUMBER(R182),R182&gt;=0,ISNUMBER(S182)),0,""),P182)</x:f>
        <x:v>0.1</x:v>
      </x:c>
      <x:c r="W182" s="7" t="n">
        <x:f>IF(ISBLANK(V182),"",N182*O182*(1-V182))</x:f>
        <x:v>5320.917</x:v>
      </x:c>
      <x:c r="X182" s="7" t="n">
        <x:f>IF(OR(ISBLANK(W182),ISBLANK(R182)),"",W182-R182)</x:f>
        <x:v>2279.4170000000004</x:v>
      </x:c>
      <x:c r="Y182" s="8" t="n">
        <x:f>IF(OR(ISBLANK(W182),W182=0),"",X182/W182)</x:f>
        <x:v>0.42838800154183954</x:v>
      </x:c>
      <x:c r="Z182" s="9" t="n">
        <x:f>IF(OR(ISBLANK(B182),ISBLANK(C182)),"",C182-B182)</x:f>
        <x:v>0</x:v>
      </x:c>
      <x:c r="AA182" t="str">
        <x:f>IF(ISBLANK(B182),"",TEXT(B182,"mmm"))</x:f>
        <x:v>Aug</x:v>
      </x:c>
      <x:c r="AB182" s="9" t="n">
        <x:f>IF(ISBLANK(B182),"",YEAR(B182))</x:f>
        <x:v>2024</x:v>
      </x:c>
      <x:c r="AC182" s="10" t="str"/>
      <x:c r="AD182" t="str">
        <x:f>IF(AND(U182="Completed",T182="Paid",ISERROR(SEARCH("INVALID",AC182)),ISERROR(SEARCH("REVIEW",AC182))),"Include","Exclude")</x:f>
        <x:v>Include</x:v>
      </x:c>
      <x:c r="AE182" t="str">
        <x:f>IF(T182="Refunded","Refunded","")</x:f>
      </x:c>
    </x:row>
    <x:row r="183">
      <x:c r="A183" t="str">
        <x:v>ORD-2025-10182</x:v>
      </x:c>
      <x:c r="B183" s="5" t="n">
        <x:v>45909</x:v>
      </x:c>
      <x:c r="C183" s="5" t="n">
        <x:v>45910</x:v>
      </x:c>
      <x:c r="D183" t="str">
        <x:v>CUST-5119</x:v>
      </x:c>
      <x:c r="E183" t="str">
        <x:v>Priya Menon</x:v>
      </x:c>
      <x:c r="F183" t="str">
        <x:v>Home Office</x:v>
      </x:c>
      <x:c r="G183" t="str">
        <x:v>South</x:v>
      </x:c>
      <x:c r="H183" t="str">
        <x:v>Tamil Nadu</x:v>
      </x:c>
      <x:c r="I183" t="str">
        <x:v>Chennai</x:v>
      </x:c>
      <x:c r="J183" t="str">
        <x:v>Office Supplies</x:v>
      </x:c>
      <x:c r="K183" t="str">
        <x:v>Art</x:v>
      </x:c>
      <x:c r="L183" t="str">
        <x:v>Pro Art 587</x:v>
      </x:c>
      <x:c r="M183" t="str">
        <x:v>Second Class</x:v>
      </x:c>
      <x:c r="N183" t="n">
        <x:v>4</x:v>
      </x:c>
      <x:c r="O183" s="7" t="n">
        <x:v>2551.45</x:v>
      </x:c>
      <x:c r="P183" s="6" t="n">
        <x:v>0</x:v>
      </x:c>
      <x:c r="Q183" s="7" t="n">
        <x:v>10205.8</x:v>
      </x:c>
      <x:c r="R183" s="7" t="n">
        <x:v>5986.31</x:v>
      </x:c>
      <x:c r="S183" s="7" t="n">
        <x:v>4219.49</x:v>
      </x:c>
      <x:c r="T183" t="str">
        <x:v>Paid</x:v>
      </x:c>
      <x:c r="U183" t="str">
        <x:v>Completed</x:v>
      </x:c>
      <x:c r="V183" s="6" t="n">
        <x:f>IF(ISBLANK(P183),IF(AND(ISNUMBER(N183),N183&gt;0,ISNUMBER(O183),O183&gt;=0,ISNUMBER(Q183),Q183&gt;=0,ISNUMBER(R183),R183&gt;=0,ISNUMBER(S183)),0,""),P183)</x:f>
        <x:v>0</x:v>
      </x:c>
      <x:c r="W183" s="7" t="n">
        <x:f>IF(ISBLANK(V183),"",N183*O183*(1-V183))</x:f>
        <x:v>10205.8</x:v>
      </x:c>
      <x:c r="X183" s="7" t="n">
        <x:f>IF(OR(ISBLANK(W183),ISBLANK(R183)),"",W183-R183)</x:f>
        <x:v>4219.489999999999</x:v>
      </x:c>
      <x:c r="Y183" s="8" t="n">
        <x:f>IF(OR(ISBLANK(W183),W183=0),"",X183/W183)</x:f>
        <x:v>0.4134403966372062</x:v>
      </x:c>
      <x:c r="Z183" s="9" t="n">
        <x:f>IF(OR(ISBLANK(B183),ISBLANK(C183)),"",C183-B183)</x:f>
        <x:v>1</x:v>
      </x:c>
      <x:c r="AA183" t="str">
        <x:f>IF(ISBLANK(B183),"",TEXT(B183,"mmm"))</x:f>
        <x:v>Sep</x:v>
      </x:c>
      <x:c r="AB183" s="9" t="n">
        <x:f>IF(ISBLANK(B183),"",YEAR(B183))</x:f>
        <x:v>2025</x:v>
      </x:c>
      <x:c r="AC183" s="10" t="str"/>
      <x:c r="AD183" t="str">
        <x:f>IF(AND(U183="Completed",T183="Paid",ISERROR(SEARCH("INVALID",AC183)),ISERROR(SEARCH("REVIEW",AC183))),"Include","Exclude")</x:f>
        <x:v>Include</x:v>
      </x:c>
      <x:c r="AE183" t="str">
        <x:f>IF(T183="Refunded","Refunded","")</x:f>
      </x:c>
    </x:row>
    <x:row r="184">
      <x:c r="A184" t="str">
        <x:v>ORD-2024-10183</x:v>
      </x:c>
      <x:c r="B184" s="5" t="n">
        <x:v>45581</x:v>
      </x:c>
      <x:c r="C184" s="5" t="n">
        <x:v>45581</x:v>
      </x:c>
      <x:c r="D184" t="str">
        <x:v>CUST-4121</x:v>
      </x:c>
      <x:c r="E184" t="str">
        <x:v>Ananya Rao</x:v>
      </x:c>
      <x:c r="F184" t="str">
        <x:v>Home Office</x:v>
      </x:c>
      <x:c r="G184" t="str">
        <x:v>East</x:v>
      </x:c>
      <x:c r="H184" t="str">
        <x:v>Bihar</x:v>
      </x:c>
      <x:c r="I184" t="str">
        <x:v>Patna</x:v>
      </x:c>
      <x:c r="J184" t="str">
        <x:v>Technology</x:v>
      </x:c>
      <x:c r="K184" t="str">
        <x:v>Machines</x:v>
      </x:c>
      <x:c r="L184" t="str">
        <x:v>Basic Machines 575</x:v>
      </x:c>
      <x:c r="M184" t="str">
        <x:v>Standard Class</x:v>
      </x:c>
      <x:c r="N184" t="n">
        <x:v>7</x:v>
      </x:c>
      <x:c r="O184" s="7" t="n">
        <x:v>775.77</x:v>
      </x:c>
      <x:c r="P184" s="6" t="n">
        <x:v>0</x:v>
      </x:c>
      <x:c r="Q184" s="7" t="n">
        <x:v>5430.39</x:v>
      </x:c>
      <x:c r="R184" s="7" t="n">
        <x:v>3707.66</x:v>
      </x:c>
      <x:c r="S184" s="7" t="n">
        <x:v>1722.73</x:v>
      </x:c>
      <x:c r="T184" t="str">
        <x:v>Paid</x:v>
      </x:c>
      <x:c r="U184" t="str">
        <x:v>Completed</x:v>
      </x:c>
      <x:c r="V184" s="6" t="n">
        <x:f>IF(ISBLANK(P184),IF(AND(ISNUMBER(N184),N184&gt;0,ISNUMBER(O184),O184&gt;=0,ISNUMBER(Q184),Q184&gt;=0,ISNUMBER(R184),R184&gt;=0,ISNUMBER(S184)),0,""),P184)</x:f>
        <x:v>0</x:v>
      </x:c>
      <x:c r="W184" s="7" t="n">
        <x:f>IF(ISBLANK(V184),"",N184*O184*(1-V184))</x:f>
        <x:v>5430.389999999999</x:v>
      </x:c>
      <x:c r="X184" s="7" t="n">
        <x:f>IF(OR(ISBLANK(W184),ISBLANK(R184)),"",W184-R184)</x:f>
        <x:v>1722.7299999999996</x:v>
      </x:c>
      <x:c r="Y184" s="8" t="n">
        <x:f>IF(OR(ISBLANK(W184),W184=0),"",X184/W184)</x:f>
        <x:v>0.31723872502711586</x:v>
      </x:c>
      <x:c r="Z184" s="9" t="n">
        <x:f>IF(OR(ISBLANK(B184),ISBLANK(C184)),"",C184-B184)</x:f>
        <x:v>0</x:v>
      </x:c>
      <x:c r="AA184" t="str">
        <x:f>IF(ISBLANK(B184),"",TEXT(B184,"mmm"))</x:f>
        <x:v>Oct</x:v>
      </x:c>
      <x:c r="AB184" s="9" t="n">
        <x:f>IF(ISBLANK(B184),"",YEAR(B184))</x:f>
        <x:v>2024</x:v>
      </x:c>
      <x:c r="AC184" s="10" t="str"/>
      <x:c r="AD184" t="str">
        <x:f>IF(AND(U184="Completed",T184="Paid",ISERROR(SEARCH("INVALID",AC184)),ISERROR(SEARCH("REVIEW",AC184))),"Include","Exclude")</x:f>
        <x:v>Include</x:v>
      </x:c>
      <x:c r="AE184" t="str">
        <x:f>IF(T184="Refunded","Refunded","")</x:f>
      </x:c>
    </x:row>
    <x:row r="185">
      <x:c r="A185" t="str">
        <x:v>ORD-2025-10184</x:v>
      </x:c>
      <x:c r="B185" s="5" t="n">
        <x:v>45832</x:v>
      </x:c>
      <x:c r="C185" s="5" t="n">
        <x:v>45835</x:v>
      </x:c>
      <x:c r="D185" t="str">
        <x:v>CUST-3366</x:v>
      </x:c>
      <x:c r="E185" t="str">
        <x:v>Vikram Iyer</x:v>
      </x:c>
      <x:c r="F185" t="str">
        <x:v>Home Office</x:v>
      </x:c>
      <x:c r="G185" t="str">
        <x:v>South</x:v>
      </x:c>
      <x:c r="H185" t="str">
        <x:v>Telangana</x:v>
      </x:c>
      <x:c r="I185" t="str">
        <x:v>Hyderabad</x:v>
      </x:c>
      <x:c r="J185" t="str">
        <x:v>Technology</x:v>
      </x:c>
      <x:c r="K185" t="str">
        <x:v>Copiers</x:v>
      </x:c>
      <x:c r="L185" t="str">
        <x:v>Elite Copiers 788</x:v>
      </x:c>
      <x:c r="M185" t="str">
        <x:v>Standard Class</x:v>
      </x:c>
      <x:c r="N185" t="n">
        <x:v>7</x:v>
      </x:c>
      <x:c r="O185" s="7" t="n">
        <x:v>2304.86</x:v>
      </x:c>
      <x:c r="P185" s="6" t="n">
        <x:v>0.2</x:v>
      </x:c>
      <x:c r="Q185" s="7" t="n">
        <x:v>12907.22</x:v>
      </x:c>
      <x:c r="R185" s="7" t="n">
        <x:v>8327.89</x:v>
      </x:c>
      <x:c r="S185" s="7" t="n">
        <x:v>4579.33</x:v>
      </x:c>
      <x:c r="T185" t="str">
        <x:v>Paid</x:v>
      </x:c>
      <x:c r="U185" t="str">
        <x:v>Returned</x:v>
      </x:c>
      <x:c r="V185" s="6" t="n">
        <x:f>IF(ISBLANK(P185),IF(AND(ISNUMBER(N185),N185&gt;0,ISNUMBER(O185),O185&gt;=0,ISNUMBER(Q185),Q185&gt;=0,ISNUMBER(R185),R185&gt;=0,ISNUMBER(S185)),0,""),P185)</x:f>
        <x:v>0.2</x:v>
      </x:c>
      <x:c r="W185" s="7" t="n">
        <x:f>IF(ISBLANK(V185),"",N185*O185*(1-V185))</x:f>
        <x:v>12907.216</x:v>
      </x:c>
      <x:c r="X185" s="7" t="n">
        <x:f>IF(OR(ISBLANK(W185),ISBLANK(R185)),"",W185-R185)</x:f>
        <x:v>4579.326000000001</x:v>
      </x:c>
      <x:c r="Y185" s="8" t="n">
        <x:f>IF(OR(ISBLANK(W185),W185=0),"",X185/W185)</x:f>
        <x:v>0.3547880503433119</x:v>
      </x:c>
      <x:c r="Z185" s="9" t="n">
        <x:f>IF(OR(ISBLANK(B185),ISBLANK(C185)),"",C185-B185)</x:f>
        <x:v>3</x:v>
      </x:c>
      <x:c r="AA185" t="str">
        <x:f>IF(ISBLANK(B185),"",TEXT(B185,"mmm"))</x:f>
        <x:v>Jun</x:v>
      </x:c>
      <x:c r="AB185" s="9" t="n">
        <x:f>IF(ISBLANK(B185),"",YEAR(B185))</x:f>
        <x:v>2025</x:v>
      </x:c>
      <x:c r="AC185" s="10" t="str"/>
      <x:c r="AD185" t="str">
        <x:f>IF(AND(U185="Completed",T185="Paid",ISERROR(SEARCH("INVALID",AC185)),ISERROR(SEARCH("REVIEW",AC185))),"Include","Exclude")</x:f>
        <x:v>Exclude</x:v>
      </x:c>
      <x:c r="AE185" t="str">
        <x:f>IF(T185="Refunded","Refunded","")</x:f>
      </x:c>
    </x:row>
    <x:row r="186">
      <x:c r="A186" t="str">
        <x:v>ORD-2024-10185</x:v>
      </x:c>
      <x:c r="B186" s="5" t="n">
        <x:v>45384</x:v>
      </x:c>
      <x:c r="C186" s="5" t="n">
        <x:v>45388</x:v>
      </x:c>
      <x:c r="D186" t="str">
        <x:v>CUST-1358</x:v>
      </x:c>
      <x:c r="E186" t="str">
        <x:v>Vikram Iyer</x:v>
      </x:c>
      <x:c r="F186" t="str">
        <x:v>Corporate</x:v>
      </x:c>
      <x:c r="G186" t="str">
        <x:v>West</x:v>
      </x:c>
      <x:c r="H186" t="str">
        <x:v>Madhya Pradesh</x:v>
      </x:c>
      <x:c r="I186" t="str">
        <x:v>Indore</x:v>
      </x:c>
      <x:c r="J186" t="str">
        <x:v>Furniture</x:v>
      </x:c>
      <x:c r="K186" t="str">
        <x:v>Bookcases</x:v>
      </x:c>
      <x:c r="L186" t="str">
        <x:v>Max Bookcases 472</x:v>
      </x:c>
      <x:c r="M186" t="str">
        <x:v>Standard Class</x:v>
      </x:c>
      <x:c r="N186" t="n">
        <x:v>2</x:v>
      </x:c>
      <x:c r="O186" s="7" t="n">
        <x:v>888.98</x:v>
      </x:c>
      <x:c r="P186" s="6" t="n">
        <x:v>0</x:v>
      </x:c>
      <x:c r="Q186" s="7" t="n">
        <x:v>1777.96</x:v>
      </x:c>
      <x:c r="R186" s="7" t="n">
        <x:v>1021.16</x:v>
      </x:c>
      <x:c r="S186" s="7" t="n">
        <x:v>756.8</x:v>
      </x:c>
      <x:c r="T186" t="str">
        <x:v>Refunded</x:v>
      </x:c>
      <x:c r="U186" t="str">
        <x:v>Returned</x:v>
      </x:c>
      <x:c r="V186" s="6" t="n">
        <x:f>IF(ISBLANK(P186),IF(AND(ISNUMBER(N186),N186&gt;0,ISNUMBER(O186),O186&gt;=0,ISNUMBER(Q186),Q186&gt;=0,ISNUMBER(R186),R186&gt;=0,ISNUMBER(S186)),0,""),P186)</x:f>
        <x:v>0</x:v>
      </x:c>
      <x:c r="W186" s="7" t="n">
        <x:f>IF(ISBLANK(V186),"",N186*O186*(1-V186))</x:f>
        <x:v>1777.96</x:v>
      </x:c>
      <x:c r="X186" s="7" t="n">
        <x:f>IF(OR(ISBLANK(W186),ISBLANK(R186)),"",W186-R186)</x:f>
        <x:v>756.8000000000001</x:v>
      </x:c>
      <x:c r="Y186" s="8" t="n">
        <x:f>IF(OR(ISBLANK(W186),W186=0),"",X186/W186)</x:f>
        <x:v>0.42565637022205227</x:v>
      </x:c>
      <x:c r="Z186" s="9" t="n">
        <x:f>IF(OR(ISBLANK(B186),ISBLANK(C186)),"",C186-B186)</x:f>
        <x:v>4</x:v>
      </x:c>
      <x:c r="AA186" t="str">
        <x:f>IF(ISBLANK(B186),"",TEXT(B186,"mmm"))</x:f>
        <x:v>Apr</x:v>
      </x:c>
      <x:c r="AB186" s="9" t="n">
        <x:f>IF(ISBLANK(B186),"",YEAR(B186))</x:f>
        <x:v>2024</x:v>
      </x:c>
      <x:c r="AC186" s="10" t="str">
        <x:v>REFUND: Summarize separately</x:v>
      </x:c>
      <x:c r="AD186" t="str">
        <x:f>IF(AND(U186="Completed",T186="Paid",ISERROR(SEARCH("INVALID",AC186)),ISERROR(SEARCH("REVIEW",AC186))),"Include","Exclude")</x:f>
        <x:v>Exclude</x:v>
      </x:c>
      <x:c r="AE186" t="str">
        <x:f>IF(T186="Refunded","Refunded","")</x:f>
        <x:v>Refunded</x:v>
      </x:c>
    </x:row>
    <x:row r="187">
      <x:c r="A187" t="str">
        <x:v>ORD-2024-10186</x:v>
      </x:c>
      <x:c r="B187" s="5" t="n">
        <x:v>45601</x:v>
      </x:c>
      <x:c r="C187" s="5" t="n">
        <x:v>45609</x:v>
      </x:c>
      <x:c r="D187" t="str">
        <x:v>CUST-4968</x:v>
      </x:c>
      <x:c r="E187" t="str">
        <x:v>Arjun Bose</x:v>
      </x:c>
      <x:c r="F187" t="str">
        <x:v>Consumer</x:v>
      </x:c>
      <x:c r="G187" t="str">
        <x:v>Unknown</x:v>
      </x:c>
      <x:c r="H187" t="str">
        <x:v>Punjab</x:v>
      </x:c>
      <x:c r="I187" t="str">
        <x:v>Ludhiana</x:v>
      </x:c>
      <x:c r="J187" t="str">
        <x:v>Office Supplies</x:v>
      </x:c>
      <x:c r="K187" t="str">
        <x:v>Labels</x:v>
      </x:c>
      <x:c r="L187" t="str">
        <x:v>Smart Labels 475</x:v>
      </x:c>
      <x:c r="M187" t="str">
        <x:v>Second Class</x:v>
      </x:c>
      <x:c r="N187" t="n">
        <x:v>2</x:v>
      </x:c>
      <x:c r="O187" s="7" t="n">
        <x:v>1003.17</x:v>
      </x:c>
      <x:c r="P187" s="6" t="n">
        <x:v>0.2</x:v>
      </x:c>
      <x:c r="Q187" s="7" t="n">
        <x:v>1605.07</x:v>
      </x:c>
      <x:c r="R187" s="7" t="n">
        <x:v>1337.28</x:v>
      </x:c>
      <x:c r="S187" s="7" t="n">
        <x:v>267.79</x:v>
      </x:c>
      <x:c r="T187" t="str">
        <x:v>Paid</x:v>
      </x:c>
      <x:c r="U187" t="str">
        <x:v>Completed</x:v>
      </x:c>
      <x:c r="V187" s="6" t="n">
        <x:f>IF(ISBLANK(P187),IF(AND(ISNUMBER(N187),N187&gt;0,ISNUMBER(O187),O187&gt;=0,ISNUMBER(Q187),Q187&gt;=0,ISNUMBER(R187),R187&gt;=0,ISNUMBER(S187)),0,""),P187)</x:f>
        <x:v>0.2</x:v>
      </x:c>
      <x:c r="W187" s="7" t="n">
        <x:f>IF(ISBLANK(V187),"",N187*O187*(1-V187))</x:f>
        <x:v>1605.0720000000001</x:v>
      </x:c>
      <x:c r="X187" s="7" t="n">
        <x:f>IF(OR(ISBLANK(W187),ISBLANK(R187)),"",W187-R187)</x:f>
        <x:v>267.79200000000014</x:v>
      </x:c>
      <x:c r="Y187" s="8" t="n">
        <x:f>IF(OR(ISBLANK(W187),W187=0),"",X187/W187)</x:f>
        <x:v>0.16684111366966722</x:v>
      </x:c>
      <x:c r="Z187" s="9" t="n">
        <x:f>IF(OR(ISBLANK(B187),ISBLANK(C187)),"",C187-B187)</x:f>
        <x:v>8</x:v>
      </x:c>
      <x:c r="AA187" t="str">
        <x:f>IF(ISBLANK(B187),"",TEXT(B187,"mmm"))</x:f>
        <x:v>Nov</x:v>
      </x:c>
      <x:c r="AB187" s="9" t="n">
        <x:f>IF(ISBLANK(B187),"",YEAR(B187))</x:f>
        <x:v>2024</x:v>
      </x:c>
      <x:c r="AC187" s="10" t="str">
        <x:v>FLAG: Missing region filled as Unknown</x:v>
      </x:c>
      <x:c r="AD187" t="str">
        <x:f>IF(AND(U187="Completed",T187="Paid",ISERROR(SEARCH("INVALID",AC187)),ISERROR(SEARCH("REVIEW",AC187))),"Include","Exclude")</x:f>
        <x:v>Include</x:v>
      </x:c>
      <x:c r="AE187" t="str">
        <x:f>IF(T187="Refunded","Refunded","")</x:f>
      </x:c>
    </x:row>
    <x:row r="188">
      <x:c r="A188" t="str">
        <x:v>ORD-2024-10187</x:v>
      </x:c>
      <x:c r="B188" s="5" t="n">
        <x:v>45492</x:v>
      </x:c>
      <x:c r="C188" s="5" t="n">
        <x:v>45493</x:v>
      </x:c>
      <x:c r="D188" t="str">
        <x:v>CUST-2778</x:v>
      </x:c>
      <x:c r="E188" t="str">
        <x:v>Vikram Iyer</x:v>
      </x:c>
      <x:c r="F188" t="str">
        <x:v>Consumer</x:v>
      </x:c>
      <x:c r="G188" t="str">
        <x:v>South</x:v>
      </x:c>
      <x:c r="H188" t="str">
        <x:v>Tamil Nadu</x:v>
      </x:c>
      <x:c r="I188" t="str">
        <x:v>Chennai</x:v>
      </x:c>
      <x:c r="J188" t="str">
        <x:v>Furniture</x:v>
      </x:c>
      <x:c r="K188" t="str">
        <x:v>Tables</x:v>
      </x:c>
      <x:c r="L188" t="str">
        <x:v>Basic Tables 417</x:v>
      </x:c>
      <x:c r="M188" t="str">
        <x:v>First Class</x:v>
      </x:c>
      <x:c r="N188" t="n">
        <x:v>7</x:v>
      </x:c>
      <x:c r="O188" s="7" t="n">
        <x:v>3608.43</x:v>
      </x:c>
      <x:c r="P188" s="6" t="n">
        <x:v>0.05</x:v>
      </x:c>
      <x:c r="Q188" s="7" t="n">
        <x:v>23996.06</x:v>
      </x:c>
      <x:c r="R188" s="7" t="n">
        <x:v>20167.28</x:v>
      </x:c>
      <x:c r="S188" s="7" t="n">
        <x:v>3828.78</x:v>
      </x:c>
      <x:c r="T188" t="str">
        <x:v>Paid</x:v>
      </x:c>
      <x:c r="U188" t="str">
        <x:v>Completed</x:v>
      </x:c>
      <x:c r="V188" s="6" t="n">
        <x:f>IF(ISBLANK(P188),IF(AND(ISNUMBER(N188),N188&gt;0,ISNUMBER(O188),O188&gt;=0,ISNUMBER(Q188),Q188&gt;=0,ISNUMBER(R188),R188&gt;=0,ISNUMBER(S188)),0,""),P188)</x:f>
        <x:v>0.05</x:v>
      </x:c>
      <x:c r="W188" s="7" t="n">
        <x:f>IF(ISBLANK(V188),"",N188*O188*(1-V188))</x:f>
        <x:v>23996.059499999996</x:v>
      </x:c>
      <x:c r="X188" s="7" t="n">
        <x:f>IF(OR(ISBLANK(W188),ISBLANK(R188)),"",W188-R188)</x:f>
        <x:v>3828.779499999997</x:v>
      </x:c>
      <x:c r="Y188" s="8" t="n">
        <x:f>IF(OR(ISBLANK(W188),W188=0),"",X188/W188)</x:f>
        <x:v>0.15955867670689838</x:v>
      </x:c>
      <x:c r="Z188" s="9" t="n">
        <x:f>IF(OR(ISBLANK(B188),ISBLANK(C188)),"",C188-B188)</x:f>
        <x:v>1</x:v>
      </x:c>
      <x:c r="AA188" t="str">
        <x:f>IF(ISBLANK(B188),"",TEXT(B188,"mmm"))</x:f>
        <x:v>Jul</x:v>
      </x:c>
      <x:c r="AB188" s="9" t="n">
        <x:f>IF(ISBLANK(B188),"",YEAR(B188))</x:f>
        <x:v>2024</x:v>
      </x:c>
      <x:c r="AC188" s="10" t="str"/>
      <x:c r="AD188" t="str">
        <x:f>IF(AND(U188="Completed",T188="Paid",ISERROR(SEARCH("INVALID",AC188)),ISERROR(SEARCH("REVIEW",AC188))),"Include","Exclude")</x:f>
        <x:v>Include</x:v>
      </x:c>
      <x:c r="AE188" t="str">
        <x:f>IF(T188="Refunded","Refunded","")</x:f>
      </x:c>
    </x:row>
    <x:row r="189">
      <x:c r="A189" t="str">
        <x:v>ORD-2025-10188</x:v>
      </x:c>
      <x:c r="B189" s="5" t="n">
        <x:v>45778</x:v>
      </x:c>
      <x:c r="C189" s="5" t="n">
        <x:v>45779</x:v>
      </x:c>
      <x:c r="D189" t="str">
        <x:v>CUST-3109</x:v>
      </x:c>
      <x:c r="E189" t="str">
        <x:v>Mira Das</x:v>
      </x:c>
      <x:c r="F189" t="str">
        <x:v>Consumer</x:v>
      </x:c>
      <x:c r="G189" t="str">
        <x:v>West</x:v>
      </x:c>
      <x:c r="H189" t="str">
        <x:v>Madhya Pradesh</x:v>
      </x:c>
      <x:c r="I189" t="str">
        <x:v>Indore</x:v>
      </x:c>
      <x:c r="J189" t="str">
        <x:v>Furniture</x:v>
      </x:c>
      <x:c r="K189" t="str">
        <x:v>Chairs</x:v>
      </x:c>
      <x:c r="L189" t="str">
        <x:v>Pro Chairs 844</x:v>
      </x:c>
      <x:c r="M189" t="str">
        <x:v>Same Day</x:v>
      </x:c>
      <x:c r="N189" t="n">
        <x:v>3</x:v>
      </x:c>
      <x:c r="O189" s="7" t="n">
        <x:v>2905.74</x:v>
      </x:c>
      <x:c r="P189" s="6" t="n">
        <x:v>0</x:v>
      </x:c>
      <x:c r="Q189" s="7" t="n">
        <x:v>8717.22</x:v>
      </x:c>
      <x:c r="R189" s="7" t="n">
        <x:v>6215.96</x:v>
      </x:c>
      <x:c r="S189" s="7" t="n">
        <x:v>2501.26</x:v>
      </x:c>
      <x:c r="T189" t="str">
        <x:v>Paid</x:v>
      </x:c>
      <x:c r="U189" t="str">
        <x:v>Returned</x:v>
      </x:c>
      <x:c r="V189" s="6" t="n">
        <x:f>IF(ISBLANK(P189),IF(AND(ISNUMBER(N189),N189&gt;0,ISNUMBER(O189),O189&gt;=0,ISNUMBER(Q189),Q189&gt;=0,ISNUMBER(R189),R189&gt;=0,ISNUMBER(S189)),0,""),P189)</x:f>
        <x:v>0</x:v>
      </x:c>
      <x:c r="W189" s="7" t="n">
        <x:f>IF(ISBLANK(V189),"",N189*O189*(1-V189))</x:f>
        <x:v>8717.22</x:v>
      </x:c>
      <x:c r="X189" s="7" t="n">
        <x:f>IF(OR(ISBLANK(W189),ISBLANK(R189)),"",W189-R189)</x:f>
        <x:v>2501.2599999999993</x:v>
      </x:c>
      <x:c r="Y189" s="8" t="n">
        <x:f>IF(OR(ISBLANK(W189),W189=0),"",X189/W189)</x:f>
        <x:v>0.2869332195355858</x:v>
      </x:c>
      <x:c r="Z189" s="9" t="n">
        <x:f>IF(OR(ISBLANK(B189),ISBLANK(C189)),"",C189-B189)</x:f>
        <x:v>1</x:v>
      </x:c>
      <x:c r="AA189" t="str">
        <x:f>IF(ISBLANK(B189),"",TEXT(B189,"mmm"))</x:f>
        <x:v>May</x:v>
      </x:c>
      <x:c r="AB189" s="9" t="n">
        <x:f>IF(ISBLANK(B189),"",YEAR(B189))</x:f>
        <x:v>2025</x:v>
      </x:c>
      <x:c r="AC189" s="10" t="str"/>
      <x:c r="AD189" t="str">
        <x:f>IF(AND(U189="Completed",T189="Paid",ISERROR(SEARCH("INVALID",AC189)),ISERROR(SEARCH("REVIEW",AC189))),"Include","Exclude")</x:f>
        <x:v>Exclude</x:v>
      </x:c>
      <x:c r="AE189" t="str">
        <x:f>IF(T189="Refunded","Refunded","")</x:f>
      </x:c>
    </x:row>
    <x:row r="190">
      <x:c r="A190" t="str">
        <x:v>ORD-2025-10189</x:v>
      </x:c>
      <x:c r="B190" s="5" t="n">
        <x:v>45798</x:v>
      </x:c>
      <x:c r="C190" s="5" t="n">
        <x:v>45805</x:v>
      </x:c>
      <x:c r="D190" t="str">
        <x:v>CUST-3422</x:v>
      </x:c>
      <x:c r="E190" t="str">
        <x:v>Priya Menon</x:v>
      </x:c>
      <x:c r="F190" t="str">
        <x:v>Corporate</x:v>
      </x:c>
      <x:c r="G190" t="str">
        <x:v>East</x:v>
      </x:c>
      <x:c r="H190" t="str">
        <x:v>West Bengal</x:v>
      </x:c>
      <x:c r="I190" t="str">
        <x:v>Kolkata</x:v>
      </x:c>
      <x:c r="J190" t="str">
        <x:v>Furniture</x:v>
      </x:c>
      <x:c r="K190" t="str">
        <x:v>Bookcases</x:v>
      </x:c>
      <x:c r="L190" t="str">
        <x:v>Elite Bookcases 883</x:v>
      </x:c>
      <x:c r="M190" t="str">
        <x:v>Same Day</x:v>
      </x:c>
      <x:c r="N190" t="n">
        <x:v>2</x:v>
      </x:c>
      <x:c r="O190" s="7" t="n">
        <x:v>3559.57</x:v>
      </x:c>
      <x:c r="P190" s="6" t="n">
        <x:v>0.1</x:v>
      </x:c>
      <x:c r="Q190" s="7" t="n">
        <x:v>6553.95</x:v>
      </x:c>
      <x:c r="R190" s="7" t="n">
        <x:v>4923.09</x:v>
      </x:c>
      <x:c r="S190" s="7" t="n">
        <x:v>1484.14</x:v>
      </x:c>
      <x:c r="T190" t="str">
        <x:v>Paid</x:v>
      </x:c>
      <x:c r="U190" t="str">
        <x:v>Completed</x:v>
      </x:c>
      <x:c r="V190" s="6" t="n">
        <x:f>IF(ISBLANK(P190),IF(AND(ISNUMBER(N190),N190&gt;0,ISNUMBER(O190),O190&gt;=0,ISNUMBER(Q190),Q190&gt;=0,ISNUMBER(R190),R190&gt;=0,ISNUMBER(S190)),0,""),P190)</x:f>
        <x:v>0.1</x:v>
      </x:c>
      <x:c r="W190" s="7" t="n">
        <x:f>IF(ISBLANK(V190),"",N190*O190*(1-V190))</x:f>
        <x:v>6407.226000000001</x:v>
      </x:c>
      <x:c r="X190" s="7" t="n">
        <x:f>IF(OR(ISBLANK(W190),ISBLANK(R190)),"",W190-R190)</x:f>
        <x:v>1484.1360000000004</x:v>
      </x:c>
      <x:c r="Y190" s="8" t="n">
        <x:f>IF(OR(ISBLANK(W190),W190=0),"",X190/W190)</x:f>
        <x:v>0.2316347199240358</x:v>
      </x:c>
      <x:c r="Z190" s="9" t="n">
        <x:f>IF(OR(ISBLANK(B190),ISBLANK(C190)),"",C190-B190)</x:f>
        <x:v>7</x:v>
      </x:c>
      <x:c r="AA190" t="str">
        <x:f>IF(ISBLANK(B190),"",TEXT(B190,"mmm"))</x:f>
        <x:v>May</x:v>
      </x:c>
      <x:c r="AB190" s="9" t="n">
        <x:f>IF(ISBLANK(B190),"",YEAR(B190))</x:f>
        <x:v>2025</x:v>
      </x:c>
      <x:c r="AC190" s="10" t="str"/>
      <x:c r="AD190" t="str">
        <x:f>IF(AND(U190="Completed",T190="Paid",ISERROR(SEARCH("INVALID",AC190)),ISERROR(SEARCH("REVIEW",AC190))),"Include","Exclude")</x:f>
        <x:v>Include</x:v>
      </x:c>
      <x:c r="AE190" t="str">
        <x:f>IF(T190="Refunded","Refunded","")</x:f>
      </x:c>
    </x:row>
    <x:row r="191">
      <x:c r="A191" t="str">
        <x:v>ORD-2025-10190</x:v>
      </x:c>
      <x:c r="B191" s="5" t="n">
        <x:v>45783</x:v>
      </x:c>
      <x:c r="C191" s="5" t="n">
        <x:v>45784</x:v>
      </x:c>
      <x:c r="D191" t="str">
        <x:v>CUST-3375</x:v>
      </x:c>
      <x:c r="E191" t="str">
        <x:v>Arjun Bose</x:v>
      </x:c>
      <x:c r="F191" t="str">
        <x:v>Consumer</x:v>
      </x:c>
      <x:c r="G191" t="str">
        <x:v>West</x:v>
      </x:c>
      <x:c r="H191" t="str">
        <x:v>Rajasthan</x:v>
      </x:c>
      <x:c r="I191" t="str">
        <x:v>Udaipur</x:v>
      </x:c>
      <x:c r="J191" t="str">
        <x:v>Furniture</x:v>
      </x:c>
      <x:c r="K191" t="str">
        <x:v>Bookcases</x:v>
      </x:c>
      <x:c r="L191" t="str">
        <x:v>Basic Bookcases 754</x:v>
      </x:c>
      <x:c r="M191" t="str">
        <x:v>First Class</x:v>
      </x:c>
      <x:c r="N191" t="n">
        <x:v>9</x:v>
      </x:c>
      <x:c r="O191" s="7" t="n">
        <x:v>3318.24</x:v>
      </x:c>
      <x:c r="P191" s="6"/>
      <x:c r="Q191" s="7" t="n">
        <x:v>25384.54</x:v>
      </x:c>
      <x:c r="R191" s="7" t="n">
        <x:v>16872.39</x:v>
      </x:c>
      <x:c r="S191" s="7" t="n">
        <x:v>8512.15</x:v>
      </x:c>
      <x:c r="T191" t="str">
        <x:v>Paid</x:v>
      </x:c>
      <x:c r="U191" t="str">
        <x:v>Completed</x:v>
      </x:c>
      <x:c r="V191" s="6" t="n">
        <x:f>IF(ISBLANK(P191),IF(AND(ISNUMBER(N191),N191&gt;0,ISNUMBER(O191),O191&gt;=0,ISNUMBER(Q191),Q191&gt;=0,ISNUMBER(R191),R191&gt;=0,ISNUMBER(S191)),0,""),P191)</x:f>
        <x:v>0</x:v>
      </x:c>
      <x:c r="W191" s="7" t="n">
        <x:f>IF(ISBLANK(V191),"",N191*O191*(1-V191))</x:f>
        <x:v>29864.159999999996</x:v>
      </x:c>
      <x:c r="X191" s="7" t="n">
        <x:f>IF(OR(ISBLANK(W191),ISBLANK(R191)),"",W191-R191)</x:f>
        <x:v>12991.769999999997</x:v>
      </x:c>
      <x:c r="Y191" s="8" t="n">
        <x:f>IF(OR(ISBLANK(W191),W191=0),"",X191/W191)</x:f>
        <x:v>0.4350288104537345</x:v>
      </x:c>
      <x:c r="Z191" s="9" t="n">
        <x:f>IF(OR(ISBLANK(B191),ISBLANK(C191)),"",C191-B191)</x:f>
        <x:v>1</x:v>
      </x:c>
      <x:c r="AA191" t="str">
        <x:f>IF(ISBLANK(B191),"",TEXT(B191,"mmm"))</x:f>
        <x:v>May</x:v>
      </x:c>
      <x:c r="AB191" s="9" t="n">
        <x:f>IF(ISBLANK(B191),"",YEAR(B191))</x:f>
        <x:v>2025</x:v>
      </x:c>
      <x:c r="AC191" s="10" t="str">
        <x:v>FLAG: Missing discount treated as 0</x:v>
      </x:c>
      <x:c r="AD191" t="str">
        <x:f>IF(AND(U191="Completed",T191="Paid",ISERROR(SEARCH("INVALID",AC191)),ISERROR(SEARCH("REVIEW",AC191))),"Include","Exclude")</x:f>
        <x:v>Include</x:v>
      </x:c>
      <x:c r="AE191" t="str">
        <x:f>IF(T191="Refunded","Refunded","")</x:f>
      </x:c>
    </x:row>
    <x:row r="192">
      <x:c r="A192" t="str">
        <x:v>ORD-2025-10191</x:v>
      </x:c>
      <x:c r="B192" s="5" t="n">
        <x:v>45767</x:v>
      </x:c>
      <x:c r="C192" s="5" t="n">
        <x:v>45768</x:v>
      </x:c>
      <x:c r="D192" t="str">
        <x:v>CUST-5138</x:v>
      </x:c>
      <x:c r="E192" t="str">
        <x:v>Aditi Sen</x:v>
      </x:c>
      <x:c r="F192" t="str">
        <x:v>Consumer</x:v>
      </x:c>
      <x:c r="G192" t="str">
        <x:v>South</x:v>
      </x:c>
      <x:c r="H192" t="str">
        <x:v>Tamil Nadu</x:v>
      </x:c>
      <x:c r="I192" t="str">
        <x:v>Chennai</x:v>
      </x:c>
      <x:c r="J192" t="str">
        <x:v>Office Supplies</x:v>
      </x:c>
      <x:c r="K192" t="str">
        <x:v>Storage</x:v>
      </x:c>
      <x:c r="L192" t="str">
        <x:v>Eco Storage 158</x:v>
      </x:c>
      <x:c r="M192" t="str">
        <x:v>First Class</x:v>
      </x:c>
      <x:c r="N192" t="n">
        <x:v>3</x:v>
      </x:c>
      <x:c r="O192" s="7" t="n">
        <x:v>540.09</x:v>
      </x:c>
      <x:c r="P192" s="6" t="n">
        <x:v>0.1</x:v>
      </x:c>
      <x:c r="Q192" s="7" t="n">
        <x:v>1458.24</x:v>
      </x:c>
      <x:c r="R192" s="7" t="n">
        <x:v>943.32</x:v>
      </x:c>
      <x:c r="S192" s="7" t="n">
        <x:v>514.92</x:v>
      </x:c>
      <x:c r="T192" t="str">
        <x:v>Paid</x:v>
      </x:c>
      <x:c r="U192" t="str">
        <x:v>Completed</x:v>
      </x:c>
      <x:c r="V192" s="6" t="n">
        <x:f>IF(ISBLANK(P192),IF(AND(ISNUMBER(N192),N192&gt;0,ISNUMBER(O192),O192&gt;=0,ISNUMBER(Q192),Q192&gt;=0,ISNUMBER(R192),R192&gt;=0,ISNUMBER(S192)),0,""),P192)</x:f>
        <x:v>0.1</x:v>
      </x:c>
      <x:c r="W192" s="7" t="n">
        <x:f>IF(ISBLANK(V192),"",N192*O192*(1-V192))</x:f>
        <x:v>1458.243</x:v>
      </x:c>
      <x:c r="X192" s="7" t="n">
        <x:f>IF(OR(ISBLANK(W192),ISBLANK(R192)),"",W192-R192)</x:f>
        <x:v>514.9229999999999</x:v>
      </x:c>
      <x:c r="Y192" s="8" t="n">
        <x:f>IF(OR(ISBLANK(W192),W192=0),"",X192/W192)</x:f>
        <x:v>0.3531119299046866</x:v>
      </x:c>
      <x:c r="Z192" s="9" t="n">
        <x:f>IF(OR(ISBLANK(B192),ISBLANK(C192)),"",C192-B192)</x:f>
        <x:v>1</x:v>
      </x:c>
      <x:c r="AA192" t="str">
        <x:f>IF(ISBLANK(B192),"",TEXT(B192,"mmm"))</x:f>
        <x:v>Apr</x:v>
      </x:c>
      <x:c r="AB192" s="9" t="n">
        <x:f>IF(ISBLANK(B192),"",YEAR(B192))</x:f>
        <x:v>2025</x:v>
      </x:c>
      <x:c r="AC192" s="10" t="str"/>
      <x:c r="AD192" t="str">
        <x:f>IF(AND(U192="Completed",T192="Paid",ISERROR(SEARCH("INVALID",AC192)),ISERROR(SEARCH("REVIEW",AC192))),"Include","Exclude")</x:f>
        <x:v>Include</x:v>
      </x:c>
      <x:c r="AE192" t="str">
        <x:f>IF(T192="Refunded","Refunded","")</x:f>
      </x:c>
    </x:row>
    <x:row r="193">
      <x:c r="A193" t="str">
        <x:v>ORD-2024-10192</x:v>
      </x:c>
      <x:c r="B193" s="5" t="n">
        <x:v>45584</x:v>
      </x:c>
      <x:c r="C193" s="5" t="n">
        <x:v>45589</x:v>
      </x:c>
      <x:c r="D193" t="str">
        <x:v>CUST-7410</x:v>
      </x:c>
      <x:c r="E193" t="str">
        <x:v>Sneha Kapoor</x:v>
      </x:c>
      <x:c r="F193" t="str">
        <x:v>Small Business</x:v>
      </x:c>
      <x:c r="G193" t="str">
        <x:v>South</x:v>
      </x:c>
      <x:c r="H193" t="str">
        <x:v>Tamil Nadu</x:v>
      </x:c>
      <x:c r="I193" t="str">
        <x:v>Chennai</x:v>
      </x:c>
      <x:c r="J193" t="str">
        <x:v>Furniture</x:v>
      </x:c>
      <x:c r="K193" t="str">
        <x:v>Bookcases</x:v>
      </x:c>
      <x:c r="L193" t="str">
        <x:v>Prime Bookcases 602</x:v>
      </x:c>
      <x:c r="M193" t="str">
        <x:v>Second Class</x:v>
      </x:c>
      <x:c r="N193" t="n">
        <x:v>6</x:v>
      </x:c>
      <x:c r="O193" s="7" t="n">
        <x:v>4308.4</x:v>
      </x:c>
      <x:c r="P193" s="6" t="n">
        <x:v>0.65</x:v>
      </x:c>
      <x:c r="Q193" s="7" t="n">
        <x:v>25850.4</x:v>
      </x:c>
      <x:c r="R193" s="7" t="n">
        <x:v>19397.68</x:v>
      </x:c>
      <x:c r="S193" s="7" t="n">
        <x:v>6452.72</x:v>
      </x:c>
      <x:c r="T193" t="str">
        <x:v>Paid</x:v>
      </x:c>
      <x:c r="U193" t="str">
        <x:v>Completed</x:v>
      </x:c>
      <x:c r="V193" s="6" t="n">
        <x:f>IF(ISBLANK(P193),IF(AND(ISNUMBER(N193),N193&gt;0,ISNUMBER(O193),O193&gt;=0,ISNUMBER(Q193),Q193&gt;=0,ISNUMBER(R193),R193&gt;=0,ISNUMBER(S193)),0,""),P193)</x:f>
        <x:v>0.65</x:v>
      </x:c>
      <x:c r="W193" s="7" t="n">
        <x:f>IF(ISBLANK(V193),"",N193*O193*(1-V193))</x:f>
        <x:v>9047.64</x:v>
      </x:c>
      <x:c r="X193" s="7" t="n">
        <x:f>IF(OR(ISBLANK(W193),ISBLANK(R193)),"",W193-R193)</x:f>
        <x:v>-10350.04</x:v>
      </x:c>
      <x:c r="Y193" s="8" t="n">
        <x:f>IF(OR(ISBLANK(W193),W193=0),"",X193/W193)</x:f>
        <x:v>-1.1439491403283069</x:v>
      </x:c>
      <x:c r="Z193" s="9" t="n">
        <x:f>IF(OR(ISBLANK(B193),ISBLANK(C193)),"",C193-B193)</x:f>
        <x:v>5</x:v>
      </x:c>
      <x:c r="AA193" t="str">
        <x:f>IF(ISBLANK(B193),"",TEXT(B193,"mmm"))</x:f>
        <x:v>Oct</x:v>
      </x:c>
      <x:c r="AB193" s="9" t="n">
        <x:f>IF(ISBLANK(B193),"",YEAR(B193))</x:f>
        <x:v>2024</x:v>
      </x:c>
      <x:c r="AC193" s="10" t="str">
        <x:v>INVALID: Discount above allowed range</x:v>
      </x:c>
      <x:c r="AD193" t="str">
        <x:f>IF(AND(U193="Completed",T193="Paid",ISERROR(SEARCH("INVALID",AC193)),ISERROR(SEARCH("REVIEW",AC193))),"Include","Exclude")</x:f>
        <x:v>Exclude</x:v>
      </x:c>
      <x:c r="AE193" t="str">
        <x:f>IF(T193="Refunded","Refunded","")</x:f>
      </x:c>
    </x:row>
    <x:row r="194">
      <x:c r="A194" t="str">
        <x:v>ORD-2024-10193</x:v>
      </x:c>
      <x:c r="B194" s="5" t="n">
        <x:v>45635</x:v>
      </x:c>
      <x:c r="C194" s="5" t="n">
        <x:v>45642</x:v>
      </x:c>
      <x:c r="D194" t="str">
        <x:v>CUST-7115</x:v>
      </x:c>
      <x:c r="E194" t="str">
        <x:v>Isha Nair</x:v>
      </x:c>
      <x:c r="F194" t="str">
        <x:v>Home Office</x:v>
      </x:c>
      <x:c r="G194" t="str">
        <x:v>West</x:v>
      </x:c>
      <x:c r="H194" t="str">
        <x:v>Gujarat</x:v>
      </x:c>
      <x:c r="I194" t="str">
        <x:v>Ahmedabad</x:v>
      </x:c>
      <x:c r="J194" t="str">
        <x:v>Furniture</x:v>
      </x:c>
      <x:c r="K194" t="str">
        <x:v>Chairs</x:v>
      </x:c>
      <x:c r="L194" t="str">
        <x:v>Eco Chairs 438</x:v>
      </x:c>
      <x:c r="M194" t="str">
        <x:v>First Class</x:v>
      </x:c>
      <x:c r="N194" t="n">
        <x:v>4</x:v>
      </x:c>
      <x:c r="O194" s="7" t="n">
        <x:v>2191.03</x:v>
      </x:c>
      <x:c r="P194" s="6" t="n">
        <x:v>0</x:v>
      </x:c>
      <x:c r="Q194" s="7" t="n">
        <x:v>8764.12</x:v>
      </x:c>
      <x:c r="R194" s="7" t="n">
        <x:v>7220.05</x:v>
      </x:c>
      <x:c r="S194" s="7" t="n">
        <x:v>1544.07</x:v>
      </x:c>
      <x:c r="T194" t="str">
        <x:v>Paid</x:v>
      </x:c>
      <x:c r="U194" t="str">
        <x:v>Completed</x:v>
      </x:c>
      <x:c r="V194" s="6" t="n">
        <x:f>IF(ISBLANK(P194),IF(AND(ISNUMBER(N194),N194&gt;0,ISNUMBER(O194),O194&gt;=0,ISNUMBER(Q194),Q194&gt;=0,ISNUMBER(R194),R194&gt;=0,ISNUMBER(S194)),0,""),P194)</x:f>
        <x:v>0</x:v>
      </x:c>
      <x:c r="W194" s="7" t="n">
        <x:f>IF(ISBLANK(V194),"",N194*O194*(1-V194))</x:f>
        <x:v>8764.12</x:v>
      </x:c>
      <x:c r="X194" s="7" t="n">
        <x:f>IF(OR(ISBLANK(W194),ISBLANK(R194)),"",W194-R194)</x:f>
        <x:v>1544.0700000000006</x:v>
      </x:c>
      <x:c r="Y194" s="8" t="n">
        <x:f>IF(OR(ISBLANK(W194),W194=0),"",X194/W194)</x:f>
        <x:v>0.17618083732308554</x:v>
      </x:c>
      <x:c r="Z194" s="9" t="n">
        <x:f>IF(OR(ISBLANK(B194),ISBLANK(C194)),"",C194-B194)</x:f>
        <x:v>7</x:v>
      </x:c>
      <x:c r="AA194" t="str">
        <x:f>IF(ISBLANK(B194),"",TEXT(B194,"mmm"))</x:f>
        <x:v>Dec</x:v>
      </x:c>
      <x:c r="AB194" s="9" t="n">
        <x:f>IF(ISBLANK(B194),"",YEAR(B194))</x:f>
        <x:v>2024</x:v>
      </x:c>
      <x:c r="AC194" s="10" t="str"/>
      <x:c r="AD194" t="str">
        <x:f>IF(AND(U194="Completed",T194="Paid",ISERROR(SEARCH("INVALID",AC194)),ISERROR(SEARCH("REVIEW",AC194))),"Include","Exclude")</x:f>
        <x:v>Include</x:v>
      </x:c>
      <x:c r="AE194" t="str">
        <x:f>IF(T194="Refunded","Refunded","")</x:f>
      </x:c>
    </x:row>
    <x:row r="195">
      <x:c r="A195" t="str">
        <x:v>ORD-2024-10194</x:v>
      </x:c>
      <x:c r="B195" s="5" t="n">
        <x:v>45466</x:v>
      </x:c>
      <x:c r="C195" s="5" t="n">
        <x:v>45471</x:v>
      </x:c>
      <x:c r="D195" t="str">
        <x:v>CUST-9853</x:v>
      </x:c>
      <x:c r="E195" t="str">
        <x:v>Priya Menon</x:v>
      </x:c>
      <x:c r="F195" t="str">
        <x:v>Small Business</x:v>
      </x:c>
      <x:c r="G195" t="str">
        <x:v>North</x:v>
      </x:c>
      <x:c r="H195" t="str">
        <x:v>Punjab</x:v>
      </x:c>
      <x:c r="I195" t="str">
        <x:v>Ludhiana</x:v>
      </x:c>
      <x:c r="J195" t="str">
        <x:v>Technology</x:v>
      </x:c>
      <x:c r="K195" t="str">
        <x:v>Copiers</x:v>
      </x:c>
      <x:c r="L195" t="str">
        <x:v>Prime Copiers 142</x:v>
      </x:c>
      <x:c r="M195" t="str">
        <x:v>Same Day</x:v>
      </x:c>
      <x:c r="N195" t="n">
        <x:v>6</x:v>
      </x:c>
      <x:c r="O195" s="7" t="n">
        <x:v>1956.63</x:v>
      </x:c>
      <x:c r="P195" s="6" t="n">
        <x:v>0.2</x:v>
      </x:c>
      <x:c r="Q195" s="7" t="n">
        <x:v>9391.82</x:v>
      </x:c>
      <x:c r="R195" s="7" t="n">
        <x:v>6013.22</x:v>
      </x:c>
      <x:c r="S195" s="7" t="n">
        <x:v>3378.6</x:v>
      </x:c>
      <x:c r="T195" t="str">
        <x:v>Refunded</x:v>
      </x:c>
      <x:c r="U195" t="str">
        <x:v>Returned</x:v>
      </x:c>
      <x:c r="V195" s="6" t="n">
        <x:f>IF(ISBLANK(P195),IF(AND(ISNUMBER(N195),N195&gt;0,ISNUMBER(O195),O195&gt;=0,ISNUMBER(Q195),Q195&gt;=0,ISNUMBER(R195),R195&gt;=0,ISNUMBER(S195)),0,""),P195)</x:f>
        <x:v>0.2</x:v>
      </x:c>
      <x:c r="W195" s="7" t="n">
        <x:f>IF(ISBLANK(V195),"",N195*O195*(1-V195))</x:f>
        <x:v>9391.824</x:v>
      </x:c>
      <x:c r="X195" s="7" t="n">
        <x:f>IF(OR(ISBLANK(W195),ISBLANK(R195)),"",W195-R195)</x:f>
        <x:v>3378.6040000000003</x:v>
      </x:c>
      <x:c r="Y195" s="8" t="n">
        <x:f>IF(OR(ISBLANK(W195),W195=0),"",X195/W195)</x:f>
        <x:v>0.359738853709354</x:v>
      </x:c>
      <x:c r="Z195" s="9" t="n">
        <x:f>IF(OR(ISBLANK(B195),ISBLANK(C195)),"",C195-B195)</x:f>
        <x:v>5</x:v>
      </x:c>
      <x:c r="AA195" t="str">
        <x:f>IF(ISBLANK(B195),"",TEXT(B195,"mmm"))</x:f>
        <x:v>Jun</x:v>
      </x:c>
      <x:c r="AB195" s="9" t="n">
        <x:f>IF(ISBLANK(B195),"",YEAR(B195))</x:f>
        <x:v>2024</x:v>
      </x:c>
      <x:c r="AC195" s="10" t="str">
        <x:v>REFUND: Summarize separately</x:v>
      </x:c>
      <x:c r="AD195" t="str">
        <x:f>IF(AND(U195="Completed",T195="Paid",ISERROR(SEARCH("INVALID",AC195)),ISERROR(SEARCH("REVIEW",AC195))),"Include","Exclude")</x:f>
        <x:v>Exclude</x:v>
      </x:c>
      <x:c r="AE195" t="str">
        <x:f>IF(T195="Refunded","Refunded","")</x:f>
        <x:v>Refunded</x:v>
      </x:c>
    </x:row>
    <x:row r="196">
      <x:c r="A196" t="str">
        <x:v>ORD-2025-10195</x:v>
      </x:c>
      <x:c r="B196" s="5" t="n">
        <x:v>45685</x:v>
      </x:c>
      <x:c r="C196" s="5" t="n">
        <x:v>45688</x:v>
      </x:c>
      <x:c r="D196" t="str">
        <x:v>CUST-3637</x:v>
      </x:c>
      <x:c r="E196" t="str">
        <x:v>Priya Menon</x:v>
      </x:c>
      <x:c r="F196" t="str">
        <x:v>Consumer</x:v>
      </x:c>
      <x:c r="G196" t="str">
        <x:v>West</x:v>
      </x:c>
      <x:c r="H196" t="str">
        <x:v>Maharashtra</x:v>
      </x:c>
      <x:c r="I196" t="str">
        <x:v>Mumbai</x:v>
      </x:c>
      <x:c r="J196" t="str">
        <x:v>Furniture</x:v>
      </x:c>
      <x:c r="K196" t="str">
        <x:v>Furnishings</x:v>
      </x:c>
      <x:c r="L196" t="str">
        <x:v>Prime Furnishings 433</x:v>
      </x:c>
      <x:c r="M196" t="str">
        <x:v>First Class</x:v>
      </x:c>
      <x:c r="N196" t="n">
        <x:v>9</x:v>
      </x:c>
      <x:c r="O196" s="7" t="n">
        <x:v>858.39</x:v>
      </x:c>
      <x:c r="P196" s="6" t="n">
        <x:v>0.05</x:v>
      </x:c>
      <x:c r="Q196" s="7" t="n">
        <x:v>7339.23</x:v>
      </x:c>
      <x:c r="R196" s="7" t="n">
        <x:v>5434.12</x:v>
      </x:c>
      <x:c r="S196" s="7" t="n">
        <x:v>1905.11</x:v>
      </x:c>
      <x:c r="T196" t="str">
        <x:v>Pending</x:v>
      </x:c>
      <x:c r="U196" t="str">
        <x:v>Returned</x:v>
      </x:c>
      <x:c r="V196" s="6" t="n">
        <x:f>IF(ISBLANK(P196),IF(AND(ISNUMBER(N196),N196&gt;0,ISNUMBER(O196),O196&gt;=0,ISNUMBER(Q196),Q196&gt;=0,ISNUMBER(R196),R196&gt;=0,ISNUMBER(S196)),0,""),P196)</x:f>
        <x:v>0.05</x:v>
      </x:c>
      <x:c r="W196" s="7" t="n">
        <x:f>IF(ISBLANK(V196),"",N196*O196*(1-V196))</x:f>
        <x:v>7339.2345</x:v>
      </x:c>
      <x:c r="X196" s="7" t="n">
        <x:f>IF(OR(ISBLANK(W196),ISBLANK(R196)),"",W196-R196)</x:f>
        <x:v>1905.1144999999997</x:v>
      </x:c>
      <x:c r="Y196" s="8" t="n">
        <x:f>IF(OR(ISBLANK(W196),W196=0),"",X196/W196)</x:f>
        <x:v>0.2595794561408277</x:v>
      </x:c>
      <x:c r="Z196" s="9" t="n">
        <x:f>IF(OR(ISBLANK(B196),ISBLANK(C196)),"",C196-B196)</x:f>
        <x:v>3</x:v>
      </x:c>
      <x:c r="AA196" t="str">
        <x:f>IF(ISBLANK(B196),"",TEXT(B196,"mmm"))</x:f>
        <x:v>Jan</x:v>
      </x:c>
      <x:c r="AB196" s="9" t="n">
        <x:f>IF(ISBLANK(B196),"",YEAR(B196))</x:f>
        <x:v>2025</x:v>
      </x:c>
      <x:c r="AC196" s="10" t="str"/>
      <x:c r="AD196" t="str">
        <x:f>IF(AND(U196="Completed",T196="Paid",ISERROR(SEARCH("INVALID",AC196)),ISERROR(SEARCH("REVIEW",AC196))),"Include","Exclude")</x:f>
        <x:v>Exclude</x:v>
      </x:c>
      <x:c r="AE196" t="str">
        <x:f>IF(T196="Refunded","Refunded","")</x:f>
      </x:c>
    </x:row>
    <x:row r="197">
      <x:c r="A197" t="str">
        <x:v>ORD-2025-10196</x:v>
      </x:c>
      <x:c r="B197" s="5" t="n">
        <x:v>45860</x:v>
      </x:c>
      <x:c r="C197" s="5" t="n">
        <x:v>45862</x:v>
      </x:c>
      <x:c r="D197" t="str">
        <x:v>CUST-4328</x:v>
      </x:c>
      <x:c r="E197" t="str">
        <x:v>Neha Gupta</x:v>
      </x:c>
      <x:c r="F197" t="str">
        <x:v>Home Office</x:v>
      </x:c>
      <x:c r="G197" t="str">
        <x:v>South</x:v>
      </x:c>
      <x:c r="H197" t="str">
        <x:v>Andhra Pradesh</x:v>
      </x:c>
      <x:c r="I197" t="str">
        <x:v>Vijayawada</x:v>
      </x:c>
      <x:c r="J197" t="str">
        <x:v>Furniture</x:v>
      </x:c>
      <x:c r="K197" t="str">
        <x:v>Furnishings</x:v>
      </x:c>
      <x:c r="L197" t="str">
        <x:v>Smart Furnishings 685</x:v>
      </x:c>
      <x:c r="M197" t="str">
        <x:v>Same Day</x:v>
      </x:c>
      <x:c r="N197" t="n">
        <x:v>5</x:v>
      </x:c>
      <x:c r="O197" s="7" t="n">
        <x:v>1922.83</x:v>
      </x:c>
      <x:c r="P197" s="6" t="n">
        <x:v>0</x:v>
      </x:c>
      <x:c r="Q197" s="7" t="n">
        <x:v>9614.15</x:v>
      </x:c>
      <x:c r="R197" s="7" t="n">
        <x:v>7576.84</x:v>
      </x:c>
      <x:c r="S197" s="7" t="n">
        <x:v>2037.31</x:v>
      </x:c>
      <x:c r="T197" t="str">
        <x:v>Paid</x:v>
      </x:c>
      <x:c r="U197" t="str">
        <x:v>Completed</x:v>
      </x:c>
      <x:c r="V197" s="6" t="n">
        <x:f>IF(ISBLANK(P197),IF(AND(ISNUMBER(N197),N197&gt;0,ISNUMBER(O197),O197&gt;=0,ISNUMBER(Q197),Q197&gt;=0,ISNUMBER(R197),R197&gt;=0,ISNUMBER(S197)),0,""),P197)</x:f>
        <x:v>0</x:v>
      </x:c>
      <x:c r="W197" s="7" t="n">
        <x:f>IF(ISBLANK(V197),"",N197*O197*(1-V197))</x:f>
        <x:v>9614.15</x:v>
      </x:c>
      <x:c r="X197" s="7" t="n">
        <x:f>IF(OR(ISBLANK(W197),ISBLANK(R197)),"",W197-R197)</x:f>
        <x:v>2037.3099999999995</x:v>
      </x:c>
      <x:c r="Y197" s="8" t="n">
        <x:f>IF(OR(ISBLANK(W197),W197=0),"",X197/W197)</x:f>
        <x:v>0.21190744891644084</x:v>
      </x:c>
      <x:c r="Z197" s="9" t="n">
        <x:f>IF(OR(ISBLANK(B197),ISBLANK(C197)),"",C197-B197)</x:f>
        <x:v>2</x:v>
      </x:c>
      <x:c r="AA197" t="str">
        <x:f>IF(ISBLANK(B197),"",TEXT(B197,"mmm"))</x:f>
        <x:v>Jul</x:v>
      </x:c>
      <x:c r="AB197" s="9" t="n">
        <x:f>IF(ISBLANK(B197),"",YEAR(B197))</x:f>
        <x:v>2025</x:v>
      </x:c>
      <x:c r="AC197" s="10" t="str"/>
      <x:c r="AD197" t="str">
        <x:f>IF(AND(U197="Completed",T197="Paid",ISERROR(SEARCH("INVALID",AC197)),ISERROR(SEARCH("REVIEW",AC197))),"Include","Exclude")</x:f>
        <x:v>Include</x:v>
      </x:c>
      <x:c r="AE197" t="str">
        <x:f>IF(T197="Refunded","Refunded","")</x:f>
      </x:c>
    </x:row>
    <x:row r="198">
      <x:c r="A198" t="str">
        <x:v>ORD-2024-10197</x:v>
      </x:c>
      <x:c r="B198" s="5" t="n">
        <x:v>45313</x:v>
      </x:c>
      <x:c r="C198" s="5" t="n">
        <x:v>45316</x:v>
      </x:c>
      <x:c r="D198" t="str">
        <x:v>CUST-8028</x:v>
      </x:c>
      <x:c r="E198" t="str">
        <x:v>Kabir Singh</x:v>
      </x:c>
      <x:c r="F198" t="str">
        <x:v>Home Office</x:v>
      </x:c>
      <x:c r="G198" t="str">
        <x:v>North</x:v>
      </x:c>
      <x:c r="H198" t="str">
        <x:v>Uttar Pradesh</x:v>
      </x:c>
      <x:c r="I198" t="str">
        <x:v>Noida</x:v>
      </x:c>
      <x:c r="J198" t="str">
        <x:v>Office Supplies</x:v>
      </x:c>
      <x:c r="K198" t="str">
        <x:v>Storage</x:v>
      </x:c>
      <x:c r="L198" t="str">
        <x:v>Elite Storage 915</x:v>
      </x:c>
      <x:c r="M198" t="str">
        <x:v>First Class</x:v>
      </x:c>
      <x:c r="N198" t="n">
        <x:v>3</x:v>
      </x:c>
      <x:c r="O198" s="7" t="n">
        <x:v>1212.03</x:v>
      </x:c>
      <x:c r="P198" s="6" t="n">
        <x:v>0.1</x:v>
      </x:c>
      <x:c r="Q198" s="7" t="n">
        <x:v>3272.48</x:v>
      </x:c>
      <x:c r="R198" s="7" t="n">
        <x:v>2517.44</x:v>
      </x:c>
      <x:c r="S198" s="7" t="n">
        <x:v>755.04</x:v>
      </x:c>
      <x:c r="T198" t="str">
        <x:v>Paid</x:v>
      </x:c>
      <x:c r="U198" t="str">
        <x:v>Completed</x:v>
      </x:c>
      <x:c r="V198" s="6" t="n">
        <x:f>IF(ISBLANK(P198),IF(AND(ISNUMBER(N198),N198&gt;0,ISNUMBER(O198),O198&gt;=0,ISNUMBER(Q198),Q198&gt;=0,ISNUMBER(R198),R198&gt;=0,ISNUMBER(S198)),0,""),P198)</x:f>
        <x:v>0.1</x:v>
      </x:c>
      <x:c r="W198" s="7" t="n">
        <x:f>IF(ISBLANK(V198),"",N198*O198*(1-V198))</x:f>
        <x:v>3272.481</x:v>
      </x:c>
      <x:c r="X198" s="7" t="n">
        <x:f>IF(OR(ISBLANK(W198),ISBLANK(R198)),"",W198-R198)</x:f>
        <x:v>755.0410000000002</x:v>
      </x:c>
      <x:c r="Y198" s="8" t="n">
        <x:f>IF(OR(ISBLANK(W198),W198=0),"",X198/W198)</x:f>
        <x:v>0.23072433422837293</x:v>
      </x:c>
      <x:c r="Z198" s="9" t="n">
        <x:f>IF(OR(ISBLANK(B198),ISBLANK(C198)),"",C198-B198)</x:f>
        <x:v>3</x:v>
      </x:c>
      <x:c r="AA198" t="str">
        <x:f>IF(ISBLANK(B198),"",TEXT(B198,"mmm"))</x:f>
        <x:v>Jan</x:v>
      </x:c>
      <x:c r="AB198" s="9" t="n">
        <x:f>IF(ISBLANK(B198),"",YEAR(B198))</x:f>
        <x:v>2024</x:v>
      </x:c>
      <x:c r="AC198" s="10" t="str"/>
      <x:c r="AD198" t="str">
        <x:f>IF(AND(U198="Completed",T198="Paid",ISERROR(SEARCH("INVALID",AC198)),ISERROR(SEARCH("REVIEW",AC198))),"Include","Exclude")</x:f>
        <x:v>Include</x:v>
      </x:c>
      <x:c r="AE198" t="str">
        <x:f>IF(T198="Refunded","Refunded","")</x:f>
      </x:c>
    </x:row>
    <x:row r="199">
      <x:c r="A199" t="str">
        <x:v>ORD-2025-10198</x:v>
      </x:c>
      <x:c r="B199" s="5" t="n">
        <x:v>45747</x:v>
      </x:c>
      <x:c r="C199" s="5" t="n">
        <x:v>45754</x:v>
      </x:c>
      <x:c r="D199" t="str">
        <x:v>CUST-6106</x:v>
      </x:c>
      <x:c r="E199" t="str">
        <x:v>Rahul Verma</x:v>
      </x:c>
      <x:c r="F199" t="str">
        <x:v>Small Business</x:v>
      </x:c>
      <x:c r="G199" t="str">
        <x:v>East</x:v>
      </x:c>
      <x:c r="H199" t="str">
        <x:v>Bihar</x:v>
      </x:c>
      <x:c r="I199" t="str">
        <x:v>Patna</x:v>
      </x:c>
      <x:c r="J199" t="str">
        <x:v>Office Supplies</x:v>
      </x:c>
      <x:c r="K199" t="str">
        <x:v>Storage</x:v>
      </x:c>
      <x:c r="L199" t="str">
        <x:v>Basic Storage 961</x:v>
      </x:c>
      <x:c r="M199" t="str">
        <x:v>Second Class</x:v>
      </x:c>
      <x:c r="N199" t="n">
        <x:v>5</x:v>
      </x:c>
      <x:c r="O199" s="7" t="n">
        <x:v>4096.44</x:v>
      </x:c>
      <x:c r="P199" s="6" t="n">
        <x:v>0.15</x:v>
      </x:c>
      <x:c r="Q199" s="7" t="n">
        <x:v>17409.87</x:v>
      </x:c>
      <x:c r="R199" s="7" t="n">
        <x:v>14076.25</x:v>
      </x:c>
      <x:c r="S199" s="7" t="n">
        <x:v>3333.62</x:v>
      </x:c>
      <x:c r="T199" t="str">
        <x:v>Paid</x:v>
      </x:c>
      <x:c r="U199" t="str">
        <x:v>Completed</x:v>
      </x:c>
      <x:c r="V199" s="6" t="n">
        <x:f>IF(ISBLANK(P199),IF(AND(ISNUMBER(N199),N199&gt;0,ISNUMBER(O199),O199&gt;=0,ISNUMBER(Q199),Q199&gt;=0,ISNUMBER(R199),R199&gt;=0,ISNUMBER(S199)),0,""),P199)</x:f>
        <x:v>0.15</x:v>
      </x:c>
      <x:c r="W199" s="7" t="n">
        <x:f>IF(ISBLANK(V199),"",N199*O199*(1-V199))</x:f>
        <x:v>17409.869999999995</x:v>
      </x:c>
      <x:c r="X199" s="7" t="n">
        <x:f>IF(OR(ISBLANK(W199),ISBLANK(R199)),"",W199-R199)</x:f>
        <x:v>3333.6199999999953</x:v>
      </x:c>
      <x:c r="Y199" s="8" t="n">
        <x:f>IF(OR(ISBLANK(W199),W199=0),"",X199/W199)</x:f>
        <x:v>0.19147874165631312</x:v>
      </x:c>
      <x:c r="Z199" s="9" t="n">
        <x:f>IF(OR(ISBLANK(B199),ISBLANK(C199)),"",C199-B199)</x:f>
        <x:v>7</x:v>
      </x:c>
      <x:c r="AA199" t="str">
        <x:f>IF(ISBLANK(B199),"",TEXT(B199,"mmm"))</x:f>
        <x:v>Mar</x:v>
      </x:c>
      <x:c r="AB199" s="9" t="n">
        <x:f>IF(ISBLANK(B199),"",YEAR(B199))</x:f>
        <x:v>2025</x:v>
      </x:c>
      <x:c r="AC199" s="10" t="str"/>
      <x:c r="AD199" t="str">
        <x:f>IF(AND(U199="Completed",T199="Paid",ISERROR(SEARCH("INVALID",AC199)),ISERROR(SEARCH("REVIEW",AC199))),"Include","Exclude")</x:f>
        <x:v>Include</x:v>
      </x:c>
      <x:c r="AE199" t="str">
        <x:f>IF(T199="Refunded","Refunded","")</x:f>
      </x:c>
    </x:row>
    <x:row r="200">
      <x:c r="A200" t="str">
        <x:v>ORD-2024-10199</x:v>
      </x:c>
      <x:c r="B200" s="5" t="n">
        <x:v>45448</x:v>
      </x:c>
      <x:c r="C200" s="5" t="n">
        <x:v>45449</x:v>
      </x:c>
      <x:c r="D200" t="str">
        <x:v>CUST-7820</x:v>
      </x:c>
      <x:c r="E200" t="str">
        <x:v>Sneha Kapoor</x:v>
      </x:c>
      <x:c r="F200" t="str">
        <x:v>Consumer</x:v>
      </x:c>
      <x:c r="G200" t="str">
        <x:v>West</x:v>
      </x:c>
      <x:c r="H200" t="str">
        <x:v>Gujarat</x:v>
      </x:c>
      <x:c r="I200" t="str">
        <x:v>Ahmedabad</x:v>
      </x:c>
      <x:c r="J200" t="str">
        <x:v>Office Supplies</x:v>
      </x:c>
      <x:c r="K200" t="str">
        <x:v>Art</x:v>
      </x:c>
      <x:c r="L200" t="str">
        <x:v>Classic Art 968</x:v>
      </x:c>
      <x:c r="M200" t="str">
        <x:v>Second Class</x:v>
      </x:c>
      <x:c r="N200" t="n">
        <x:v>1</x:v>
      </x:c>
      <x:c r="O200" s="7" t="n">
        <x:v>1184.58</x:v>
      </x:c>
      <x:c r="P200" s="6" t="n">
        <x:v>0.05</x:v>
      </x:c>
      <x:c r="Q200" s="7" t="n">
        <x:v>1125.35</x:v>
      </x:c>
      <x:c r="R200" s="7" t="n">
        <x:v>676.97</x:v>
      </x:c>
      <x:c r="S200" s="7" t="n">
        <x:v>448.38</x:v>
      </x:c>
      <x:c r="T200" t="str">
        <x:v>Failed</x:v>
      </x:c>
      <x:c r="U200" t="str">
        <x:v>Cancelled</x:v>
      </x:c>
      <x:c r="V200" s="6" t="n">
        <x:f>IF(ISBLANK(P200),IF(AND(ISNUMBER(N200),N200&gt;0,ISNUMBER(O200),O200&gt;=0,ISNUMBER(Q200),Q200&gt;=0,ISNUMBER(R200),R200&gt;=0,ISNUMBER(S200)),0,""),P200)</x:f>
        <x:v>0.05</x:v>
      </x:c>
      <x:c r="W200" s="7" t="n">
        <x:f>IF(ISBLANK(V200),"",N200*O200*(1-V200))</x:f>
        <x:v>1125.3509999999999</x:v>
      </x:c>
      <x:c r="X200" s="7" t="n">
        <x:f>IF(OR(ISBLANK(W200),ISBLANK(R200)),"",W200-R200)</x:f>
        <x:v>448.38099999999986</x:v>
      </x:c>
      <x:c r="Y200" s="8" t="n">
        <x:f>IF(OR(ISBLANK(W200),W200=0),"",X200/W200)</x:f>
        <x:v>0.3984365766769656</x:v>
      </x:c>
      <x:c r="Z200" s="9" t="n">
        <x:f>IF(OR(ISBLANK(B200),ISBLANK(C200)),"",C200-B200)</x:f>
        <x:v>1</x:v>
      </x:c>
      <x:c r="AA200" t="str">
        <x:f>IF(ISBLANK(B200),"",TEXT(B200,"mmm"))</x:f>
        <x:v>Jun</x:v>
      </x:c>
      <x:c r="AB200" s="9" t="n">
        <x:f>IF(ISBLANK(B200),"",YEAR(B200))</x:f>
        <x:v>2024</x:v>
      </x:c>
      <x:c r="AC200" s="10" t="str">
        <x:v>EXCLUDE: Cancelled order; EXCLUDE: Failed payment</x:v>
      </x:c>
      <x:c r="AD200" t="str">
        <x:f>IF(AND(U200="Completed",T200="Paid",ISERROR(SEARCH("INVALID",AC200)),ISERROR(SEARCH("REVIEW",AC200))),"Include","Exclude")</x:f>
        <x:v>Exclude</x:v>
      </x:c>
      <x:c r="AE200" t="str">
        <x:f>IF(T200="Refunded","Refunded","")</x:f>
      </x:c>
    </x:row>
    <x:row r="201">
      <x:c r="A201" t="str">
        <x:v>ORD-2024-10200</x:v>
      </x:c>
      <x:c r="B201" s="5" t="n">
        <x:v>45363</x:v>
      </x:c>
      <x:c r="C201" s="5" t="n">
        <x:v>45363</x:v>
      </x:c>
      <x:c r="D201" t="str">
        <x:v>CUST-4536</x:v>
      </x:c>
      <x:c r="E201" t="str">
        <x:v>Rahul Verma</x:v>
      </x:c>
      <x:c r="F201" t="str">
        <x:v>Home Office</x:v>
      </x:c>
      <x:c r="G201" t="str">
        <x:v>East</x:v>
      </x:c>
      <x:c r="H201" t="str">
        <x:v>Bihar</x:v>
      </x:c>
      <x:c r="I201" t="str">
        <x:v>Patna</x:v>
      </x:c>
      <x:c r="J201" t="str">
        <x:v>Technology</x:v>
      </x:c>
      <x:c r="K201" t="str">
        <x:v>Machines</x:v>
      </x:c>
      <x:c r="L201" t="str">
        <x:v>Prime Machines 806</x:v>
      </x:c>
      <x:c r="M201" t="str">
        <x:v>Unknown</x:v>
      </x:c>
      <x:c r="N201" t="n">
        <x:v>6</x:v>
      </x:c>
      <x:c r="O201" s="7" t="n">
        <x:v>2185.58</x:v>
      </x:c>
      <x:c r="P201" s="6" t="n">
        <x:v>0.25</x:v>
      </x:c>
      <x:c r="Q201" s="7" t="n">
        <x:v>9835.11</x:v>
      </x:c>
      <x:c r="R201" s="7" t="n">
        <x:v>5437.64</x:v>
      </x:c>
      <x:c r="S201" s="7" t="n">
        <x:v>4397.47</x:v>
      </x:c>
      <x:c r="T201" t="str">
        <x:v>Paid</x:v>
      </x:c>
      <x:c r="U201" t="str">
        <x:v>Completed</x:v>
      </x:c>
      <x:c r="V201" s="6" t="n">
        <x:f>IF(ISBLANK(P201),IF(AND(ISNUMBER(N201),N201&gt;0,ISNUMBER(O201),O201&gt;=0,ISNUMBER(Q201),Q201&gt;=0,ISNUMBER(R201),R201&gt;=0,ISNUMBER(S201)),0,""),P201)</x:f>
        <x:v>0.25</x:v>
      </x:c>
      <x:c r="W201" s="7" t="n">
        <x:f>IF(ISBLANK(V201),"",N201*O201*(1-V201))</x:f>
        <x:v>9835.11</x:v>
      </x:c>
      <x:c r="X201" s="7" t="n">
        <x:f>IF(OR(ISBLANK(W201),ISBLANK(R201)),"",W201-R201)</x:f>
        <x:v>4397.47</x:v>
      </x:c>
      <x:c r="Y201" s="8" t="n">
        <x:f>IF(OR(ISBLANK(W201),W201=0),"",X201/W201)</x:f>
        <x:v>0.44711955433136996</x:v>
      </x:c>
      <x:c r="Z201" s="9" t="n">
        <x:f>IF(OR(ISBLANK(B201),ISBLANK(C201)),"",C201-B201)</x:f>
        <x:v>0</x:v>
      </x:c>
      <x:c r="AA201" t="str">
        <x:f>IF(ISBLANK(B201),"",TEXT(B201,"mmm"))</x:f>
        <x:v>Mar</x:v>
      </x:c>
      <x:c r="AB201" s="9" t="n">
        <x:f>IF(ISBLANK(B201),"",YEAR(B201))</x:f>
        <x:v>2024</x:v>
      </x:c>
      <x:c r="AC201" s="10" t="str">
        <x:v>FLAG: Missing ship mode filled as Unknown</x:v>
      </x:c>
      <x:c r="AD201" t="str">
        <x:f>IF(AND(U201="Completed",T201="Paid",ISERROR(SEARCH("INVALID",AC201)),ISERROR(SEARCH("REVIEW",AC201))),"Include","Exclude")</x:f>
        <x:v>Include</x:v>
      </x:c>
      <x:c r="AE201" t="str">
        <x:f>IF(T201="Refunded","Refunded","")</x:f>
      </x:c>
    </x:row>
    <x:row r="202">
      <x:c r="A202" t="str">
        <x:v>ORD-2025-10201</x:v>
      </x:c>
      <x:c r="B202" s="5" t="n">
        <x:v>45835</x:v>
      </x:c>
      <x:c r="C202" s="5" t="n">
        <x:v>45843</x:v>
      </x:c>
      <x:c r="D202" t="str">
        <x:v>CUST-7047</x:v>
      </x:c>
      <x:c r="E202" t="str">
        <x:v>Priya Menon</x:v>
      </x:c>
      <x:c r="F202" t="str">
        <x:v>Small Business</x:v>
      </x:c>
      <x:c r="G202" t="str">
        <x:v>North</x:v>
      </x:c>
      <x:c r="H202" t="str">
        <x:v>Rajasthan</x:v>
      </x:c>
      <x:c r="I202" t="str">
        <x:v>Jaipur</x:v>
      </x:c>
      <x:c r="J202" t="str">
        <x:v>Technology</x:v>
      </x:c>
      <x:c r="K202" t="str">
        <x:v>Copiers</x:v>
      </x:c>
      <x:c r="L202" t="str">
        <x:v>Classic Copiers 479</x:v>
      </x:c>
      <x:c r="M202" t="str">
        <x:v>First Class</x:v>
      </x:c>
      <x:c r="N202" t="n">
        <x:v>5</x:v>
      </x:c>
      <x:c r="O202" s="7" t="n">
        <x:v>2868.44</x:v>
      </x:c>
      <x:c r="P202" s="6" t="n">
        <x:v>0.1</x:v>
      </x:c>
      <x:c r="Q202" s="7" t="n">
        <x:v>12907.98</x:v>
      </x:c>
      <x:c r="R202" s="7" t="n">
        <x:v>9197.08</x:v>
      </x:c>
      <x:c r="S202" s="7" t="n">
        <x:v>3710.9</x:v>
      </x:c>
      <x:c r="T202" t="str">
        <x:v>Pending</x:v>
      </x:c>
      <x:c r="U202" t="str">
        <x:v>Cancelled</x:v>
      </x:c>
      <x:c r="V202" s="6" t="n">
        <x:f>IF(ISBLANK(P202),IF(AND(ISNUMBER(N202),N202&gt;0,ISNUMBER(O202),O202&gt;=0,ISNUMBER(Q202),Q202&gt;=0,ISNUMBER(R202),R202&gt;=0,ISNUMBER(S202)),0,""),P202)</x:f>
        <x:v>0.1</x:v>
      </x:c>
      <x:c r="W202" s="7" t="n">
        <x:f>IF(ISBLANK(V202),"",N202*O202*(1-V202))</x:f>
        <x:v>12907.980000000001</x:v>
      </x:c>
      <x:c r="X202" s="7" t="n">
        <x:f>IF(OR(ISBLANK(W202),ISBLANK(R202)),"",W202-R202)</x:f>
        <x:v>3710.9000000000015</x:v>
      </x:c>
      <x:c r="Y202" s="8" t="n">
        <x:f>IF(OR(ISBLANK(W202),W202=0),"",X202/W202)</x:f>
        <x:v>0.2874888247425237</x:v>
      </x:c>
      <x:c r="Z202" s="9" t="n">
        <x:f>IF(OR(ISBLANK(B202),ISBLANK(C202)),"",C202-B202)</x:f>
        <x:v>8</x:v>
      </x:c>
      <x:c r="AA202" t="str">
        <x:f>IF(ISBLANK(B202),"",TEXT(B202,"mmm"))</x:f>
        <x:v>Jun</x:v>
      </x:c>
      <x:c r="AB202" s="9" t="n">
        <x:f>IF(ISBLANK(B202),"",YEAR(B202))</x:f>
        <x:v>2025</x:v>
      </x:c>
      <x:c r="AC202" s="10" t="str">
        <x:v>EXCLUDE: Cancelled order</x:v>
      </x:c>
      <x:c r="AD202" t="str">
        <x:f>IF(AND(U202="Completed",T202="Paid",ISERROR(SEARCH("INVALID",AC202)),ISERROR(SEARCH("REVIEW",AC202))),"Include","Exclude")</x:f>
        <x:v>Exclude</x:v>
      </x:c>
      <x:c r="AE202" t="str">
        <x:f>IF(T202="Refunded","Refunded","")</x:f>
      </x:c>
    </x:row>
    <x:row r="203">
      <x:c r="A203" t="str">
        <x:v>ORD-2025-10202</x:v>
      </x:c>
      <x:c r="B203" s="5" t="n">
        <x:v>45864</x:v>
      </x:c>
      <x:c r="C203" s="5" t="n">
        <x:v>45872</x:v>
      </x:c>
      <x:c r="D203" t="str">
        <x:v>CUST-8005</x:v>
      </x:c>
      <x:c r="E203" t="str">
        <x:v>Vikram Iyer</x:v>
      </x:c>
      <x:c r="F203" t="str">
        <x:v>Consumer</x:v>
      </x:c>
      <x:c r="G203" t="str">
        <x:v>West</x:v>
      </x:c>
      <x:c r="H203" t="str">
        <x:v>Madhya Pradesh</x:v>
      </x:c>
      <x:c r="I203" t="str">
        <x:v>Indore</x:v>
      </x:c>
      <x:c r="J203" t="str">
        <x:v>Office Supplies</x:v>
      </x:c>
      <x:c r="K203" t="str">
        <x:v>Labels</x:v>
      </x:c>
      <x:c r="L203" t="str">
        <x:v>Basic Labels 511</x:v>
      </x:c>
      <x:c r="M203" t="str">
        <x:v>Second Class</x:v>
      </x:c>
      <x:c r="N203" t="n">
        <x:v>2</x:v>
      </x:c>
      <x:c r="O203" s="7" t="n">
        <x:v>2503.53</x:v>
      </x:c>
      <x:c r="P203" s="6" t="n">
        <x:v>-0.16</x:v>
      </x:c>
      <x:c r="Q203" s="7" t="n">
        <x:v>4756.71</x:v>
      </x:c>
      <x:c r="R203" s="7" t="n">
        <x:v>2954.86</x:v>
      </x:c>
      <x:c r="S203" s="7" t="n">
        <x:v>1801.85</x:v>
      </x:c>
      <x:c r="T203" t="str">
        <x:v>Refunded</x:v>
      </x:c>
      <x:c r="U203" t="str">
        <x:v>Cancelled</x:v>
      </x:c>
      <x:c r="V203" s="6" t="n">
        <x:f>IF(ISBLANK(P203),IF(AND(ISNUMBER(N203),N203&gt;0,ISNUMBER(O203),O203&gt;=0,ISNUMBER(Q203),Q203&gt;=0,ISNUMBER(R203),R203&gt;=0,ISNUMBER(S203)),0,""),P203)</x:f>
        <x:v>-0.16</x:v>
      </x:c>
      <x:c r="W203" s="7" t="n">
        <x:f>IF(ISBLANK(V203),"",N203*O203*(1-V203))</x:f>
        <x:v>5808.1896</x:v>
      </x:c>
      <x:c r="X203" s="7" t="n">
        <x:f>IF(OR(ISBLANK(W203),ISBLANK(R203)),"",W203-R203)</x:f>
        <x:v>2853.3295999999996</x:v>
      </x:c>
      <x:c r="Y203" s="8" t="n">
        <x:f>IF(OR(ISBLANK(W203),W203=0),"",X203/W203)</x:f>
        <x:v>0.49125972058487893</x:v>
      </x:c>
      <x:c r="Z203" s="9" t="n">
        <x:f>IF(OR(ISBLANK(B203),ISBLANK(C203)),"",C203-B203)</x:f>
        <x:v>8</x:v>
      </x:c>
      <x:c r="AA203" t="str">
        <x:f>IF(ISBLANK(B203),"",TEXT(B203,"mmm"))</x:f>
        <x:v>Jul</x:v>
      </x:c>
      <x:c r="AB203" s="9" t="n">
        <x:f>IF(ISBLANK(B203),"",YEAR(B203))</x:f>
        <x:v>2025</x:v>
      </x:c>
      <x:c r="AC203" s="10" t="str">
        <x:v>INVALID: Negative discount; EXCLUDE: Cancelled order; REFUND: Summarize separately</x:v>
      </x:c>
      <x:c r="AD203" t="str">
        <x:f>IF(AND(U203="Completed",T203="Paid",ISERROR(SEARCH("INVALID",AC203)),ISERROR(SEARCH("REVIEW",AC203))),"Include","Exclude")</x:f>
        <x:v>Exclude</x:v>
      </x:c>
      <x:c r="AE203" t="str">
        <x:f>IF(T203="Refunded","Refunded","")</x:f>
        <x:v>Refunded</x:v>
      </x:c>
    </x:row>
    <x:row r="204">
      <x:c r="A204" t="str">
        <x:v>ORD-2025-10203</x:v>
      </x:c>
      <x:c r="B204" s="5" t="n">
        <x:v>45744</x:v>
      </x:c>
      <x:c r="C204" s="5" t="n">
        <x:v>45744</x:v>
      </x:c>
      <x:c r="D204" t="str">
        <x:v>CUST-9378</x:v>
      </x:c>
      <x:c r="E204" t="str">
        <x:v>Sneha Kapoor</x:v>
      </x:c>
      <x:c r="F204" t="str">
        <x:v>Corporate</x:v>
      </x:c>
      <x:c r="G204" t="str">
        <x:v>West</x:v>
      </x:c>
      <x:c r="H204" t="str">
        <x:v>Goa</x:v>
      </x:c>
      <x:c r="I204" t="str">
        <x:v>Panaji</x:v>
      </x:c>
      <x:c r="J204" t="str">
        <x:v>Technology</x:v>
      </x:c>
      <x:c r="K204" t="str">
        <x:v>Accessories</x:v>
      </x:c>
      <x:c r="L204" t="str">
        <x:v>Prime Accessories 733</x:v>
      </x:c>
      <x:c r="M204" t="str">
        <x:v>Standard Class</x:v>
      </x:c>
      <x:c r="N204" t="n">
        <x:v>8</x:v>
      </x:c>
      <x:c r="O204" s="7" t="n">
        <x:v>1740.94</x:v>
      </x:c>
      <x:c r="P204" s="6" t="n">
        <x:v>0.05</x:v>
      </x:c>
      <x:c r="Q204" s="7" t="n">
        <x:v>13231.14</x:v>
      </x:c>
      <x:c r="R204" s="7" t="n">
        <x:v>11290.06</x:v>
      </x:c>
      <x:c r="S204" s="7" t="n">
        <x:v>1941.08</x:v>
      </x:c>
      <x:c r="T204" t="str">
        <x:v>Paid</x:v>
      </x:c>
      <x:c r="U204" t="str">
        <x:v>Completed</x:v>
      </x:c>
      <x:c r="V204" s="6" t="n">
        <x:f>IF(ISBLANK(P204),IF(AND(ISNUMBER(N204),N204&gt;0,ISNUMBER(O204),O204&gt;=0,ISNUMBER(Q204),Q204&gt;=0,ISNUMBER(R204),R204&gt;=0,ISNUMBER(S204)),0,""),P204)</x:f>
        <x:v>0.05</x:v>
      </x:c>
      <x:c r="W204" s="7" t="n">
        <x:f>IF(ISBLANK(V204),"",N204*O204*(1-V204))</x:f>
        <x:v>13231.144</x:v>
      </x:c>
      <x:c r="X204" s="7" t="n">
        <x:f>IF(OR(ISBLANK(W204),ISBLANK(R204)),"",W204-R204)</x:f>
        <x:v>1941.0840000000007</x:v>
      </x:c>
      <x:c r="Y204" s="8" t="n">
        <x:f>IF(OR(ISBLANK(W204),W204=0),"",X204/W204)</x:f>
        <x:v>0.14670568168557463</x:v>
      </x:c>
      <x:c r="Z204" s="9" t="n">
        <x:f>IF(OR(ISBLANK(B204),ISBLANK(C204)),"",C204-B204)</x:f>
        <x:v>0</x:v>
      </x:c>
      <x:c r="AA204" t="str">
        <x:f>IF(ISBLANK(B204),"",TEXT(B204,"mmm"))</x:f>
        <x:v>Mar</x:v>
      </x:c>
      <x:c r="AB204" s="9" t="n">
        <x:f>IF(ISBLANK(B204),"",YEAR(B204))</x:f>
        <x:v>2025</x:v>
      </x:c>
      <x:c r="AC204" s="10" t="str"/>
      <x:c r="AD204" t="str">
        <x:f>IF(AND(U204="Completed",T204="Paid",ISERROR(SEARCH("INVALID",AC204)),ISERROR(SEARCH("REVIEW",AC204))),"Include","Exclude")</x:f>
        <x:v>Include</x:v>
      </x:c>
      <x:c r="AE204" t="str">
        <x:f>IF(T204="Refunded","Refunded","")</x:f>
      </x:c>
    </x:row>
    <x:row r="205">
      <x:c r="A205" t="str">
        <x:v>ORD-2024-10204</x:v>
      </x:c>
      <x:c r="B205" s="5" t="n">
        <x:v>45379</x:v>
      </x:c>
      <x:c r="C205" s="5" t="n">
        <x:v>45381</x:v>
      </x:c>
      <x:c r="D205" t="str">
        <x:v>CUST-3384</x:v>
      </x:c>
      <x:c r="E205" t="str">
        <x:v>Sneha Kapoor</x:v>
      </x:c>
      <x:c r="F205" t="str">
        <x:v>Corporate</x:v>
      </x:c>
      <x:c r="G205" t="str">
        <x:v>West</x:v>
      </x:c>
      <x:c r="H205" t="str">
        <x:v>Rajasthan</x:v>
      </x:c>
      <x:c r="I205" t="str">
        <x:v>Udaipur</x:v>
      </x:c>
      <x:c r="J205" t="str">
        <x:v>Technology</x:v>
      </x:c>
      <x:c r="K205" t="str">
        <x:v>Accessories</x:v>
      </x:c>
      <x:c r="L205" t="str">
        <x:v>Max Accessories 186</x:v>
      </x:c>
      <x:c r="M205" t="str">
        <x:v>Second Class</x:v>
      </x:c>
      <x:c r="N205" t="n">
        <x:v>1</x:v>
      </x:c>
      <x:c r="O205" s="7" t="n">
        <x:v>570.34</x:v>
      </x:c>
      <x:c r="P205" s="6" t="n">
        <x:v>0.15</x:v>
      </x:c>
      <x:c r="Q205" s="7" t="n">
        <x:v>484.79</x:v>
      </x:c>
      <x:c r="R205" s="7" t="n">
        <x:v>333.54</x:v>
      </x:c>
      <x:c r="S205" s="7" t="n">
        <x:v>151.25</x:v>
      </x:c>
      <x:c r="T205" t="str">
        <x:v>Paid</x:v>
      </x:c>
      <x:c r="U205" t="str">
        <x:v>Completed</x:v>
      </x:c>
      <x:c r="V205" s="6" t="n">
        <x:f>IF(ISBLANK(P205),IF(AND(ISNUMBER(N205),N205&gt;0,ISNUMBER(O205),O205&gt;=0,ISNUMBER(Q205),Q205&gt;=0,ISNUMBER(R205),R205&gt;=0,ISNUMBER(S205)),0,""),P205)</x:f>
        <x:v>0.15</x:v>
      </x:c>
      <x:c r="W205" s="7" t="n">
        <x:f>IF(ISBLANK(V205),"",N205*O205*(1-V205))</x:f>
        <x:v>484.789</x:v>
      </x:c>
      <x:c r="X205" s="7" t="n">
        <x:f>IF(OR(ISBLANK(W205),ISBLANK(R205)),"",W205-R205)</x:f>
        <x:v>151.24899999999997</x:v>
      </x:c>
      <x:c r="Y205" s="8" t="n">
        <x:f>IF(OR(ISBLANK(W205),W205=0),"",X205/W205)</x:f>
        <x:v>0.3119893396921134</x:v>
      </x:c>
      <x:c r="Z205" s="9" t="n">
        <x:f>IF(OR(ISBLANK(B205),ISBLANK(C205)),"",C205-B205)</x:f>
        <x:v>2</x:v>
      </x:c>
      <x:c r="AA205" t="str">
        <x:f>IF(ISBLANK(B205),"",TEXT(B205,"mmm"))</x:f>
        <x:v>Mar</x:v>
      </x:c>
      <x:c r="AB205" s="9" t="n">
        <x:f>IF(ISBLANK(B205),"",YEAR(B205))</x:f>
        <x:v>2024</x:v>
      </x:c>
      <x:c r="AC205" s="10" t="str"/>
      <x:c r="AD205" t="str">
        <x:f>IF(AND(U205="Completed",T205="Paid",ISERROR(SEARCH("INVALID",AC205)),ISERROR(SEARCH("REVIEW",AC205))),"Include","Exclude")</x:f>
        <x:v>Include</x:v>
      </x:c>
      <x:c r="AE205" t="str">
        <x:f>IF(T205="Refunded","Refunded","")</x:f>
      </x:c>
    </x:row>
    <x:row r="206">
      <x:c r="A206" t="str">
        <x:v>ORD-2025-10205</x:v>
      </x:c>
      <x:c r="B206" s="5" t="n">
        <x:v>45858</x:v>
      </x:c>
      <x:c r="C206" s="5" t="n">
        <x:v>45861</x:v>
      </x:c>
      <x:c r="D206" t="str">
        <x:v>CUST-1986</x:v>
      </x:c>
      <x:c r="E206" t="str">
        <x:v>Mira Das</x:v>
      </x:c>
      <x:c r="F206" t="str">
        <x:v>Home Office</x:v>
      </x:c>
      <x:c r="G206" t="str">
        <x:v>East</x:v>
      </x:c>
      <x:c r="H206" t="str">
        <x:v>West Bengal</x:v>
      </x:c>
      <x:c r="I206" t="str">
        <x:v>Kolkata</x:v>
      </x:c>
      <x:c r="J206" t="str">
        <x:v>Furniture</x:v>
      </x:c>
      <x:c r="K206" t="str">
        <x:v>Tables</x:v>
      </x:c>
      <x:c r="L206" t="str">
        <x:v>Elite Tables 318</x:v>
      </x:c>
      <x:c r="M206" t="str">
        <x:v>Second Class</x:v>
      </x:c>
      <x:c r="N206" t="n">
        <x:v>4</x:v>
      </x:c>
      <x:c r="O206" s="7" t="n">
        <x:v>477.69</x:v>
      </x:c>
      <x:c r="P206" s="6" t="n">
        <x:v>0.15</x:v>
      </x:c>
      <x:c r="Q206" s="7" t="n">
        <x:v>1624.15</x:v>
      </x:c>
      <x:c r="R206" s="7" t="n">
        <x:v>1217.99</x:v>
      </x:c>
      <x:c r="S206" s="7" t="n">
        <x:v>406.16</x:v>
      </x:c>
      <x:c r="T206" t="str">
        <x:v>Paid</x:v>
      </x:c>
      <x:c r="U206" t="str">
        <x:v>Completed</x:v>
      </x:c>
      <x:c r="V206" s="6" t="n">
        <x:f>IF(ISBLANK(P206),IF(AND(ISNUMBER(N206),N206&gt;0,ISNUMBER(O206),O206&gt;=0,ISNUMBER(Q206),Q206&gt;=0,ISNUMBER(R206),R206&gt;=0,ISNUMBER(S206)),0,""),P206)</x:f>
        <x:v>0.15</x:v>
      </x:c>
      <x:c r="W206" s="7" t="n">
        <x:f>IF(ISBLANK(V206),"",N206*O206*(1-V206))</x:f>
        <x:v>1624.146</x:v>
      </x:c>
      <x:c r="X206" s="7" t="n">
        <x:f>IF(OR(ISBLANK(W206),ISBLANK(R206)),"",W206-R206)</x:f>
        <x:v>406.15599999999995</x:v>
      </x:c>
      <x:c r="Y206" s="8" t="n">
        <x:f>IF(OR(ISBLANK(W206),W206=0),"",X206/W206)</x:f>
        <x:v>0.2500735771291497</x:v>
      </x:c>
      <x:c r="Z206" s="9" t="n">
        <x:f>IF(OR(ISBLANK(B206),ISBLANK(C206)),"",C206-B206)</x:f>
        <x:v>3</x:v>
      </x:c>
      <x:c r="AA206" t="str">
        <x:f>IF(ISBLANK(B206),"",TEXT(B206,"mmm"))</x:f>
        <x:v>Jul</x:v>
      </x:c>
      <x:c r="AB206" s="9" t="n">
        <x:f>IF(ISBLANK(B206),"",YEAR(B206))</x:f>
        <x:v>2025</x:v>
      </x:c>
      <x:c r="AC206" s="10" t="str"/>
      <x:c r="AD206" t="str">
        <x:f>IF(AND(U206="Completed",T206="Paid",ISERROR(SEARCH("INVALID",AC206)),ISERROR(SEARCH("REVIEW",AC206))),"Include","Exclude")</x:f>
        <x:v>Include</x:v>
      </x:c>
      <x:c r="AE206" t="str">
        <x:f>IF(T206="Refunded","Refunded","")</x:f>
      </x:c>
    </x:row>
    <x:row r="207">
      <x:c r="A207" t="str">
        <x:v>ORD-2025-10206</x:v>
      </x:c>
      <x:c r="B207" s="5" t="n">
        <x:v>45768</x:v>
      </x:c>
      <x:c r="C207" s="5" t="n">
        <x:v>45773</x:v>
      </x:c>
      <x:c r="D207" t="str">
        <x:v>CUST-3338</x:v>
      </x:c>
      <x:c r="E207" t="str">
        <x:v>Ananya Rao</x:v>
      </x:c>
      <x:c r="F207" t="str">
        <x:v>Consumer</x:v>
      </x:c>
      <x:c r="G207" t="str">
        <x:v>West</x:v>
      </x:c>
      <x:c r="H207" t="str">
        <x:v>Maharashtra</x:v>
      </x:c>
      <x:c r="I207" t="str">
        <x:v>Mumbai</x:v>
      </x:c>
      <x:c r="J207" t="str">
        <x:v>Office Supplies</x:v>
      </x:c>
      <x:c r="K207" t="str">
        <x:v>Labels</x:v>
      </x:c>
      <x:c r="L207" t="str">
        <x:v>Smart Labels 354</x:v>
      </x:c>
      <x:c r="M207" t="str">
        <x:v>Same Day</x:v>
      </x:c>
      <x:c r="N207" t="n">
        <x:v>6</x:v>
      </x:c>
      <x:c r="O207" s="7" t="n">
        <x:v>873.59</x:v>
      </x:c>
      <x:c r="P207" s="6" t="n">
        <x:v>0.2</x:v>
      </x:c>
      <x:c r="Q207" s="7" t="n">
        <x:v>4193.23</x:v>
      </x:c>
      <x:c r="R207" s="7" t="n">
        <x:v>3329.99</x:v>
      </x:c>
      <x:c r="S207" s="7" t="n">
        <x:v>863.24</x:v>
      </x:c>
      <x:c r="T207" t="str">
        <x:v>Paid</x:v>
      </x:c>
      <x:c r="U207" t="str">
        <x:v>Completed</x:v>
      </x:c>
      <x:c r="V207" s="6" t="n">
        <x:f>IF(ISBLANK(P207),IF(AND(ISNUMBER(N207),N207&gt;0,ISNUMBER(O207),O207&gt;=0,ISNUMBER(Q207),Q207&gt;=0,ISNUMBER(R207),R207&gt;=0,ISNUMBER(S207)),0,""),P207)</x:f>
        <x:v>0.2</x:v>
      </x:c>
      <x:c r="W207" s="7" t="n">
        <x:f>IF(ISBLANK(V207),"",N207*O207*(1-V207))</x:f>
        <x:v>4193.232</x:v>
      </x:c>
      <x:c r="X207" s="7" t="n">
        <x:f>IF(OR(ISBLANK(W207),ISBLANK(R207)),"",W207-R207)</x:f>
        <x:v>863.2420000000002</x:v>
      </x:c>
      <x:c r="Y207" s="8" t="n">
        <x:f>IF(OR(ISBLANK(W207),W207=0),"",X207/W207)</x:f>
        <x:v>0.2058655471483572</x:v>
      </x:c>
      <x:c r="Z207" s="9" t="n">
        <x:f>IF(OR(ISBLANK(B207),ISBLANK(C207)),"",C207-B207)</x:f>
        <x:v>5</x:v>
      </x:c>
      <x:c r="AA207" t="str">
        <x:f>IF(ISBLANK(B207),"",TEXT(B207,"mmm"))</x:f>
        <x:v>Apr</x:v>
      </x:c>
      <x:c r="AB207" s="9" t="n">
        <x:f>IF(ISBLANK(B207),"",YEAR(B207))</x:f>
        <x:v>2025</x:v>
      </x:c>
      <x:c r="AC207" s="10" t="str"/>
      <x:c r="AD207" t="str">
        <x:f>IF(AND(U207="Completed",T207="Paid",ISERROR(SEARCH("INVALID",AC207)),ISERROR(SEARCH("REVIEW",AC207))),"Include","Exclude")</x:f>
        <x:v>Include</x:v>
      </x:c>
      <x:c r="AE207" t="str">
        <x:f>IF(T207="Refunded","Refunded","")</x:f>
      </x:c>
    </x:row>
    <x:row r="208">
      <x:c r="A208" t="str">
        <x:v>ORD-2025-10207</x:v>
      </x:c>
      <x:c r="B208" s="5" t="n">
        <x:v>45795</x:v>
      </x:c>
      <x:c r="C208" s="5" t="n">
        <x:v>45797</x:v>
      </x:c>
      <x:c r="D208" t="str">
        <x:v>CUST-2343</x:v>
      </x:c>
      <x:c r="E208" t="str">
        <x:v>Diya Patel</x:v>
      </x:c>
      <x:c r="F208" t="str">
        <x:v>Small Business</x:v>
      </x:c>
      <x:c r="G208" t="str">
        <x:v>North</x:v>
      </x:c>
      <x:c r="H208" t="str">
        <x:v>Uttar Pradesh</x:v>
      </x:c>
      <x:c r="I208" t="str">
        <x:v>Noida</x:v>
      </x:c>
      <x:c r="J208" t="str">
        <x:v>Furniture</x:v>
      </x:c>
      <x:c r="K208" t="str">
        <x:v>Furnishings</x:v>
      </x:c>
      <x:c r="L208" t="str">
        <x:v>Pro Furnishings 981</x:v>
      </x:c>
      <x:c r="M208" t="str">
        <x:v>First Class</x:v>
      </x:c>
      <x:c r="N208" t="n">
        <x:v>2</x:v>
      </x:c>
      <x:c r="O208" s="7" t="n">
        <x:v>215.13</x:v>
      </x:c>
      <x:c r="P208" s="6" t="n">
        <x:v>0</x:v>
      </x:c>
      <x:c r="Q208" s="7" t="n">
        <x:v>430.26</x:v>
      </x:c>
      <x:c r="R208" s="7" t="n">
        <x:v>286.38</x:v>
      </x:c>
      <x:c r="S208" s="7" t="n">
        <x:v>143.88</x:v>
      </x:c>
      <x:c r="T208" t="str">
        <x:v>Paid</x:v>
      </x:c>
      <x:c r="U208" t="str">
        <x:v>Completed</x:v>
      </x:c>
      <x:c r="V208" s="6" t="n">
        <x:f>IF(ISBLANK(P208),IF(AND(ISNUMBER(N208),N208&gt;0,ISNUMBER(O208),O208&gt;=0,ISNUMBER(Q208),Q208&gt;=0,ISNUMBER(R208),R208&gt;=0,ISNUMBER(S208)),0,""),P208)</x:f>
        <x:v>0</x:v>
      </x:c>
      <x:c r="W208" s="7" t="n">
        <x:f>IF(ISBLANK(V208),"",N208*O208*(1-V208))</x:f>
        <x:v>430.26</x:v>
      </x:c>
      <x:c r="X208" s="7" t="n">
        <x:f>IF(OR(ISBLANK(W208),ISBLANK(R208)),"",W208-R208)</x:f>
        <x:v>143.88</x:v>
      </x:c>
      <x:c r="Y208" s="8" t="n">
        <x:f>IF(OR(ISBLANK(W208),W208=0),"",X208/W208)</x:f>
        <x:v>0.33440245432994004</x:v>
      </x:c>
      <x:c r="Z208" s="9" t="n">
        <x:f>IF(OR(ISBLANK(B208),ISBLANK(C208)),"",C208-B208)</x:f>
        <x:v>2</x:v>
      </x:c>
      <x:c r="AA208" t="str">
        <x:f>IF(ISBLANK(B208),"",TEXT(B208,"mmm"))</x:f>
        <x:v>May</x:v>
      </x:c>
      <x:c r="AB208" s="9" t="n">
        <x:f>IF(ISBLANK(B208),"",YEAR(B208))</x:f>
        <x:v>2025</x:v>
      </x:c>
      <x:c r="AC208" s="10" t="str"/>
      <x:c r="AD208" t="str">
        <x:f>IF(AND(U208="Completed",T208="Paid",ISERROR(SEARCH("INVALID",AC208)),ISERROR(SEARCH("REVIEW",AC208))),"Include","Exclude")</x:f>
        <x:v>Include</x:v>
      </x:c>
      <x:c r="AE208" t="str">
        <x:f>IF(T208="Refunded","Refunded","")</x:f>
      </x:c>
    </x:row>
    <x:row r="209">
      <x:c r="A209" t="str">
        <x:v>ORD-2024-10208</x:v>
      </x:c>
      <x:c r="B209" s="5" t="n">
        <x:v>45483</x:v>
      </x:c>
      <x:c r="C209" s="5" t="n">
        <x:v>45489</x:v>
      </x:c>
      <x:c r="D209" t="str">
        <x:v>CUST-3362</x:v>
      </x:c>
      <x:c r="E209" t="str">
        <x:v>Aarav Sharma</x:v>
      </x:c>
      <x:c r="F209" t="str">
        <x:v>Home Office</x:v>
      </x:c>
      <x:c r="G209" t="str">
        <x:v>West</x:v>
      </x:c>
      <x:c r="H209" t="str">
        <x:v>Goa</x:v>
      </x:c>
      <x:c r="I209" t="str">
        <x:v>Panaji</x:v>
      </x:c>
      <x:c r="J209" t="str">
        <x:v>Furniture</x:v>
      </x:c>
      <x:c r="K209" t="str">
        <x:v>Bookcases</x:v>
      </x:c>
      <x:c r="L209" t="str">
        <x:v>Eco Bookcases 671</x:v>
      </x:c>
      <x:c r="M209" t="str">
        <x:v>Second Class</x:v>
      </x:c>
      <x:c r="N209" t="n">
        <x:v>2</x:v>
      </x:c>
      <x:c r="O209" s="7" t="n">
        <x:v>1095.45</x:v>
      </x:c>
      <x:c r="P209" s="6" t="n">
        <x:v>0.2</x:v>
      </x:c>
      <x:c r="Q209" s="7" t="n">
        <x:v>1752.72</x:v>
      </x:c>
      <x:c r="R209" s="7" t="n">
        <x:v>996.41</x:v>
      </x:c>
      <x:c r="S209" s="7" t="n">
        <x:v>756.31</x:v>
      </x:c>
      <x:c r="T209" t="str">
        <x:v>Paid</x:v>
      </x:c>
      <x:c r="U209" t="str">
        <x:v>Completed</x:v>
      </x:c>
      <x:c r="V209" s="6" t="n">
        <x:f>IF(ISBLANK(P209),IF(AND(ISNUMBER(N209),N209&gt;0,ISNUMBER(O209),O209&gt;=0,ISNUMBER(Q209),Q209&gt;=0,ISNUMBER(R209),R209&gt;=0,ISNUMBER(S209)),0,""),P209)</x:f>
        <x:v>0.2</x:v>
      </x:c>
      <x:c r="W209" s="7" t="n">
        <x:f>IF(ISBLANK(V209),"",N209*O209*(1-V209))</x:f>
        <x:v>1752.7200000000003</x:v>
      </x:c>
      <x:c r="X209" s="7" t="n">
        <x:f>IF(OR(ISBLANK(W209),ISBLANK(R209)),"",W209-R209)</x:f>
        <x:v>756.3100000000003</x:v>
      </x:c>
      <x:c r="Y209" s="8" t="n">
        <x:f>IF(OR(ISBLANK(W209),W209=0),"",X209/W209)</x:f>
        <x:v>0.43150645853302305</x:v>
      </x:c>
      <x:c r="Z209" s="9" t="n">
        <x:f>IF(OR(ISBLANK(B209),ISBLANK(C209)),"",C209-B209)</x:f>
        <x:v>6</x:v>
      </x:c>
      <x:c r="AA209" t="str">
        <x:f>IF(ISBLANK(B209),"",TEXT(B209,"mmm"))</x:f>
        <x:v>Jul</x:v>
      </x:c>
      <x:c r="AB209" s="9" t="n">
        <x:f>IF(ISBLANK(B209),"",YEAR(B209))</x:f>
        <x:v>2024</x:v>
      </x:c>
      <x:c r="AC209" s="10" t="str"/>
      <x:c r="AD209" t="str">
        <x:f>IF(AND(U209="Completed",T209="Paid",ISERROR(SEARCH("INVALID",AC209)),ISERROR(SEARCH("REVIEW",AC209))),"Include","Exclude")</x:f>
        <x:v>Include</x:v>
      </x:c>
      <x:c r="AE209" t="str">
        <x:f>IF(T209="Refunded","Refunded","")</x:f>
      </x:c>
    </x:row>
    <x:row r="210">
      <x:c r="A210" t="str">
        <x:v>ORD-2025-10209</x:v>
      </x:c>
      <x:c r="B210" s="5" t="n">
        <x:v>45837</x:v>
      </x:c>
      <x:c r="C210" s="5" t="n">
        <x:v>45843</x:v>
      </x:c>
      <x:c r="D210" t="str">
        <x:v>CUST-3662</x:v>
      </x:c>
      <x:c r="E210" t="str">
        <x:v>Diya Patel</x:v>
      </x:c>
      <x:c r="F210" t="str">
        <x:v>Consumer</x:v>
      </x:c>
      <x:c r="G210" t="str">
        <x:v>North</x:v>
      </x:c>
      <x:c r="H210" t="str">
        <x:v>Punjab</x:v>
      </x:c>
      <x:c r="I210" t="str">
        <x:v>Ludhiana</x:v>
      </x:c>
      <x:c r="J210" t="str">
        <x:v>Furniture</x:v>
      </x:c>
      <x:c r="K210" t="str">
        <x:v>Chairs</x:v>
      </x:c>
      <x:c r="L210" t="str">
        <x:v>Max Chairs 151</x:v>
      </x:c>
      <x:c r="M210" t="str">
        <x:v>Same Day</x:v>
      </x:c>
      <x:c r="N210" t="n">
        <x:v>1</x:v>
      </x:c>
      <x:c r="O210" s="7" t="n">
        <x:v>999.83</x:v>
      </x:c>
      <x:c r="P210" s="6" t="n">
        <x:v>0</x:v>
      </x:c>
      <x:c r="Q210" s="7" t="n">
        <x:v>999.83</x:v>
      </x:c>
      <x:c r="R210" s="7" t="n">
        <x:v>634.91</x:v>
      </x:c>
      <x:c r="S210" s="7" t="n">
        <x:v>364.92</x:v>
      </x:c>
      <x:c r="T210" t="str">
        <x:v>Paid</x:v>
      </x:c>
      <x:c r="U210" t="str">
        <x:v>Completed</x:v>
      </x:c>
      <x:c r="V210" s="6" t="n">
        <x:f>IF(ISBLANK(P210),IF(AND(ISNUMBER(N210),N210&gt;0,ISNUMBER(O210),O210&gt;=0,ISNUMBER(Q210),Q210&gt;=0,ISNUMBER(R210),R210&gt;=0,ISNUMBER(S210)),0,""),P210)</x:f>
        <x:v>0</x:v>
      </x:c>
      <x:c r="W210" s="7" t="n">
        <x:f>IF(ISBLANK(V210),"",N210*O210*(1-V210))</x:f>
        <x:v>999.83</x:v>
      </x:c>
      <x:c r="X210" s="7" t="n">
        <x:f>IF(OR(ISBLANK(W210),ISBLANK(R210)),"",W210-R210)</x:f>
        <x:v>364.9200000000001</x:v>
      </x:c>
      <x:c r="Y210" s="8" t="n">
        <x:f>IF(OR(ISBLANK(W210),W210=0),"",X210/W210)</x:f>
        <x:v>0.3649820469479812</x:v>
      </x:c>
      <x:c r="Z210" s="9" t="n">
        <x:f>IF(OR(ISBLANK(B210),ISBLANK(C210)),"",C210-B210)</x:f>
        <x:v>6</x:v>
      </x:c>
      <x:c r="AA210" t="str">
        <x:f>IF(ISBLANK(B210),"",TEXT(B210,"mmm"))</x:f>
        <x:v>Jun</x:v>
      </x:c>
      <x:c r="AB210" s="9" t="n">
        <x:f>IF(ISBLANK(B210),"",YEAR(B210))</x:f>
        <x:v>2025</x:v>
      </x:c>
      <x:c r="AC210" s="10" t="str"/>
      <x:c r="AD210" t="str">
        <x:f>IF(AND(U210="Completed",T210="Paid",ISERROR(SEARCH("INVALID",AC210)),ISERROR(SEARCH("REVIEW",AC210))),"Include","Exclude")</x:f>
        <x:v>Include</x:v>
      </x:c>
      <x:c r="AE210" t="str">
        <x:f>IF(T210="Refunded","Refunded","")</x:f>
      </x:c>
    </x:row>
    <x:row r="211">
      <x:c r="A211" t="str">
        <x:v>ORD-2025-10210</x:v>
      </x:c>
      <x:c r="B211" s="5" t="n">
        <x:v>45882</x:v>
      </x:c>
      <x:c r="C211" s="5" t="n">
        <x:v>45883</x:v>
      </x:c>
      <x:c r="D211" t="str">
        <x:v>CUST-4947</x:v>
      </x:c>
      <x:c r="E211" t="str">
        <x:v>Rohan Mehta</x:v>
      </x:c>
      <x:c r="F211" t="str">
        <x:v>Small Business</x:v>
      </x:c>
      <x:c r="G211" t="str">
        <x:v>South</x:v>
      </x:c>
      <x:c r="H211" t="str">
        <x:v>Andhra Pradesh</x:v>
      </x:c>
      <x:c r="I211" t="str">
        <x:v>Vijayawada</x:v>
      </x:c>
      <x:c r="J211" t="str">
        <x:v>Office Supplies</x:v>
      </x:c>
      <x:c r="K211" t="str">
        <x:v>Paper</x:v>
      </x:c>
      <x:c r="L211" t="str">
        <x:v>Prime Paper 903</x:v>
      </x:c>
      <x:c r="M211" t="str">
        <x:v>First Class</x:v>
      </x:c>
      <x:c r="N211" t="n">
        <x:v>9</x:v>
      </x:c>
      <x:c r="O211" s="7" t="n">
        <x:v>864.98</x:v>
      </x:c>
      <x:c r="P211" s="6" t="n">
        <x:v>0.1</x:v>
      </x:c>
      <x:c r="Q211" s="7" t="n">
        <x:v>7006.34</x:v>
      </x:c>
      <x:c r="R211" s="7" t="n">
        <x:v>4640.88</x:v>
      </x:c>
      <x:c r="S211" s="7" t="n">
        <x:v>2365.46</x:v>
      </x:c>
      <x:c r="T211" t="str">
        <x:v>Paid</x:v>
      </x:c>
      <x:c r="U211" t="str">
        <x:v>Completed</x:v>
      </x:c>
      <x:c r="V211" s="6" t="n">
        <x:f>IF(ISBLANK(P211),IF(AND(ISNUMBER(N211),N211&gt;0,ISNUMBER(O211),O211&gt;=0,ISNUMBER(Q211),Q211&gt;=0,ISNUMBER(R211),R211&gt;=0,ISNUMBER(S211)),0,""),P211)</x:f>
        <x:v>0.1</x:v>
      </x:c>
      <x:c r="W211" s="7" t="n">
        <x:f>IF(ISBLANK(V211),"",N211*O211*(1-V211))</x:f>
        <x:v>7006.338</x:v>
      </x:c>
      <x:c r="X211" s="7" t="n">
        <x:f>IF(OR(ISBLANK(W211),ISBLANK(R211)),"",W211-R211)</x:f>
        <x:v>2365.4579999999996</x:v>
      </x:c>
      <x:c r="Y211" s="8" t="n">
        <x:f>IF(OR(ISBLANK(W211),W211=0),"",X211/W211)</x:f>
        <x:v>0.3376168834560936</x:v>
      </x:c>
      <x:c r="Z211" s="9" t="n">
        <x:f>IF(OR(ISBLANK(B211),ISBLANK(C211)),"",C211-B211)</x:f>
        <x:v>1</x:v>
      </x:c>
      <x:c r="AA211" t="str">
        <x:f>IF(ISBLANK(B211),"",TEXT(B211,"mmm"))</x:f>
        <x:v>Aug</x:v>
      </x:c>
      <x:c r="AB211" s="9" t="n">
        <x:f>IF(ISBLANK(B211),"",YEAR(B211))</x:f>
        <x:v>2025</x:v>
      </x:c>
      <x:c r="AC211" s="10" t="str"/>
      <x:c r="AD211" t="str">
        <x:f>IF(AND(U211="Completed",T211="Paid",ISERROR(SEARCH("INVALID",AC211)),ISERROR(SEARCH("REVIEW",AC211))),"Include","Exclude")</x:f>
        <x:v>Include</x:v>
      </x:c>
      <x:c r="AE211" t="str">
        <x:f>IF(T211="Refunded","Refunded","")</x:f>
      </x:c>
    </x:row>
    <x:row r="212">
      <x:c r="A212" t="str">
        <x:v>ORD-2024-10211</x:v>
      </x:c>
      <x:c r="B212" s="5" t="n">
        <x:v>45366</x:v>
      </x:c>
      <x:c r="C212" s="5" t="n">
        <x:v>45369</x:v>
      </x:c>
      <x:c r="D212" t="str">
        <x:v>CUST-3076</x:v>
      </x:c>
      <x:c r="E212" t="str">
        <x:v>Kabir Singh</x:v>
      </x:c>
      <x:c r="F212" t="str">
        <x:v>Home Office</x:v>
      </x:c>
      <x:c r="G212" t="str">
        <x:v>South</x:v>
      </x:c>
      <x:c r="H212" t="str">
        <x:v>Karnataka</x:v>
      </x:c>
      <x:c r="I212" t="str">
        <x:v>Bengaluru</x:v>
      </x:c>
      <x:c r="J212" t="str">
        <x:v>Technology</x:v>
      </x:c>
      <x:c r="K212" t="str">
        <x:v>Machines</x:v>
      </x:c>
      <x:c r="L212" t="str">
        <x:v>Classic Machines 944</x:v>
      </x:c>
      <x:c r="M212" t="str">
        <x:v>Second Class</x:v>
      </x:c>
      <x:c r="N212" t="n">
        <x:v>1</x:v>
      </x:c>
      <x:c r="O212" s="7" t="n">
        <x:v>4131.36</x:v>
      </x:c>
      <x:c r="P212" s="6" t="n">
        <x:v>0</x:v>
      </x:c>
      <x:c r="Q212" s="7" t="n">
        <x:v>4131.36</x:v>
      </x:c>
      <x:c r="R212" s="7" t="n">
        <x:v>2937.07</x:v>
      </x:c>
      <x:c r="S212" s="7" t="n">
        <x:v>1194.29</x:v>
      </x:c>
      <x:c r="T212" t="str">
        <x:v>Failed</x:v>
      </x:c>
      <x:c r="U212" t="str">
        <x:v>Returned</x:v>
      </x:c>
      <x:c r="V212" s="6" t="n">
        <x:f>IF(ISBLANK(P212),IF(AND(ISNUMBER(N212),N212&gt;0,ISNUMBER(O212),O212&gt;=0,ISNUMBER(Q212),Q212&gt;=0,ISNUMBER(R212),R212&gt;=0,ISNUMBER(S212)),0,""),P212)</x:f>
        <x:v>0</x:v>
      </x:c>
      <x:c r="W212" s="7" t="n">
        <x:f>IF(ISBLANK(V212),"",N212*O212*(1-V212))</x:f>
        <x:v>4131.36</x:v>
      </x:c>
      <x:c r="X212" s="7" t="n">
        <x:f>IF(OR(ISBLANK(W212),ISBLANK(R212)),"",W212-R212)</x:f>
        <x:v>1194.2899999999995</x:v>
      </x:c>
      <x:c r="Y212" s="8" t="n">
        <x:f>IF(OR(ISBLANK(W212),W212=0),"",X212/W212)</x:f>
        <x:v>0.2890791410092559</x:v>
      </x:c>
      <x:c r="Z212" s="9" t="n">
        <x:f>IF(OR(ISBLANK(B212),ISBLANK(C212)),"",C212-B212)</x:f>
        <x:v>3</x:v>
      </x:c>
      <x:c r="AA212" t="str">
        <x:f>IF(ISBLANK(B212),"",TEXT(B212,"mmm"))</x:f>
        <x:v>Mar</x:v>
      </x:c>
      <x:c r="AB212" s="9" t="n">
        <x:f>IF(ISBLANK(B212),"",YEAR(B212))</x:f>
        <x:v>2024</x:v>
      </x:c>
      <x:c r="AC212" s="10" t="str">
        <x:v>EXCLUDE: Failed payment</x:v>
      </x:c>
      <x:c r="AD212" t="str">
        <x:f>IF(AND(U212="Completed",T212="Paid",ISERROR(SEARCH("INVALID",AC212)),ISERROR(SEARCH("REVIEW",AC212))),"Include","Exclude")</x:f>
        <x:v>Exclude</x:v>
      </x:c>
      <x:c r="AE212" t="str">
        <x:f>IF(T212="Refunded","Refunded","")</x:f>
      </x:c>
    </x:row>
    <x:row r="213">
      <x:c r="A213" t="str">
        <x:v>ORD-2024-10212</x:v>
      </x:c>
      <x:c r="B213" s="5" t="n">
        <x:v>45428</x:v>
      </x:c>
      <x:c r="C213" s="5" t="n">
        <x:v>45429</x:v>
      </x:c>
      <x:c r="D213" t="str">
        <x:v>CUST-2222</x:v>
      </x:c>
      <x:c r="E213" t="str">
        <x:v>Rohan Mehta</x:v>
      </x:c>
      <x:c r="F213" t="str">
        <x:v>Corporate</x:v>
      </x:c>
      <x:c r="G213" t="str">
        <x:v>East</x:v>
      </x:c>
      <x:c r="H213" t="str">
        <x:v>West Bengal</x:v>
      </x:c>
      <x:c r="I213" t="str">
        <x:v>Kolkata</x:v>
      </x:c>
      <x:c r="J213" t="str">
        <x:v>Technology</x:v>
      </x:c>
      <x:c r="K213" t="str">
        <x:v>Copiers</x:v>
      </x:c>
      <x:c r="L213" t="str">
        <x:v>Basic Copiers 222</x:v>
      </x:c>
      <x:c r="M213" t="str">
        <x:v>Second Class</x:v>
      </x:c>
      <x:c r="N213" t="n">
        <x:v>8</x:v>
      </x:c>
      <x:c r="O213" s="7" t="n">
        <x:v>4221.95</x:v>
      </x:c>
      <x:c r="P213" s="6" t="n">
        <x:v>0.2</x:v>
      </x:c>
      <x:c r="Q213" s="7" t="n">
        <x:v>27020.48</x:v>
      </x:c>
      <x:c r="R213" s="7" t="n">
        <x:v>22885.24</x:v>
      </x:c>
      <x:c r="S213" s="7" t="n">
        <x:v>4135.24</x:v>
      </x:c>
      <x:c r="T213" t="str">
        <x:v>Paid</x:v>
      </x:c>
      <x:c r="U213" t="str">
        <x:v>Completed</x:v>
      </x:c>
      <x:c r="V213" s="6" t="n">
        <x:f>IF(ISBLANK(P213),IF(AND(ISNUMBER(N213),N213&gt;0,ISNUMBER(O213),O213&gt;=0,ISNUMBER(Q213),Q213&gt;=0,ISNUMBER(R213),R213&gt;=0,ISNUMBER(S213)),0,""),P213)</x:f>
        <x:v>0.2</x:v>
      </x:c>
      <x:c r="W213" s="7" t="n">
        <x:f>IF(ISBLANK(V213),"",N213*O213*(1-V213))</x:f>
        <x:v>27020.48</x:v>
      </x:c>
      <x:c r="X213" s="7" t="n">
        <x:f>IF(OR(ISBLANK(W213),ISBLANK(R213)),"",W213-R213)</x:f>
        <x:v>4135.239999999998</x:v>
      </x:c>
      <x:c r="Y213" s="8" t="n">
        <x:f>IF(OR(ISBLANK(W213),W213=0),"",X213/W213)</x:f>
        <x:v>0.15304095264036752</x:v>
      </x:c>
      <x:c r="Z213" s="9" t="n">
        <x:f>IF(OR(ISBLANK(B213),ISBLANK(C213)),"",C213-B213)</x:f>
        <x:v>1</x:v>
      </x:c>
      <x:c r="AA213" t="str">
        <x:f>IF(ISBLANK(B213),"",TEXT(B213,"mmm"))</x:f>
        <x:v>May</x:v>
      </x:c>
      <x:c r="AB213" s="9" t="n">
        <x:f>IF(ISBLANK(B213),"",YEAR(B213))</x:f>
        <x:v>2024</x:v>
      </x:c>
      <x:c r="AC213" s="10" t="str"/>
      <x:c r="AD213" t="str">
        <x:f>IF(AND(U213="Completed",T213="Paid",ISERROR(SEARCH("INVALID",AC213)),ISERROR(SEARCH("REVIEW",AC213))),"Include","Exclude")</x:f>
        <x:v>Include</x:v>
      </x:c>
      <x:c r="AE213" t="str">
        <x:f>IF(T213="Refunded","Refunded","")</x:f>
      </x:c>
    </x:row>
    <x:row r="214">
      <x:c r="A214" t="str">
        <x:v>ORD-2024-10213</x:v>
      </x:c>
      <x:c r="B214" s="5" t="n">
        <x:v>45556</x:v>
      </x:c>
      <x:c r="C214" s="5" t="n">
        <x:v>45556</x:v>
      </x:c>
      <x:c r="D214" t="str">
        <x:v>CUST-3610</x:v>
      </x:c>
      <x:c r="E214" t="str">
        <x:v>Ananya Rao</x:v>
      </x:c>
      <x:c r="F214" t="str">
        <x:v>Small Business</x:v>
      </x:c>
      <x:c r="G214" t="str">
        <x:v>East</x:v>
      </x:c>
      <x:c r="H214" t="str">
        <x:v>Odisha</x:v>
      </x:c>
      <x:c r="I214" t="str">
        <x:v>Bhubaneswar</x:v>
      </x:c>
      <x:c r="J214" t="str">
        <x:v>Technology</x:v>
      </x:c>
      <x:c r="K214" t="str">
        <x:v>Phones</x:v>
      </x:c>
      <x:c r="L214" t="str">
        <x:v>Max Phones 329</x:v>
      </x:c>
      <x:c r="M214" t="str">
        <x:v>Same Day</x:v>
      </x:c>
      <x:c r="N214" t="n">
        <x:v>2</x:v>
      </x:c>
      <x:c r="O214" s="7" t="n">
        <x:v>214.5</x:v>
      </x:c>
      <x:c r="P214" s="6" t="n">
        <x:v>0.15</x:v>
      </x:c>
      <x:c r="Q214" s="7" t="n">
        <x:v>364.65</x:v>
      </x:c>
      <x:c r="R214" s="7" t="n">
        <x:v>280.74</x:v>
      </x:c>
      <x:c r="S214" s="7" t="n">
        <x:v>83.91</x:v>
      </x:c>
      <x:c r="T214" t="str">
        <x:v>Paid</x:v>
      </x:c>
      <x:c r="U214" t="str">
        <x:v>Completed</x:v>
      </x:c>
      <x:c r="V214" s="6" t="n">
        <x:f>IF(ISBLANK(P214),IF(AND(ISNUMBER(N214),N214&gt;0,ISNUMBER(O214),O214&gt;=0,ISNUMBER(Q214),Q214&gt;=0,ISNUMBER(R214),R214&gt;=0,ISNUMBER(S214)),0,""),P214)</x:f>
        <x:v>0.15</x:v>
      </x:c>
      <x:c r="W214" s="7" t="n">
        <x:f>IF(ISBLANK(V214),"",N214*O214*(1-V214))</x:f>
        <x:v>364.65</x:v>
      </x:c>
      <x:c r="X214" s="7" t="n">
        <x:f>IF(OR(ISBLANK(W214),ISBLANK(R214)),"",W214-R214)</x:f>
        <x:v>83.90999999999997</x:v>
      </x:c>
      <x:c r="Y214" s="8" t="n">
        <x:f>IF(OR(ISBLANK(W214),W214=0),"",X214/W214)</x:f>
        <x:v>0.23011106540518297</x:v>
      </x:c>
      <x:c r="Z214" s="9" t="n">
        <x:f>IF(OR(ISBLANK(B214),ISBLANK(C214)),"",C214-B214)</x:f>
        <x:v>0</x:v>
      </x:c>
      <x:c r="AA214" t="str">
        <x:f>IF(ISBLANK(B214),"",TEXT(B214,"mmm"))</x:f>
        <x:v>Sep</x:v>
      </x:c>
      <x:c r="AB214" s="9" t="n">
        <x:f>IF(ISBLANK(B214),"",YEAR(B214))</x:f>
        <x:v>2024</x:v>
      </x:c>
      <x:c r="AC214" s="10" t="str"/>
      <x:c r="AD214" t="str">
        <x:f>IF(AND(U214="Completed",T214="Paid",ISERROR(SEARCH("INVALID",AC214)),ISERROR(SEARCH("REVIEW",AC214))),"Include","Exclude")</x:f>
        <x:v>Include</x:v>
      </x:c>
      <x:c r="AE214" t="str">
        <x:f>IF(T214="Refunded","Refunded","")</x:f>
      </x:c>
    </x:row>
    <x:row r="215">
      <x:c r="A215" t="str">
        <x:v>ORD-2024-10214</x:v>
      </x:c>
      <x:c r="B215" s="5" t="n">
        <x:v>45427</x:v>
      </x:c>
      <x:c r="C215" s="5" t="n">
        <x:v>45433</x:v>
      </x:c>
      <x:c r="D215" t="str">
        <x:v>CUST-9136</x:v>
      </x:c>
      <x:c r="E215" t="str">
        <x:v>Isha Nair</x:v>
      </x:c>
      <x:c r="F215" t="str">
        <x:v>Small Business</x:v>
      </x:c>
      <x:c r="G215" t="str">
        <x:v>East</x:v>
      </x:c>
      <x:c r="H215" t="str">
        <x:v>Bihar</x:v>
      </x:c>
      <x:c r="I215" t="str">
        <x:v>Patna</x:v>
      </x:c>
      <x:c r="J215" t="str">
        <x:v>Technology</x:v>
      </x:c>
      <x:c r="K215" t="str">
        <x:v>Accessories</x:v>
      </x:c>
      <x:c r="L215" t="str">
        <x:v>Classic Accessories 840</x:v>
      </x:c>
      <x:c r="M215" t="str">
        <x:v>Second Class</x:v>
      </x:c>
      <x:c r="N215" t="n">
        <x:v>4</x:v>
      </x:c>
      <x:c r="O215" s="7" t="n">
        <x:v>4332.73</x:v>
      </x:c>
      <x:c r="P215" s="6" t="n">
        <x:v>0.2</x:v>
      </x:c>
      <x:c r="Q215" s="7" t="n">
        <x:v>13864.74</x:v>
      </x:c>
      <x:c r="R215" s="7" t="n">
        <x:v>11294.06</x:v>
      </x:c>
      <x:c r="S215" s="7" t="n">
        <x:v>2570.68</x:v>
      </x:c>
      <x:c r="T215" t="str">
        <x:v>Paid</x:v>
      </x:c>
      <x:c r="U215" t="str">
        <x:v>Completed</x:v>
      </x:c>
      <x:c r="V215" s="6" t="n">
        <x:f>IF(ISBLANK(P215),IF(AND(ISNUMBER(N215),N215&gt;0,ISNUMBER(O215),O215&gt;=0,ISNUMBER(Q215),Q215&gt;=0,ISNUMBER(R215),R215&gt;=0,ISNUMBER(S215)),0,""),P215)</x:f>
        <x:v>0.2</x:v>
      </x:c>
      <x:c r="W215" s="7" t="n">
        <x:f>IF(ISBLANK(V215),"",N215*O215*(1-V215))</x:f>
        <x:v>13864.735999999999</x:v>
      </x:c>
      <x:c r="X215" s="7" t="n">
        <x:f>IF(OR(ISBLANK(W215),ISBLANK(R215)),"",W215-R215)</x:f>
        <x:v>2570.6759999999995</x:v>
      </x:c>
      <x:c r="Y215" s="8" t="n">
        <x:f>IF(OR(ISBLANK(W215),W215=0),"",X215/W215)</x:f>
        <x:v>0.18541110339208763</x:v>
      </x:c>
      <x:c r="Z215" s="9" t="n">
        <x:f>IF(OR(ISBLANK(B215),ISBLANK(C215)),"",C215-B215)</x:f>
        <x:v>6</x:v>
      </x:c>
      <x:c r="AA215" t="str">
        <x:f>IF(ISBLANK(B215),"",TEXT(B215,"mmm"))</x:f>
        <x:v>May</x:v>
      </x:c>
      <x:c r="AB215" s="9" t="n">
        <x:f>IF(ISBLANK(B215),"",YEAR(B215))</x:f>
        <x:v>2024</x:v>
      </x:c>
      <x:c r="AC215" s="10" t="str"/>
      <x:c r="AD215" t="str">
        <x:f>IF(AND(U215="Completed",T215="Paid",ISERROR(SEARCH("INVALID",AC215)),ISERROR(SEARCH("REVIEW",AC215))),"Include","Exclude")</x:f>
        <x:v>Include</x:v>
      </x:c>
      <x:c r="AE215" t="str">
        <x:f>IF(T215="Refunded","Refunded","")</x:f>
      </x:c>
    </x:row>
    <x:row r="216">
      <x:c r="A216" t="str">
        <x:v>ORD-2024-10215</x:v>
      </x:c>
      <x:c r="B216" s="5" t="n">
        <x:v>45368</x:v>
      </x:c>
      <x:c r="C216" s="5" t="n">
        <x:v>45374</x:v>
      </x:c>
      <x:c r="D216" t="str">
        <x:v>CUST-1301</x:v>
      </x:c>
      <x:c r="E216" t="str">
        <x:v>Rahul Verma</x:v>
      </x:c>
      <x:c r="F216" t="str">
        <x:v>Consumer</x:v>
      </x:c>
      <x:c r="G216" t="str">
        <x:v>North</x:v>
      </x:c>
      <x:c r="H216" t="str">
        <x:v>Haryana</x:v>
      </x:c>
      <x:c r="I216" t="str">
        <x:v>Gurugram</x:v>
      </x:c>
      <x:c r="J216" t="str">
        <x:v>Technology</x:v>
      </x:c>
      <x:c r="K216" t="str">
        <x:v>Accessories</x:v>
      </x:c>
      <x:c r="L216" t="str">
        <x:v>Classic Accessories 757</x:v>
      </x:c>
      <x:c r="M216" t="str">
        <x:v>First Class</x:v>
      </x:c>
      <x:c r="N216" t="n">
        <x:v>3</x:v>
      </x:c>
      <x:c r="O216" s="7" t="n">
        <x:v>248.18</x:v>
      </x:c>
      <x:c r="P216" s="6" t="n">
        <x:v>0.05</x:v>
      </x:c>
      <x:c r="Q216" s="7" t="n">
        <x:v>707.31</x:v>
      </x:c>
      <x:c r="R216" s="7" t="n">
        <x:v>569</x:v>
      </x:c>
      <x:c r="S216" s="7" t="n">
        <x:v>138.31</x:v>
      </x:c>
      <x:c r="T216" t="str">
        <x:v>Paid</x:v>
      </x:c>
      <x:c r="U216" t="str">
        <x:v>Completed</x:v>
      </x:c>
      <x:c r="V216" s="6" t="n">
        <x:f>IF(ISBLANK(P216),IF(AND(ISNUMBER(N216),N216&gt;0,ISNUMBER(O216),O216&gt;=0,ISNUMBER(Q216),Q216&gt;=0,ISNUMBER(R216),R216&gt;=0,ISNUMBER(S216)),0,""),P216)</x:f>
        <x:v>0.05</x:v>
      </x:c>
      <x:c r="W216" s="7" t="n">
        <x:f>IF(ISBLANK(V216),"",N216*O216*(1-V216))</x:f>
        <x:v>707.313</x:v>
      </x:c>
      <x:c r="X216" s="7" t="n">
        <x:f>IF(OR(ISBLANK(W216),ISBLANK(R216)),"",W216-R216)</x:f>
        <x:v>138.313</x:v>
      </x:c>
      <x:c r="Y216" s="8" t="n">
        <x:f>IF(OR(ISBLANK(W216),W216=0),"",X216/W216)</x:f>
        <x:v>0.19554709159876885</x:v>
      </x:c>
      <x:c r="Z216" s="9" t="n">
        <x:f>IF(OR(ISBLANK(B216),ISBLANK(C216)),"",C216-B216)</x:f>
        <x:v>6</x:v>
      </x:c>
      <x:c r="AA216" t="str">
        <x:f>IF(ISBLANK(B216),"",TEXT(B216,"mmm"))</x:f>
        <x:v>Mar</x:v>
      </x:c>
      <x:c r="AB216" s="9" t="n">
        <x:f>IF(ISBLANK(B216),"",YEAR(B216))</x:f>
        <x:v>2024</x:v>
      </x:c>
      <x:c r="AC216" s="10" t="str"/>
      <x:c r="AD216" t="str">
        <x:f>IF(AND(U216="Completed",T216="Paid",ISERROR(SEARCH("INVALID",AC216)),ISERROR(SEARCH("REVIEW",AC216))),"Include","Exclude")</x:f>
        <x:v>Include</x:v>
      </x:c>
      <x:c r="AE216" t="str">
        <x:f>IF(T216="Refunded","Refunded","")</x:f>
      </x:c>
    </x:row>
    <x:row r="217">
      <x:c r="A217" t="str">
        <x:v>ORD-2024-10216</x:v>
      </x:c>
      <x:c r="B217" s="5" t="n">
        <x:v>45352</x:v>
      </x:c>
      <x:c r="C217" s="5" t="n">
        <x:v>45355</x:v>
      </x:c>
      <x:c r="D217" t="str">
        <x:v>CUST-8603</x:v>
      </x:c>
      <x:c r="E217" t="str">
        <x:v>Mira Das</x:v>
      </x:c>
      <x:c r="F217" t="str">
        <x:v>Consumer</x:v>
      </x:c>
      <x:c r="G217" t="str">
        <x:v>West</x:v>
      </x:c>
      <x:c r="H217" t="str">
        <x:v>Madhya Pradesh</x:v>
      </x:c>
      <x:c r="I217" t="str">
        <x:v>Indore</x:v>
      </x:c>
      <x:c r="J217" t="str">
        <x:v>Office Supplies</x:v>
      </x:c>
      <x:c r="K217" t="str">
        <x:v>Paper</x:v>
      </x:c>
      <x:c r="L217" t="str">
        <x:v>Prime Paper 286</x:v>
      </x:c>
      <x:c r="M217" t="str">
        <x:v>First Class</x:v>
      </x:c>
      <x:c r="N217" t="n">
        <x:v>8</x:v>
      </x:c>
      <x:c r="O217" s="7" t="n">
        <x:v>3202.4</x:v>
      </x:c>
      <x:c r="P217" s="6" t="n">
        <x:v>0.25</x:v>
      </x:c>
      <x:c r="Q217" s="7" t="n">
        <x:v>19214.4</x:v>
      </x:c>
      <x:c r="R217" s="7" t="n">
        <x:v>10916.01</x:v>
      </x:c>
      <x:c r="S217" s="7" t="n">
        <x:v>8298.39</x:v>
      </x:c>
      <x:c r="T217" t="str">
        <x:v>Paid</x:v>
      </x:c>
      <x:c r="U217" t="str">
        <x:v>Completed</x:v>
      </x:c>
      <x:c r="V217" s="6" t="n">
        <x:f>IF(ISBLANK(P217),IF(AND(ISNUMBER(N217),N217&gt;0,ISNUMBER(O217),O217&gt;=0,ISNUMBER(Q217),Q217&gt;=0,ISNUMBER(R217),R217&gt;=0,ISNUMBER(S217)),0,""),P217)</x:f>
        <x:v>0.25</x:v>
      </x:c>
      <x:c r="W217" s="7" t="n">
        <x:f>IF(ISBLANK(V217),"",N217*O217*(1-V217))</x:f>
        <x:v>19214.4</x:v>
      </x:c>
      <x:c r="X217" s="7" t="n">
        <x:f>IF(OR(ISBLANK(W217),ISBLANK(R217)),"",W217-R217)</x:f>
        <x:v>8298.390000000001</x:v>
      </x:c>
      <x:c r="Y217" s="8" t="n">
        <x:f>IF(OR(ISBLANK(W217),W217=0),"",X217/W217)</x:f>
        <x:v>0.43188389957531853</x:v>
      </x:c>
      <x:c r="Z217" s="9" t="n">
        <x:f>IF(OR(ISBLANK(B217),ISBLANK(C217)),"",C217-B217)</x:f>
        <x:v>3</x:v>
      </x:c>
      <x:c r="AA217" t="str">
        <x:f>IF(ISBLANK(B217),"",TEXT(B217,"mmm"))</x:f>
        <x:v>Mar</x:v>
      </x:c>
      <x:c r="AB217" s="9" t="n">
        <x:f>IF(ISBLANK(B217),"",YEAR(B217))</x:f>
        <x:v>2024</x:v>
      </x:c>
      <x:c r="AC217" s="10" t="str"/>
      <x:c r="AD217" t="str">
        <x:f>IF(AND(U217="Completed",T217="Paid",ISERROR(SEARCH("INVALID",AC217)),ISERROR(SEARCH("REVIEW",AC217))),"Include","Exclude")</x:f>
        <x:v>Include</x:v>
      </x:c>
      <x:c r="AE217" t="str">
        <x:f>IF(T217="Refunded","Refunded","")</x:f>
      </x:c>
    </x:row>
    <x:row r="218">
      <x:c r="A218" t="str">
        <x:v>ORD-2025-10217</x:v>
      </x:c>
      <x:c r="B218" s="5" t="n">
        <x:v>45757</x:v>
      </x:c>
      <x:c r="C218" s="5" t="n">
        <x:v>45762</x:v>
      </x:c>
      <x:c r="D218" t="str">
        <x:v>CUST-4330</x:v>
      </x:c>
      <x:c r="E218" t="str">
        <x:v>Isha Nair</x:v>
      </x:c>
      <x:c r="F218" t="str">
        <x:v>Consumer</x:v>
      </x:c>
      <x:c r="G218" t="str">
        <x:v>West</x:v>
      </x:c>
      <x:c r="H218" t="str">
        <x:v>Gujarat</x:v>
      </x:c>
      <x:c r="I218" t="str">
        <x:v>Ahmedabad</x:v>
      </x:c>
      <x:c r="J218" t="str">
        <x:v>Furniture</x:v>
      </x:c>
      <x:c r="K218" t="str">
        <x:v>Tables</x:v>
      </x:c>
      <x:c r="L218" t="str">
        <x:v>Basic Tables 400</x:v>
      </x:c>
      <x:c r="M218" t="str">
        <x:v>Standard Class</x:v>
      </x:c>
      <x:c r="N218" t="n">
        <x:v>8</x:v>
      </x:c>
      <x:c r="O218" s="7" t="n">
        <x:v>1839.87</x:v>
      </x:c>
      <x:c r="P218" s="6" t="n">
        <x:v>0.25</x:v>
      </x:c>
      <x:c r="Q218" s="7" t="n">
        <x:v>11039.22</x:v>
      </x:c>
      <x:c r="R218" s="7" t="n">
        <x:v>7642.91</x:v>
      </x:c>
      <x:c r="S218" s="7" t="n">
        <x:v>3396.31</x:v>
      </x:c>
      <x:c r="T218" t="str">
        <x:v>Failed</x:v>
      </x:c>
      <x:c r="U218" t="str">
        <x:v>Returned</x:v>
      </x:c>
      <x:c r="V218" s="6" t="n">
        <x:f>IF(ISBLANK(P218),IF(AND(ISNUMBER(N218),N218&gt;0,ISNUMBER(O218),O218&gt;=0,ISNUMBER(Q218),Q218&gt;=0,ISNUMBER(R218),R218&gt;=0,ISNUMBER(S218)),0,""),P218)</x:f>
        <x:v>0.25</x:v>
      </x:c>
      <x:c r="W218" s="7" t="n">
        <x:f>IF(ISBLANK(V218),"",N218*O218*(1-V218))</x:f>
        <x:v>11039.22</x:v>
      </x:c>
      <x:c r="X218" s="7" t="n">
        <x:f>IF(OR(ISBLANK(W218),ISBLANK(R218)),"",W218-R218)</x:f>
        <x:v>3396.3099999999995</x:v>
      </x:c>
      <x:c r="Y218" s="8" t="n">
        <x:f>IF(OR(ISBLANK(W218),W218=0),"",X218/W218)</x:f>
        <x:v>0.3076585121050219</x:v>
      </x:c>
      <x:c r="Z218" s="9" t="n">
        <x:f>IF(OR(ISBLANK(B218),ISBLANK(C218)),"",C218-B218)</x:f>
        <x:v>5</x:v>
      </x:c>
      <x:c r="AA218" t="str">
        <x:f>IF(ISBLANK(B218),"",TEXT(B218,"mmm"))</x:f>
        <x:v>Apr</x:v>
      </x:c>
      <x:c r="AB218" s="9" t="n">
        <x:f>IF(ISBLANK(B218),"",YEAR(B218))</x:f>
        <x:v>2025</x:v>
      </x:c>
      <x:c r="AC218" s="10" t="str">
        <x:v>EXCLUDE: Failed payment</x:v>
      </x:c>
      <x:c r="AD218" t="str">
        <x:f>IF(AND(U218="Completed",T218="Paid",ISERROR(SEARCH("INVALID",AC218)),ISERROR(SEARCH("REVIEW",AC218))),"Include","Exclude")</x:f>
        <x:v>Exclude</x:v>
      </x:c>
      <x:c r="AE218" t="str">
        <x:f>IF(T218="Refunded","Refunded","")</x:f>
      </x:c>
    </x:row>
    <x:row r="219">
      <x:c r="A219" t="str">
        <x:v>ORD-2025-10218</x:v>
      </x:c>
      <x:c r="B219" s="5" t="n">
        <x:v>45748</x:v>
      </x:c>
      <x:c r="C219" s="5" t="n">
        <x:v>45755</x:v>
      </x:c>
      <x:c r="D219" t="str">
        <x:v>CUST-4533</x:v>
      </x:c>
      <x:c r="E219" t="str">
        <x:v>Aditi Sen</x:v>
      </x:c>
      <x:c r="F219" t="str">
        <x:v>Consumer</x:v>
      </x:c>
      <x:c r="G219" t="str">
        <x:v>East</x:v>
      </x:c>
      <x:c r="H219" t="str">
        <x:v>Odisha</x:v>
      </x:c>
      <x:c r="I219" t="str">
        <x:v>Bhubaneswar</x:v>
      </x:c>
      <x:c r="J219" t="str">
        <x:v>Furniture</x:v>
      </x:c>
      <x:c r="K219" t="str">
        <x:v>Bookcases</x:v>
      </x:c>
      <x:c r="L219" t="str">
        <x:v>Basic Bookcases 405</x:v>
      </x:c>
      <x:c r="M219" t="str">
        <x:v>Second Class</x:v>
      </x:c>
      <x:c r="N219" t="n">
        <x:v>5</x:v>
      </x:c>
      <x:c r="O219" s="7" t="n">
        <x:v>1021.28</x:v>
      </x:c>
      <x:c r="P219" s="6" t="n">
        <x:v>0.1</x:v>
      </x:c>
      <x:c r="Q219" s="7" t="n">
        <x:v>4595.76</x:v>
      </x:c>
      <x:c r="R219" s="7" t="n">
        <x:v>3396.8</x:v>
      </x:c>
      <x:c r="S219" s="7" t="n">
        <x:v>1198.96</x:v>
      </x:c>
      <x:c r="T219" t="str">
        <x:v>Refunded</x:v>
      </x:c>
      <x:c r="U219" t="str">
        <x:v>Cancelled</x:v>
      </x:c>
      <x:c r="V219" s="6" t="n">
        <x:f>IF(ISBLANK(P219),IF(AND(ISNUMBER(N219),N219&gt;0,ISNUMBER(O219),O219&gt;=0,ISNUMBER(Q219),Q219&gt;=0,ISNUMBER(R219),R219&gt;=0,ISNUMBER(S219)),0,""),P219)</x:f>
        <x:v>0.1</x:v>
      </x:c>
      <x:c r="W219" s="7" t="n">
        <x:f>IF(ISBLANK(V219),"",N219*O219*(1-V219))</x:f>
        <x:v>4595.76</x:v>
      </x:c>
      <x:c r="X219" s="7" t="n">
        <x:f>IF(OR(ISBLANK(W219),ISBLANK(R219)),"",W219-R219)</x:f>
        <x:v>1198.96</x:v>
      </x:c>
      <x:c r="Y219" s="8" t="n">
        <x:f>IF(OR(ISBLANK(W219),W219=0),"",X219/W219)</x:f>
        <x:v>0.26088394520166414</x:v>
      </x:c>
      <x:c r="Z219" s="9" t="n">
        <x:f>IF(OR(ISBLANK(B219),ISBLANK(C219)),"",C219-B219)</x:f>
        <x:v>7</x:v>
      </x:c>
      <x:c r="AA219" t="str">
        <x:f>IF(ISBLANK(B219),"",TEXT(B219,"mmm"))</x:f>
        <x:v>Apr</x:v>
      </x:c>
      <x:c r="AB219" s="9" t="n">
        <x:f>IF(ISBLANK(B219),"",YEAR(B219))</x:f>
        <x:v>2025</x:v>
      </x:c>
      <x:c r="AC219" s="10" t="str">
        <x:v>EXCLUDE: Cancelled order; REFUND: Summarize separately</x:v>
      </x:c>
      <x:c r="AD219" t="str">
        <x:f>IF(AND(U219="Completed",T219="Paid",ISERROR(SEARCH("INVALID",AC219)),ISERROR(SEARCH("REVIEW",AC219))),"Include","Exclude")</x:f>
        <x:v>Exclude</x:v>
      </x:c>
      <x:c r="AE219" t="str">
        <x:f>IF(T219="Refunded","Refunded","")</x:f>
        <x:v>Refunded</x:v>
      </x:c>
    </x:row>
    <x:row r="220">
      <x:c r="A220" t="str">
        <x:v>ORD-2025-10219</x:v>
      </x:c>
      <x:c r="B220" s="5" t="n">
        <x:v>45714</x:v>
      </x:c>
      <x:c r="C220" s="5" t="n">
        <x:v>45715</x:v>
      </x:c>
      <x:c r="D220" t="str">
        <x:v>CUST-8270</x:v>
      </x:c>
      <x:c r="E220" t="str">
        <x:v>Priya Menon</x:v>
      </x:c>
      <x:c r="F220" t="str">
        <x:v>Corporate</x:v>
      </x:c>
      <x:c r="G220" t="str">
        <x:v>West</x:v>
      </x:c>
      <x:c r="H220" t="str">
        <x:v>Gujarat</x:v>
      </x:c>
      <x:c r="I220" t="str">
        <x:v>Ahmedabad</x:v>
      </x:c>
      <x:c r="J220" t="str">
        <x:v>Furniture</x:v>
      </x:c>
      <x:c r="K220" t="str">
        <x:v>Bookcases</x:v>
      </x:c>
      <x:c r="L220" t="str">
        <x:v>Classic Bookcases 139</x:v>
      </x:c>
      <x:c r="M220" t="str">
        <x:v>Standard Class</x:v>
      </x:c>
      <x:c r="N220" t="n">
        <x:v>5</x:v>
      </x:c>
      <x:c r="O220" s="7" t="n">
        <x:v>258.28</x:v>
      </x:c>
      <x:c r="P220" s="6" t="n">
        <x:v>0</x:v>
      </x:c>
      <x:c r="Q220" s="7" t="n">
        <x:v>1291.4</x:v>
      </x:c>
      <x:c r="R220" s="7" t="n">
        <x:v>756.93</x:v>
      </x:c>
      <x:c r="S220" s="7" t="n">
        <x:v>534.47</x:v>
      </x:c>
      <x:c r="T220" t="str">
        <x:v>Paid</x:v>
      </x:c>
      <x:c r="U220" t="str">
        <x:v>Completed</x:v>
      </x:c>
      <x:c r="V220" s="6" t="n">
        <x:f>IF(ISBLANK(P220),IF(AND(ISNUMBER(N220),N220&gt;0,ISNUMBER(O220),O220&gt;=0,ISNUMBER(Q220),Q220&gt;=0,ISNUMBER(R220),R220&gt;=0,ISNUMBER(S220)),0,""),P220)</x:f>
        <x:v>0</x:v>
      </x:c>
      <x:c r="W220" s="7" t="n">
        <x:f>IF(ISBLANK(V220),"",N220*O220*(1-V220))</x:f>
        <x:v>1291.3999999999999</x:v>
      </x:c>
      <x:c r="X220" s="7" t="n">
        <x:f>IF(OR(ISBLANK(W220),ISBLANK(R220)),"",W220-R220)</x:f>
        <x:v>534.4699999999999</x:v>
      </x:c>
      <x:c r="Y220" s="8" t="n">
        <x:f>IF(OR(ISBLANK(W220),W220=0),"",X220/W220)</x:f>
        <x:v>0.4138686696608332</x:v>
      </x:c>
      <x:c r="Z220" s="9" t="n">
        <x:f>IF(OR(ISBLANK(B220),ISBLANK(C220)),"",C220-B220)</x:f>
        <x:v>1</x:v>
      </x:c>
      <x:c r="AA220" t="str">
        <x:f>IF(ISBLANK(B220),"",TEXT(B220,"mmm"))</x:f>
        <x:v>Feb</x:v>
      </x:c>
      <x:c r="AB220" s="9" t="n">
        <x:f>IF(ISBLANK(B220),"",YEAR(B220))</x:f>
        <x:v>2025</x:v>
      </x:c>
      <x:c r="AC220" s="10" t="str"/>
      <x:c r="AD220" t="str">
        <x:f>IF(AND(U220="Completed",T220="Paid",ISERROR(SEARCH("INVALID",AC220)),ISERROR(SEARCH("REVIEW",AC220))),"Include","Exclude")</x:f>
        <x:v>Include</x:v>
      </x:c>
      <x:c r="AE220" t="str">
        <x:f>IF(T220="Refunded","Refunded","")</x:f>
      </x:c>
    </x:row>
    <x:row r="221">
      <x:c r="A221" t="str">
        <x:v>ORD-2024-10220</x:v>
      </x:c>
      <x:c r="B221" s="5" t="n">
        <x:v>45461</x:v>
      </x:c>
      <x:c r="C221" s="5" t="n">
        <x:v>45462</x:v>
      </x:c>
      <x:c r="D221" t="str">
        <x:v>CUST-1472</x:v>
      </x:c>
      <x:c r="E221" t="str">
        <x:v>Rahul Verma</x:v>
      </x:c>
      <x:c r="F221" t="str">
        <x:v>Consumer</x:v>
      </x:c>
      <x:c r="G221" t="str">
        <x:v>East</x:v>
      </x:c>
      <x:c r="H221" t="str">
        <x:v>Bihar</x:v>
      </x:c>
      <x:c r="I221" t="str">
        <x:v>Patna</x:v>
      </x:c>
      <x:c r="J221" t="str">
        <x:v>Technology</x:v>
      </x:c>
      <x:c r="K221" t="str">
        <x:v>Machines</x:v>
      </x:c>
      <x:c r="L221" t="str">
        <x:v>Elite Machines 290</x:v>
      </x:c>
      <x:c r="M221" t="str">
        <x:v>First Class</x:v>
      </x:c>
      <x:c r="N221" t="n">
        <x:v>2</x:v>
      </x:c>
      <x:c r="O221" s="7" t="n">
        <x:v>121.49</x:v>
      </x:c>
      <x:c r="P221" s="6" t="n">
        <x:v>0.85</x:v>
      </x:c>
      <x:c r="Q221" s="7" t="n">
        <x:v>242.98</x:v>
      </x:c>
      <x:c r="R221" s="7" t="n">
        <x:v>161.42</x:v>
      </x:c>
      <x:c r="S221" s="7" t="n">
        <x:v>81.56</x:v>
      </x:c>
      <x:c r="T221" t="str">
        <x:v>Paid</x:v>
      </x:c>
      <x:c r="U221" t="str">
        <x:v>Completed</x:v>
      </x:c>
      <x:c r="V221" s="6" t="n">
        <x:f>IF(ISBLANK(P221),IF(AND(ISNUMBER(N221),N221&gt;0,ISNUMBER(O221),O221&gt;=0,ISNUMBER(Q221),Q221&gt;=0,ISNUMBER(R221),R221&gt;=0,ISNUMBER(S221)),0,""),P221)</x:f>
        <x:v>0.85</x:v>
      </x:c>
      <x:c r="W221" s="7" t="n">
        <x:f>IF(ISBLANK(V221),"",N221*O221*(1-V221))</x:f>
        <x:v>36.447</x:v>
      </x:c>
      <x:c r="X221" s="7" t="n">
        <x:f>IF(OR(ISBLANK(W221),ISBLANK(R221)),"",W221-R221)</x:f>
        <x:v>-124.97299999999998</x:v>
      </x:c>
      <x:c r="Y221" s="8" t="n">
        <x:f>IF(OR(ISBLANK(W221),W221=0),"",X221/W221)</x:f>
        <x:v>-3.4288967541910162</x:v>
      </x:c>
      <x:c r="Z221" s="9" t="n">
        <x:f>IF(OR(ISBLANK(B221),ISBLANK(C221)),"",C221-B221)</x:f>
        <x:v>1</x:v>
      </x:c>
      <x:c r="AA221" t="str">
        <x:f>IF(ISBLANK(B221),"",TEXT(B221,"mmm"))</x:f>
        <x:v>Jun</x:v>
      </x:c>
      <x:c r="AB221" s="9" t="n">
        <x:f>IF(ISBLANK(B221),"",YEAR(B221))</x:f>
        <x:v>2024</x:v>
      </x:c>
      <x:c r="AC221" s="10" t="str">
        <x:v>INVALID: Discount above allowed range</x:v>
      </x:c>
      <x:c r="AD221" t="str">
        <x:f>IF(AND(U221="Completed",T221="Paid",ISERROR(SEARCH("INVALID",AC221)),ISERROR(SEARCH("REVIEW",AC221))),"Include","Exclude")</x:f>
        <x:v>Exclude</x:v>
      </x:c>
      <x:c r="AE221" t="str">
        <x:f>IF(T221="Refunded","Refunded","")</x:f>
      </x:c>
    </x:row>
    <x:row r="222">
      <x:c r="A222" t="str">
        <x:v>ORD-2024-10221</x:v>
      </x:c>
      <x:c r="B222" s="5" t="n">
        <x:v>45538</x:v>
      </x:c>
      <x:c r="C222" s="5" t="n">
        <x:v>45538</x:v>
      </x:c>
      <x:c r="D222" t="str">
        <x:v>CUST-1031</x:v>
      </x:c>
      <x:c r="E222" t="str">
        <x:v>Sneha Kapoor</x:v>
      </x:c>
      <x:c r="F222" t="str">
        <x:v>Consumer</x:v>
      </x:c>
      <x:c r="G222" t="str">
        <x:v>South</x:v>
      </x:c>
      <x:c r="H222" t="str">
        <x:v>Kerala</x:v>
      </x:c>
      <x:c r="I222" t="str">
        <x:v>Kochi</x:v>
      </x:c>
      <x:c r="J222" t="str">
        <x:v>Office Supplies</x:v>
      </x:c>
      <x:c r="K222" t="str">
        <x:v>Storage</x:v>
      </x:c>
      <x:c r="L222" t="str">
        <x:v>Elite Storage 925</x:v>
      </x:c>
      <x:c r="M222" t="str">
        <x:v>First Class</x:v>
      </x:c>
      <x:c r="N222" t="n">
        <x:v>4</x:v>
      </x:c>
      <x:c r="O222" s="7" t="n">
        <x:v>2810.17</x:v>
      </x:c>
      <x:c r="P222" s="6" t="n">
        <x:v>0.15</x:v>
      </x:c>
      <x:c r="Q222" s="7" t="n">
        <x:v>9554.58</x:v>
      </x:c>
      <x:c r="R222" s="7" t="n">
        <x:v>6068.47</x:v>
      </x:c>
      <x:c r="S222" s="7" t="n">
        <x:v>3486.11</x:v>
      </x:c>
      <x:c r="T222" t="str">
        <x:v>Refunded</x:v>
      </x:c>
      <x:c r="U222" t="str">
        <x:v>Cancelled</x:v>
      </x:c>
      <x:c r="V222" s="6" t="n">
        <x:f>IF(ISBLANK(P222),IF(AND(ISNUMBER(N222),N222&gt;0,ISNUMBER(O222),O222&gt;=0,ISNUMBER(Q222),Q222&gt;=0,ISNUMBER(R222),R222&gt;=0,ISNUMBER(S222)),0,""),P222)</x:f>
        <x:v>0.15</x:v>
      </x:c>
      <x:c r="W222" s="7" t="n">
        <x:f>IF(ISBLANK(V222),"",N222*O222*(1-V222))</x:f>
        <x:v>9554.578</x:v>
      </x:c>
      <x:c r="X222" s="7" t="n">
        <x:f>IF(OR(ISBLANK(W222),ISBLANK(R222)),"",W222-R222)</x:f>
        <x:v>3486.1079999999993</x:v>
      </x:c>
      <x:c r="Y222" s="8" t="n">
        <x:f>IF(OR(ISBLANK(W222),W222=0),"",X222/W222)</x:f>
        <x:v>0.36486258210462036</x:v>
      </x:c>
      <x:c r="Z222" s="9" t="n">
        <x:f>IF(OR(ISBLANK(B222),ISBLANK(C222)),"",C222-B222)</x:f>
        <x:v>0</x:v>
      </x:c>
      <x:c r="AA222" t="str">
        <x:f>IF(ISBLANK(B222),"",TEXT(B222,"mmm"))</x:f>
        <x:v>Sep</x:v>
      </x:c>
      <x:c r="AB222" s="9" t="n">
        <x:f>IF(ISBLANK(B222),"",YEAR(B222))</x:f>
        <x:v>2024</x:v>
      </x:c>
      <x:c r="AC222" s="10" t="str">
        <x:v>EXCLUDE: Cancelled order; REFUND: Summarize separately</x:v>
      </x:c>
      <x:c r="AD222" t="str">
        <x:f>IF(AND(U222="Completed",T222="Paid",ISERROR(SEARCH("INVALID",AC222)),ISERROR(SEARCH("REVIEW",AC222))),"Include","Exclude")</x:f>
        <x:v>Exclude</x:v>
      </x:c>
      <x:c r="AE222" t="str">
        <x:f>IF(T222="Refunded","Refunded","")</x:f>
        <x:v>Refunded</x:v>
      </x:c>
    </x:row>
    <x:row r="223">
      <x:c r="A223" t="str">
        <x:v>ORD-2025-10222</x:v>
      </x:c>
      <x:c r="B223" s="5" t="n">
        <x:v>45669</x:v>
      </x:c>
      <x:c r="C223" s="5" t="n">
        <x:v>45672</x:v>
      </x:c>
      <x:c r="D223" t="str">
        <x:v>CUST-2495</x:v>
      </x:c>
      <x:c r="E223" t="str">
        <x:v>Mira Das</x:v>
      </x:c>
      <x:c r="F223" t="str">
        <x:v>Corporate</x:v>
      </x:c>
      <x:c r="G223" t="str">
        <x:v>South</x:v>
      </x:c>
      <x:c r="H223" t="str">
        <x:v>Karnataka</x:v>
      </x:c>
      <x:c r="I223" t="str">
        <x:v>Bengaluru</x:v>
      </x:c>
      <x:c r="J223" t="str">
        <x:v>Furniture</x:v>
      </x:c>
      <x:c r="K223" t="str">
        <x:v>Chairs</x:v>
      </x:c>
      <x:c r="L223" t="str">
        <x:v>Classic Chairs 231</x:v>
      </x:c>
      <x:c r="M223" t="str">
        <x:v>Same Day</x:v>
      </x:c>
      <x:c r="N223" t="n">
        <x:v>4</x:v>
      </x:c>
      <x:c r="O223" s="7" t="n">
        <x:v>1531.53</x:v>
      </x:c>
      <x:c r="P223" s="6" t="n">
        <x:v>0.2</x:v>
      </x:c>
      <x:c r="Q223" s="7" t="n">
        <x:v>4900.9</x:v>
      </x:c>
      <x:c r="R223" s="7" t="n">
        <x:v>3552.69</x:v>
      </x:c>
      <x:c r="S223" s="7" t="n">
        <x:v>1348.21</x:v>
      </x:c>
      <x:c r="T223" t="str">
        <x:v>Paid</x:v>
      </x:c>
      <x:c r="U223" t="str">
        <x:v>Completed</x:v>
      </x:c>
      <x:c r="V223" s="6" t="n">
        <x:f>IF(ISBLANK(P223),IF(AND(ISNUMBER(N223),N223&gt;0,ISNUMBER(O223),O223&gt;=0,ISNUMBER(Q223),Q223&gt;=0,ISNUMBER(R223),R223&gt;=0,ISNUMBER(S223)),0,""),P223)</x:f>
        <x:v>0.2</x:v>
      </x:c>
      <x:c r="W223" s="7" t="n">
        <x:f>IF(ISBLANK(V223),"",N223*O223*(1-V223))</x:f>
        <x:v>4900.896</x:v>
      </x:c>
      <x:c r="X223" s="7" t="n">
        <x:f>IF(OR(ISBLANK(W223),ISBLANK(R223)),"",W223-R223)</x:f>
        <x:v>1348.2059999999997</x:v>
      </x:c>
      <x:c r="Y223" s="8" t="n">
        <x:f>IF(OR(ISBLANK(W223),W223=0),"",X223/W223)</x:f>
        <x:v>0.2750937787702493</x:v>
      </x:c>
      <x:c r="Z223" s="9" t="n">
        <x:f>IF(OR(ISBLANK(B223),ISBLANK(C223)),"",C223-B223)</x:f>
        <x:v>3</x:v>
      </x:c>
      <x:c r="AA223" t="str">
        <x:f>IF(ISBLANK(B223),"",TEXT(B223,"mmm"))</x:f>
        <x:v>Jan</x:v>
      </x:c>
      <x:c r="AB223" s="9" t="n">
        <x:f>IF(ISBLANK(B223),"",YEAR(B223))</x:f>
        <x:v>2025</x:v>
      </x:c>
      <x:c r="AC223" s="10" t="str"/>
      <x:c r="AD223" t="str">
        <x:f>IF(AND(U223="Completed",T223="Paid",ISERROR(SEARCH("INVALID",AC223)),ISERROR(SEARCH("REVIEW",AC223))),"Include","Exclude")</x:f>
        <x:v>Include</x:v>
      </x:c>
      <x:c r="AE223" t="str">
        <x:f>IF(T223="Refunded","Refunded","")</x:f>
      </x:c>
    </x:row>
    <x:row r="224">
      <x:c r="A224" t="str">
        <x:v>ORD-2025-10223</x:v>
      </x:c>
      <x:c r="B224" s="5" t="n">
        <x:v>45776</x:v>
      </x:c>
      <x:c r="C224" s="5" t="n">
        <x:v>45779</x:v>
      </x:c>
      <x:c r="D224" t="str">
        <x:v>CUST-4583</x:v>
      </x:c>
      <x:c r="E224" t="str">
        <x:v>Vikram Iyer</x:v>
      </x:c>
      <x:c r="F224" t="str">
        <x:v>Small Business</x:v>
      </x:c>
      <x:c r="G224" t="str">
        <x:v>West</x:v>
      </x:c>
      <x:c r="H224" t="str">
        <x:v>Goa</x:v>
      </x:c>
      <x:c r="I224" t="str">
        <x:v>Panaji</x:v>
      </x:c>
      <x:c r="J224" t="str">
        <x:v>Office Supplies</x:v>
      </x:c>
      <x:c r="K224" t="str">
        <x:v>Storage</x:v>
      </x:c>
      <x:c r="L224" t="str">
        <x:v>Prime Storage 818</x:v>
      </x:c>
      <x:c r="M224" t="str">
        <x:v>First Class</x:v>
      </x:c>
      <x:c r="N224" t="n">
        <x:v>6</x:v>
      </x:c>
      <x:c r="O224" s="7" t="n">
        <x:v>4308.09</x:v>
      </x:c>
      <x:c r="P224" s="6" t="n">
        <x:v>0</x:v>
      </x:c>
      <x:c r="Q224" s="7" t="n">
        <x:v>25848.54</x:v>
      </x:c>
      <x:c r="R224" s="7" t="n">
        <x:v>17729.09</x:v>
      </x:c>
      <x:c r="S224" s="7" t="n">
        <x:v>8119.45</x:v>
      </x:c>
      <x:c r="T224" t="str">
        <x:v>Paid</x:v>
      </x:c>
      <x:c r="U224" t="str">
        <x:v>Completed</x:v>
      </x:c>
      <x:c r="V224" s="6" t="n">
        <x:f>IF(ISBLANK(P224),IF(AND(ISNUMBER(N224),N224&gt;0,ISNUMBER(O224),O224&gt;=0,ISNUMBER(Q224),Q224&gt;=0,ISNUMBER(R224),R224&gt;=0,ISNUMBER(S224)),0,""),P224)</x:f>
        <x:v>0</x:v>
      </x:c>
      <x:c r="W224" s="7" t="n">
        <x:f>IF(ISBLANK(V224),"",N224*O224*(1-V224))</x:f>
        <x:v>25848.54</x:v>
      </x:c>
      <x:c r="X224" s="7" t="n">
        <x:f>IF(OR(ISBLANK(W224),ISBLANK(R224)),"",W224-R224)</x:f>
        <x:v>8119.450000000001</x:v>
      </x:c>
      <x:c r="Y224" s="8" t="n">
        <x:f>IF(OR(ISBLANK(W224),W224=0),"",X224/W224)</x:f>
        <x:v>0.31411638723115504</x:v>
      </x:c>
      <x:c r="Z224" s="9" t="n">
        <x:f>IF(OR(ISBLANK(B224),ISBLANK(C224)),"",C224-B224)</x:f>
        <x:v>3</x:v>
      </x:c>
      <x:c r="AA224" t="str">
        <x:f>IF(ISBLANK(B224),"",TEXT(B224,"mmm"))</x:f>
        <x:v>Apr</x:v>
      </x:c>
      <x:c r="AB224" s="9" t="n">
        <x:f>IF(ISBLANK(B224),"",YEAR(B224))</x:f>
        <x:v>2025</x:v>
      </x:c>
      <x:c r="AC224" s="10" t="str"/>
      <x:c r="AD224" t="str">
        <x:f>IF(AND(U224="Completed",T224="Paid",ISERROR(SEARCH("INVALID",AC224)),ISERROR(SEARCH("REVIEW",AC224))),"Include","Exclude")</x:f>
        <x:v>Include</x:v>
      </x:c>
      <x:c r="AE224" t="str">
        <x:f>IF(T224="Refunded","Refunded","")</x:f>
      </x:c>
    </x:row>
    <x:row r="225">
      <x:c r="A225" t="str">
        <x:v>ORD-2025-10224</x:v>
      </x:c>
      <x:c r="B225" s="5" t="n">
        <x:v>45707</x:v>
      </x:c>
      <x:c r="C225" s="5" t="n">
        <x:v>45714</x:v>
      </x:c>
      <x:c r="D225" t="str">
        <x:v>CUST-5319</x:v>
      </x:c>
      <x:c r="E225" t="str">
        <x:v>Mira Das</x:v>
      </x:c>
      <x:c r="F225" t="str">
        <x:v>Corporate</x:v>
      </x:c>
      <x:c r="G225" t="str">
        <x:v>West</x:v>
      </x:c>
      <x:c r="H225" t="str">
        <x:v>Maharashtra</x:v>
      </x:c>
      <x:c r="I225" t="str">
        <x:v>Mumbai</x:v>
      </x:c>
      <x:c r="J225" t="str">
        <x:v>Furniture</x:v>
      </x:c>
      <x:c r="K225" t="str">
        <x:v>Furnishings</x:v>
      </x:c>
      <x:c r="L225" t="str">
        <x:v>Elite Furnishings 449</x:v>
      </x:c>
      <x:c r="M225" t="str">
        <x:v>First Class</x:v>
      </x:c>
      <x:c r="N225" t="n">
        <x:v>3</x:v>
      </x:c>
      <x:c r="O225" s="7" t="n">
        <x:v>490.3</x:v>
      </x:c>
      <x:c r="P225" s="6" t="n">
        <x:v>0.2</x:v>
      </x:c>
      <x:c r="Q225" s="7" t="n">
        <x:v>1176.72</x:v>
      </x:c>
      <x:c r="R225" s="7" t="n">
        <x:v>654.33</x:v>
      </x:c>
      <x:c r="S225" s="7" t="n">
        <x:v>522.39</x:v>
      </x:c>
      <x:c r="T225" t="str">
        <x:v>Pending</x:v>
      </x:c>
      <x:c r="U225" t="str">
        <x:v>Returned</x:v>
      </x:c>
      <x:c r="V225" s="6" t="n">
        <x:f>IF(ISBLANK(P225),IF(AND(ISNUMBER(N225),N225&gt;0,ISNUMBER(O225),O225&gt;=0,ISNUMBER(Q225),Q225&gt;=0,ISNUMBER(R225),R225&gt;=0,ISNUMBER(S225)),0,""),P225)</x:f>
        <x:v>0.2</x:v>
      </x:c>
      <x:c r="W225" s="7" t="n">
        <x:f>IF(ISBLANK(V225),"",N225*O225*(1-V225))</x:f>
        <x:v>1176.72</x:v>
      </x:c>
      <x:c r="X225" s="7" t="n">
        <x:f>IF(OR(ISBLANK(W225),ISBLANK(R225)),"",W225-R225)</x:f>
        <x:v>522.39</x:v>
      </x:c>
      <x:c r="Y225" s="8" t="n">
        <x:f>IF(OR(ISBLANK(W225),W225=0),"",X225/W225)</x:f>
        <x:v>0.4439373852743218</x:v>
      </x:c>
      <x:c r="Z225" s="9" t="n">
        <x:f>IF(OR(ISBLANK(B225),ISBLANK(C225)),"",C225-B225)</x:f>
        <x:v>7</x:v>
      </x:c>
      <x:c r="AA225" t="str">
        <x:f>IF(ISBLANK(B225),"",TEXT(B225,"mmm"))</x:f>
        <x:v>Feb</x:v>
      </x:c>
      <x:c r="AB225" s="9" t="n">
        <x:f>IF(ISBLANK(B225),"",YEAR(B225))</x:f>
        <x:v>2025</x:v>
      </x:c>
      <x:c r="AC225" s="10" t="str"/>
      <x:c r="AD225" t="str">
        <x:f>IF(AND(U225="Completed",T225="Paid",ISERROR(SEARCH("INVALID",AC225)),ISERROR(SEARCH("REVIEW",AC225))),"Include","Exclude")</x:f>
        <x:v>Exclude</x:v>
      </x:c>
      <x:c r="AE225" t="str">
        <x:f>IF(T225="Refunded","Refunded","")</x:f>
      </x:c>
    </x:row>
    <x:row r="226">
      <x:c r="A226" t="str">
        <x:v>ORD-2025-10225</x:v>
      </x:c>
      <x:c r="B226" s="5" t="n">
        <x:v>45932</x:v>
      </x:c>
      <x:c r="C226" s="5" t="n">
        <x:v>45938</x:v>
      </x:c>
      <x:c r="D226" t="str">
        <x:v>CUST-9871</x:v>
      </x:c>
      <x:c r="E226" t="str">
        <x:v>Isha Nair</x:v>
      </x:c>
      <x:c r="F226" t="str">
        <x:v>Small Business</x:v>
      </x:c>
      <x:c r="G226" t="str">
        <x:v>North</x:v>
      </x:c>
      <x:c r="H226" t="str">
        <x:v>Punjab</x:v>
      </x:c>
      <x:c r="I226" t="str">
        <x:v>Ludhiana</x:v>
      </x:c>
      <x:c r="J226" t="str">
        <x:v>Furniture</x:v>
      </x:c>
      <x:c r="K226" t="str">
        <x:v>Furnishings</x:v>
      </x:c>
      <x:c r="L226" t="str">
        <x:v>Classic Furnishings 109</x:v>
      </x:c>
      <x:c r="M226" t="str">
        <x:v>Standard Class</x:v>
      </x:c>
      <x:c r="N226" t="n">
        <x:v>4</x:v>
      </x:c>
      <x:c r="O226" s="7" t="n">
        <x:v>3944.64</x:v>
      </x:c>
      <x:c r="P226" s="6" t="n">
        <x:v>0.25</x:v>
      </x:c>
      <x:c r="Q226" s="7" t="n">
        <x:v>11833.92</x:v>
      </x:c>
      <x:c r="R226" s="7" t="n">
        <x:v>6682.92</x:v>
      </x:c>
      <x:c r="S226" s="7" t="n">
        <x:v>5151</x:v>
      </x:c>
      <x:c r="T226" t="str">
        <x:v>Paid</x:v>
      </x:c>
      <x:c r="U226" t="str">
        <x:v>Cancelled</x:v>
      </x:c>
      <x:c r="V226" s="6" t="n">
        <x:f>IF(ISBLANK(P226),IF(AND(ISNUMBER(N226),N226&gt;0,ISNUMBER(O226),O226&gt;=0,ISNUMBER(Q226),Q226&gt;=0,ISNUMBER(R226),R226&gt;=0,ISNUMBER(S226)),0,""),P226)</x:f>
        <x:v>0.25</x:v>
      </x:c>
      <x:c r="W226" s="7" t="n">
        <x:f>IF(ISBLANK(V226),"",N226*O226*(1-V226))</x:f>
        <x:v>11833.92</x:v>
      </x:c>
      <x:c r="X226" s="7" t="n">
        <x:f>IF(OR(ISBLANK(W226),ISBLANK(R226)),"",W226-R226)</x:f>
        <x:v>5151</x:v>
      </x:c>
      <x:c r="Y226" s="8" t="n">
        <x:f>IF(OR(ISBLANK(W226),W226=0),"",X226/W226)</x:f>
        <x:v>0.43527419485681834</x:v>
      </x:c>
      <x:c r="Z226" s="9" t="n">
        <x:f>IF(OR(ISBLANK(B226),ISBLANK(C226)),"",C226-B226)</x:f>
        <x:v>6</x:v>
      </x:c>
      <x:c r="AA226" t="str">
        <x:f>IF(ISBLANK(B226),"",TEXT(B226,"mmm"))</x:f>
        <x:v>Oct</x:v>
      </x:c>
      <x:c r="AB226" s="9" t="n">
        <x:f>IF(ISBLANK(B226),"",YEAR(B226))</x:f>
        <x:v>2025</x:v>
      </x:c>
      <x:c r="AC226" s="10" t="str">
        <x:v>EXCLUDE: Cancelled order; REVIEW: Conflicting duplicate order_id</x:v>
      </x:c>
      <x:c r="AD226" t="str">
        <x:f>IF(AND(U226="Completed",T226="Paid",ISERROR(SEARCH("INVALID",AC226)),ISERROR(SEARCH("REVIEW",AC226))),"Include","Exclude")</x:f>
        <x:v>Exclude</x:v>
      </x:c>
      <x:c r="AE226" t="str">
        <x:f>IF(T226="Refunded","Refunded","")</x:f>
      </x:c>
    </x:row>
    <x:row r="227">
      <x:c r="A227" t="str">
        <x:v>ORD-2024-10226</x:v>
      </x:c>
      <x:c r="B227" s="5" t="n">
        <x:v>45537</x:v>
      </x:c>
      <x:c r="C227" s="5" t="n">
        <x:v>45545</x:v>
      </x:c>
      <x:c r="D227" t="str">
        <x:v>CUST-1266</x:v>
      </x:c>
      <x:c r="E227" t="str">
        <x:v>Mira Das</x:v>
      </x:c>
      <x:c r="F227" t="str">
        <x:v>Corporate</x:v>
      </x:c>
      <x:c r="G227" t="str">
        <x:v>West</x:v>
      </x:c>
      <x:c r="H227" t="str">
        <x:v>Goa</x:v>
      </x:c>
      <x:c r="I227" t="str">
        <x:v>Panaji</x:v>
      </x:c>
      <x:c r="J227" t="str">
        <x:v>Technology</x:v>
      </x:c>
      <x:c r="K227" t="str">
        <x:v>Phones</x:v>
      </x:c>
      <x:c r="L227" t="str">
        <x:v>Classic Phones 548</x:v>
      </x:c>
      <x:c r="M227" t="str">
        <x:v>Standard Class</x:v>
      </x:c>
      <x:c r="N227" t="n">
        <x:v>6</x:v>
      </x:c>
      <x:c r="O227" s="7" t="n">
        <x:v>1032.47</x:v>
      </x:c>
      <x:c r="P227" s="6" t="n">
        <x:v>0.15</x:v>
      </x:c>
      <x:c r="Q227" s="7" t="n">
        <x:v>5265.6</x:v>
      </x:c>
      <x:c r="R227" s="7" t="n">
        <x:v>4293.11</x:v>
      </x:c>
      <x:c r="S227" s="7" t="n">
        <x:v>787.57</x:v>
      </x:c>
      <x:c r="T227" t="str">
        <x:v>Paid</x:v>
      </x:c>
      <x:c r="U227" t="str">
        <x:v>Completed</x:v>
      </x:c>
      <x:c r="V227" s="6" t="n">
        <x:f>IF(ISBLANK(P227),IF(AND(ISNUMBER(N227),N227&gt;0,ISNUMBER(O227),O227&gt;=0,ISNUMBER(Q227),Q227&gt;=0,ISNUMBER(R227),R227&gt;=0,ISNUMBER(S227)),0,""),P227)</x:f>
        <x:v>0.15</x:v>
      </x:c>
      <x:c r="W227" s="7" t="n">
        <x:f>IF(ISBLANK(V227),"",N227*O227*(1-V227))</x:f>
        <x:v>5265.597</x:v>
      </x:c>
      <x:c r="X227" s="7" t="n">
        <x:f>IF(OR(ISBLANK(W227),ISBLANK(R227)),"",W227-R227)</x:f>
        <x:v>972.4870000000001</x:v>
      </x:c>
      <x:c r="Y227" s="8" t="n">
        <x:f>IF(OR(ISBLANK(W227),W227=0),"",X227/W227)</x:f>
        <x:v>0.18468694053114967</x:v>
      </x:c>
      <x:c r="Z227" s="9" t="n">
        <x:f>IF(OR(ISBLANK(B227),ISBLANK(C227)),"",C227-B227)</x:f>
        <x:v>8</x:v>
      </x:c>
      <x:c r="AA227" t="str">
        <x:f>IF(ISBLANK(B227),"",TEXT(B227,"mmm"))</x:f>
        <x:v>Sep</x:v>
      </x:c>
      <x:c r="AB227" s="9" t="n">
        <x:f>IF(ISBLANK(B227),"",YEAR(B227))</x:f>
        <x:v>2024</x:v>
      </x:c>
      <x:c r="AC227" s="10" t="str"/>
      <x:c r="AD227" t="str">
        <x:f>IF(AND(U227="Completed",T227="Paid",ISERROR(SEARCH("INVALID",AC227)),ISERROR(SEARCH("REVIEW",AC227))),"Include","Exclude")</x:f>
        <x:v>Include</x:v>
      </x:c>
      <x:c r="AE227" t="str">
        <x:f>IF(T227="Refunded","Refunded","")</x:f>
      </x:c>
    </x:row>
    <x:row r="228">
      <x:c r="A228" t="str">
        <x:v>ORD-2025-10227</x:v>
      </x:c>
      <x:c r="B228" s="5" t="n">
        <x:v>45757</x:v>
      </x:c>
      <x:c r="C228" s="5" t="n">
        <x:v>45762</x:v>
      </x:c>
      <x:c r="D228" t="str">
        <x:v>CUST-2545</x:v>
      </x:c>
      <x:c r="E228" t="str">
        <x:v>Diya Patel</x:v>
      </x:c>
      <x:c r="F228" t="str">
        <x:v>Home Office</x:v>
      </x:c>
      <x:c r="G228" t="str">
        <x:v>Unknown</x:v>
      </x:c>
      <x:c r="H228" t="str">
        <x:v>Kerala</x:v>
      </x:c>
      <x:c r="I228" t="str">
        <x:v>Kochi</x:v>
      </x:c>
      <x:c r="J228" t="str">
        <x:v>Technology</x:v>
      </x:c>
      <x:c r="K228" t="str">
        <x:v>Copiers</x:v>
      </x:c>
      <x:c r="L228" t="str">
        <x:v>Max Copiers 363</x:v>
      </x:c>
      <x:c r="M228" t="str">
        <x:v>Same Day</x:v>
      </x:c>
      <x:c r="N228" t="n">
        <x:v>1</x:v>
      </x:c>
      <x:c r="O228" s="7" t="n">
        <x:v>2208.27</x:v>
      </x:c>
      <x:c r="P228" s="6" t="n">
        <x:v>0.1</x:v>
      </x:c>
      <x:c r="Q228" s="7" t="n">
        <x:v>1987.44</x:v>
      </x:c>
      <x:c r="R228" s="7" t="n">
        <x:v>1110.23</x:v>
      </x:c>
      <x:c r="S228" s="7" t="n">
        <x:v>877.21</x:v>
      </x:c>
      <x:c r="T228" t="str">
        <x:v>Paid</x:v>
      </x:c>
      <x:c r="U228" t="str">
        <x:v>Completed</x:v>
      </x:c>
      <x:c r="V228" s="6" t="n">
        <x:f>IF(ISBLANK(P228),IF(AND(ISNUMBER(N228),N228&gt;0,ISNUMBER(O228),O228&gt;=0,ISNUMBER(Q228),Q228&gt;=0,ISNUMBER(R228),R228&gt;=0,ISNUMBER(S228)),0,""),P228)</x:f>
        <x:v>0.1</x:v>
      </x:c>
      <x:c r="W228" s="7" t="n">
        <x:f>IF(ISBLANK(V228),"",N228*O228*(1-V228))</x:f>
        <x:v>1987.443</x:v>
      </x:c>
      <x:c r="X228" s="7" t="n">
        <x:f>IF(OR(ISBLANK(W228),ISBLANK(R228)),"",W228-R228)</x:f>
        <x:v>877.213</x:v>
      </x:c>
      <x:c r="Y228" s="8" t="n">
        <x:f>IF(OR(ISBLANK(W228),W228=0),"",X228/W228)</x:f>
        <x:v>0.44137768982556985</x:v>
      </x:c>
      <x:c r="Z228" s="9" t="n">
        <x:f>IF(OR(ISBLANK(B228),ISBLANK(C228)),"",C228-B228)</x:f>
        <x:v>5</x:v>
      </x:c>
      <x:c r="AA228" t="str">
        <x:f>IF(ISBLANK(B228),"",TEXT(B228,"mmm"))</x:f>
        <x:v>Apr</x:v>
      </x:c>
      <x:c r="AB228" s="9" t="n">
        <x:f>IF(ISBLANK(B228),"",YEAR(B228))</x:f>
        <x:v>2025</x:v>
      </x:c>
      <x:c r="AC228" s="10" t="str">
        <x:v>FLAG: Missing region filled as Unknown</x:v>
      </x:c>
      <x:c r="AD228" t="str">
        <x:f>IF(AND(U228="Completed",T228="Paid",ISERROR(SEARCH("INVALID",AC228)),ISERROR(SEARCH("REVIEW",AC228))),"Include","Exclude")</x:f>
        <x:v>Include</x:v>
      </x:c>
      <x:c r="AE228" t="str">
        <x:f>IF(T228="Refunded","Refunded","")</x:f>
      </x:c>
    </x:row>
    <x:row r="229">
      <x:c r="A229" t="str">
        <x:v>ORD-2024-10228</x:v>
      </x:c>
      <x:c r="B229" s="5" t="n">
        <x:v>45478</x:v>
      </x:c>
      <x:c r="C229" s="5" t="n">
        <x:v>45485</x:v>
      </x:c>
      <x:c r="D229" t="str">
        <x:v>CUST-2819</x:v>
      </x:c>
      <x:c r="E229" t="str">
        <x:v>Ananya Rao</x:v>
      </x:c>
      <x:c r="F229" t="str">
        <x:v>Small Business</x:v>
      </x:c>
      <x:c r="G229" t="str">
        <x:v>West</x:v>
      </x:c>
      <x:c r="H229" t="str">
        <x:v>Goa</x:v>
      </x:c>
      <x:c r="I229" t="str">
        <x:v>Panaji</x:v>
      </x:c>
      <x:c r="J229" t="str">
        <x:v>Office Supplies</x:v>
      </x:c>
      <x:c r="K229" t="str">
        <x:v>Binders</x:v>
      </x:c>
      <x:c r="L229" t="str">
        <x:v>Prime Binders 507</x:v>
      </x:c>
      <x:c r="M229" t="str">
        <x:v>First Class</x:v>
      </x:c>
      <x:c r="N229" t="n">
        <x:v>3</x:v>
      </x:c>
      <x:c r="O229" s="7" t="n">
        <x:v>577.75</x:v>
      </x:c>
      <x:c r="P229" s="6" t="n">
        <x:v>0.15</x:v>
      </x:c>
      <x:c r="Q229" s="7" t="n">
        <x:v>1473.26</x:v>
      </x:c>
      <x:c r="R229" s="7" t="n">
        <x:v>899.86</x:v>
      </x:c>
      <x:c r="S229" s="7" t="n">
        <x:v>573.4</x:v>
      </x:c>
      <x:c r="T229" t="str">
        <x:v>Paid</x:v>
      </x:c>
      <x:c r="U229" t="str">
        <x:v>Completed</x:v>
      </x:c>
      <x:c r="V229" s="6" t="n">
        <x:f>IF(ISBLANK(P229),IF(AND(ISNUMBER(N229),N229&gt;0,ISNUMBER(O229),O229&gt;=0,ISNUMBER(Q229),Q229&gt;=0,ISNUMBER(R229),R229&gt;=0,ISNUMBER(S229)),0,""),P229)</x:f>
        <x:v>0.15</x:v>
      </x:c>
      <x:c r="W229" s="7" t="n">
        <x:f>IF(ISBLANK(V229),"",N229*O229*(1-V229))</x:f>
        <x:v>1473.2625</x:v>
      </x:c>
      <x:c r="X229" s="7" t="n">
        <x:f>IF(OR(ISBLANK(W229),ISBLANK(R229)),"",W229-R229)</x:f>
        <x:v>573.4025</x:v>
      </x:c>
      <x:c r="Y229" s="8" t="n">
        <x:f>IF(OR(ISBLANK(W229),W229=0),"",X229/W229)</x:f>
        <x:v>0.38920592901808065</x:v>
      </x:c>
      <x:c r="Z229" s="9" t="n">
        <x:f>IF(OR(ISBLANK(B229),ISBLANK(C229)),"",C229-B229)</x:f>
        <x:v>7</x:v>
      </x:c>
      <x:c r="AA229" t="str">
        <x:f>IF(ISBLANK(B229),"",TEXT(B229,"mmm"))</x:f>
        <x:v>Jul</x:v>
      </x:c>
      <x:c r="AB229" s="9" t="n">
        <x:f>IF(ISBLANK(B229),"",YEAR(B229))</x:f>
        <x:v>2024</x:v>
      </x:c>
      <x:c r="AC229" s="10" t="str"/>
      <x:c r="AD229" t="str">
        <x:f>IF(AND(U229="Completed",T229="Paid",ISERROR(SEARCH("INVALID",AC229)),ISERROR(SEARCH("REVIEW",AC229))),"Include","Exclude")</x:f>
        <x:v>Include</x:v>
      </x:c>
      <x:c r="AE229" t="str">
        <x:f>IF(T229="Refunded","Refunded","")</x:f>
      </x:c>
    </x:row>
    <x:row r="230">
      <x:c r="A230" t="str">
        <x:v>ORD-2024-10229</x:v>
      </x:c>
      <x:c r="B230" s="5" t="n">
        <x:v>45406</x:v>
      </x:c>
      <x:c r="C230" s="5" t="n">
        <x:v>45410</x:v>
      </x:c>
      <x:c r="D230" t="str">
        <x:v>CUST-1076</x:v>
      </x:c>
      <x:c r="E230" t="str">
        <x:v>Karan Malhotra</x:v>
      </x:c>
      <x:c r="F230" t="str">
        <x:v>Small Business</x:v>
      </x:c>
      <x:c r="G230" t="str">
        <x:v>South</x:v>
      </x:c>
      <x:c r="H230" t="str">
        <x:v>Telangana</x:v>
      </x:c>
      <x:c r="I230" t="str">
        <x:v>Hyderabad</x:v>
      </x:c>
      <x:c r="J230" t="str">
        <x:v>Office Supplies</x:v>
      </x:c>
      <x:c r="K230" t="str">
        <x:v>Labels</x:v>
      </x:c>
      <x:c r="L230" t="str">
        <x:v>Smart Labels 914</x:v>
      </x:c>
      <x:c r="M230" t="str">
        <x:v>Second Class</x:v>
      </x:c>
      <x:c r="N230" t="n">
        <x:v>1</x:v>
      </x:c>
      <x:c r="O230" s="7" t="n">
        <x:v>3194.37</x:v>
      </x:c>
      <x:c r="P230" s="6" t="n">
        <x:v>0.15</x:v>
      </x:c>
      <x:c r="Q230" s="7" t="n">
        <x:v>2715.21</x:v>
      </x:c>
      <x:c r="R230" s="7" t="n">
        <x:v>1551.55</x:v>
      </x:c>
      <x:c r="S230" s="7" t="n">
        <x:v>1163.66</x:v>
      </x:c>
      <x:c r="T230" t="str">
        <x:v>Paid</x:v>
      </x:c>
      <x:c r="U230" t="str">
        <x:v>Completed</x:v>
      </x:c>
      <x:c r="V230" s="6" t="n">
        <x:f>IF(ISBLANK(P230),IF(AND(ISNUMBER(N230),N230&gt;0,ISNUMBER(O230),O230&gt;=0,ISNUMBER(Q230),Q230&gt;=0,ISNUMBER(R230),R230&gt;=0,ISNUMBER(S230)),0,""),P230)</x:f>
        <x:v>0.15</x:v>
      </x:c>
      <x:c r="W230" s="7" t="n">
        <x:f>IF(ISBLANK(V230),"",N230*O230*(1-V230))</x:f>
        <x:v>2715.2145</x:v>
      </x:c>
      <x:c r="X230" s="7" t="n">
        <x:f>IF(OR(ISBLANK(W230),ISBLANK(R230)),"",W230-R230)</x:f>
        <x:v>1163.6645</x:v>
      </x:c>
      <x:c r="Y230" s="8" t="n">
        <x:f>IF(OR(ISBLANK(W230),W230=0),"",X230/W230)</x:f>
        <x:v>0.4285718494800319</x:v>
      </x:c>
      <x:c r="Z230" s="9" t="n">
        <x:f>IF(OR(ISBLANK(B230),ISBLANK(C230)),"",C230-B230)</x:f>
        <x:v>4</x:v>
      </x:c>
      <x:c r="AA230" t="str">
        <x:f>IF(ISBLANK(B230),"",TEXT(B230,"mmm"))</x:f>
        <x:v>Apr</x:v>
      </x:c>
      <x:c r="AB230" s="9" t="n">
        <x:f>IF(ISBLANK(B230),"",YEAR(B230))</x:f>
        <x:v>2024</x:v>
      </x:c>
      <x:c r="AC230" s="10" t="str"/>
      <x:c r="AD230" t="str">
        <x:f>IF(AND(U230="Completed",T230="Paid",ISERROR(SEARCH("INVALID",AC230)),ISERROR(SEARCH("REVIEW",AC230))),"Include","Exclude")</x:f>
        <x:v>Include</x:v>
      </x:c>
      <x:c r="AE230" t="str">
        <x:f>IF(T230="Refunded","Refunded","")</x:f>
      </x:c>
    </x:row>
    <x:row r="231">
      <x:c r="A231" t="str">
        <x:v>ORD-2025-10230</x:v>
      </x:c>
      <x:c r="B231" s="5" t="n">
        <x:v>45836</x:v>
      </x:c>
      <x:c r="C231" s="5" t="n">
        <x:v>45842</x:v>
      </x:c>
      <x:c r="D231" t="str">
        <x:v>CUST-1943</x:v>
      </x:c>
      <x:c r="E231" t="str">
        <x:v>Rohan Mehta</x:v>
      </x:c>
      <x:c r="F231" t="str">
        <x:v>Consumer</x:v>
      </x:c>
      <x:c r="G231" t="str">
        <x:v>South</x:v>
      </x:c>
      <x:c r="H231" t="str">
        <x:v>Telangana</x:v>
      </x:c>
      <x:c r="I231" t="str">
        <x:v>Hyderabad</x:v>
      </x:c>
      <x:c r="J231" t="str">
        <x:v>Furniture</x:v>
      </x:c>
      <x:c r="K231" t="str">
        <x:v>Bookcases</x:v>
      </x:c>
      <x:c r="L231" t="str">
        <x:v>Smart Bookcases 662</x:v>
      </x:c>
      <x:c r="M231" t="str">
        <x:v>First Class</x:v>
      </x:c>
      <x:c r="N231" t="n">
        <x:v>3</x:v>
      </x:c>
      <x:c r="O231" s="7" t="n">
        <x:v>2886.23</x:v>
      </x:c>
      <x:c r="P231" s="6" t="n">
        <x:v>0</x:v>
      </x:c>
      <x:c r="Q231" s="7" t="n">
        <x:v>8658.69</x:v>
      </x:c>
      <x:c r="R231" s="7" t="n">
        <x:v>5535.94</x:v>
      </x:c>
      <x:c r="S231" s="7" t="n">
        <x:v>3122.75</x:v>
      </x:c>
      <x:c r="T231" t="str">
        <x:v>Refunded</x:v>
      </x:c>
      <x:c r="U231" t="str">
        <x:v>Returned</x:v>
      </x:c>
      <x:c r="V231" s="6" t="n">
        <x:f>IF(ISBLANK(P231),IF(AND(ISNUMBER(N231),N231&gt;0,ISNUMBER(O231),O231&gt;=0,ISNUMBER(Q231),Q231&gt;=0,ISNUMBER(R231),R231&gt;=0,ISNUMBER(S231)),0,""),P231)</x:f>
        <x:v>0</x:v>
      </x:c>
      <x:c r="W231" s="7" t="n">
        <x:f>IF(ISBLANK(V231),"",N231*O231*(1-V231))</x:f>
        <x:v>8658.69</x:v>
      </x:c>
      <x:c r="X231" s="7" t="n">
        <x:f>IF(OR(ISBLANK(W231),ISBLANK(R231)),"",W231-R231)</x:f>
        <x:v>3122.750000000001</x:v>
      </x:c>
      <x:c r="Y231" s="8" t="n">
        <x:f>IF(OR(ISBLANK(W231),W231=0),"",X231/W231)</x:f>
        <x:v>0.3606492437077665</x:v>
      </x:c>
      <x:c r="Z231" s="9" t="n">
        <x:f>IF(OR(ISBLANK(B231),ISBLANK(C231)),"",C231-B231)</x:f>
        <x:v>6</x:v>
      </x:c>
      <x:c r="AA231" t="str">
        <x:f>IF(ISBLANK(B231),"",TEXT(B231,"mmm"))</x:f>
        <x:v>Jun</x:v>
      </x:c>
      <x:c r="AB231" s="9" t="n">
        <x:f>IF(ISBLANK(B231),"",YEAR(B231))</x:f>
        <x:v>2025</x:v>
      </x:c>
      <x:c r="AC231" s="10" t="str">
        <x:v>REFUND: Summarize separately</x:v>
      </x:c>
      <x:c r="AD231" t="str">
        <x:f>IF(AND(U231="Completed",T231="Paid",ISERROR(SEARCH("INVALID",AC231)),ISERROR(SEARCH("REVIEW",AC231))),"Include","Exclude")</x:f>
        <x:v>Exclude</x:v>
      </x:c>
      <x:c r="AE231" t="str">
        <x:f>IF(T231="Refunded","Refunded","")</x:f>
        <x:v>Refunded</x:v>
      </x:c>
    </x:row>
    <x:row r="232">
      <x:c r="A232" t="str">
        <x:v>ORD-2024-10231</x:v>
      </x:c>
      <x:c r="B232" s="5" t="n">
        <x:v>45440</x:v>
      </x:c>
      <x:c r="C232" s="5" t="n">
        <x:v>45446</x:v>
      </x:c>
      <x:c r="D232" t="str">
        <x:v>CUST-3434</x:v>
      </x:c>
      <x:c r="E232" t="str">
        <x:v>Neha Gupta</x:v>
      </x:c>
      <x:c r="F232" t="str">
        <x:v>Small Business</x:v>
      </x:c>
      <x:c r="G232" t="str">
        <x:v>North</x:v>
      </x:c>
      <x:c r="H232" t="str">
        <x:v>Rajasthan</x:v>
      </x:c>
      <x:c r="I232" t="str">
        <x:v>Jaipur</x:v>
      </x:c>
      <x:c r="J232" t="str">
        <x:v>Office Supplies</x:v>
      </x:c>
      <x:c r="K232" t="str">
        <x:v>Paper</x:v>
      </x:c>
      <x:c r="L232" t="str">
        <x:v>Eco Paper 937</x:v>
      </x:c>
      <x:c r="M232" t="str">
        <x:v>Standard Class</x:v>
      </x:c>
      <x:c r="N232" t="n">
        <x:v>8</x:v>
      </x:c>
      <x:c r="O232" s="7" t="n">
        <x:v>1540.33</x:v>
      </x:c>
      <x:c r="P232" s="6" t="n">
        <x:v>0.1</x:v>
      </x:c>
      <x:c r="Q232" s="7" t="n">
        <x:v>11090.38</x:v>
      </x:c>
      <x:c r="R232" s="7" t="n">
        <x:v>8840.95</x:v>
      </x:c>
      <x:c r="S232" s="7" t="n">
        <x:v>2249.43</x:v>
      </x:c>
      <x:c r="T232" t="str">
        <x:v>Paid</x:v>
      </x:c>
      <x:c r="U232" t="str">
        <x:v>Completed</x:v>
      </x:c>
      <x:c r="V232" s="6" t="n">
        <x:f>IF(ISBLANK(P232),IF(AND(ISNUMBER(N232),N232&gt;0,ISNUMBER(O232),O232&gt;=0,ISNUMBER(Q232),Q232&gt;=0,ISNUMBER(R232),R232&gt;=0,ISNUMBER(S232)),0,""),P232)</x:f>
        <x:v>0.1</x:v>
      </x:c>
      <x:c r="W232" s="7" t="n">
        <x:f>IF(ISBLANK(V232),"",N232*O232*(1-V232))</x:f>
        <x:v>11090.376</x:v>
      </x:c>
      <x:c r="X232" s="7" t="n">
        <x:f>IF(OR(ISBLANK(W232),ISBLANK(R232)),"",W232-R232)</x:f>
        <x:v>2249.4259999999995</x:v>
      </x:c>
      <x:c r="Y232" s="8" t="n">
        <x:f>IF(OR(ISBLANK(W232),W232=0),"",X232/W232)</x:f>
        <x:v>0.20282684734944958</x:v>
      </x:c>
      <x:c r="Z232" s="9" t="n">
        <x:f>IF(OR(ISBLANK(B232),ISBLANK(C232)),"",C232-B232)</x:f>
        <x:v>6</x:v>
      </x:c>
      <x:c r="AA232" t="str">
        <x:f>IF(ISBLANK(B232),"",TEXT(B232,"mmm"))</x:f>
        <x:v>May</x:v>
      </x:c>
      <x:c r="AB232" s="9" t="n">
        <x:f>IF(ISBLANK(B232),"",YEAR(B232))</x:f>
        <x:v>2024</x:v>
      </x:c>
      <x:c r="AC232" s="10" t="str"/>
      <x:c r="AD232" t="str">
        <x:f>IF(AND(U232="Completed",T232="Paid",ISERROR(SEARCH("INVALID",AC232)),ISERROR(SEARCH("REVIEW",AC232))),"Include","Exclude")</x:f>
        <x:v>Include</x:v>
      </x:c>
      <x:c r="AE232" t="str">
        <x:f>IF(T232="Refunded","Refunded","")</x:f>
      </x:c>
    </x:row>
    <x:row r="233">
      <x:c r="A233" t="str">
        <x:v>ORD-2024-10232</x:v>
      </x:c>
      <x:c r="B233" s="5" t="n">
        <x:v>45414</x:v>
      </x:c>
      <x:c r="C233" s="5" t="n">
        <x:v>45414</x:v>
      </x:c>
      <x:c r="D233" t="str">
        <x:v>CUST-9139</x:v>
      </x:c>
      <x:c r="E233" t="str">
        <x:v>Ananya Rao</x:v>
      </x:c>
      <x:c r="F233" t="str">
        <x:v>Corporate</x:v>
      </x:c>
      <x:c r="G233" t="str">
        <x:v>North</x:v>
      </x:c>
      <x:c r="H233" t="str">
        <x:v>Rajasthan</x:v>
      </x:c>
      <x:c r="I233" t="str">
        <x:v>Jaipur</x:v>
      </x:c>
      <x:c r="J233" t="str">
        <x:v>Office Supplies</x:v>
      </x:c>
      <x:c r="K233" t="str">
        <x:v>Labels</x:v>
      </x:c>
      <x:c r="L233" t="str">
        <x:v>Max Labels 370</x:v>
      </x:c>
      <x:c r="M233" t="str">
        <x:v>First Class</x:v>
      </x:c>
      <x:c r="N233" t="n">
        <x:v>7</x:v>
      </x:c>
      <x:c r="O233" s="7" t="n">
        <x:v>2183.38</x:v>
      </x:c>
      <x:c r="P233" s="6" t="n">
        <x:v>0.25</x:v>
      </x:c>
      <x:c r="Q233" s="7" t="n">
        <x:v>11462.74</x:v>
      </x:c>
      <x:c r="R233" s="7" t="n">
        <x:v>7163.54</x:v>
      </x:c>
      <x:c r="S233" s="7" t="n">
        <x:v>4299.2</x:v>
      </x:c>
      <x:c r="T233" t="str">
        <x:v>Refunded</x:v>
      </x:c>
      <x:c r="U233" t="str">
        <x:v>Cancelled</x:v>
      </x:c>
      <x:c r="V233" s="6" t="n">
        <x:f>IF(ISBLANK(P233),IF(AND(ISNUMBER(N233),N233&gt;0,ISNUMBER(O233),O233&gt;=0,ISNUMBER(Q233),Q233&gt;=0,ISNUMBER(R233),R233&gt;=0,ISNUMBER(S233)),0,""),P233)</x:f>
        <x:v>0.25</x:v>
      </x:c>
      <x:c r="W233" s="7" t="n">
        <x:f>IF(ISBLANK(V233),"",N233*O233*(1-V233))</x:f>
        <x:v>11462.744999999999</x:v>
      </x:c>
      <x:c r="X233" s="7" t="n">
        <x:f>IF(OR(ISBLANK(W233),ISBLANK(R233)),"",W233-R233)</x:f>
        <x:v>4299.204999999999</x:v>
      </x:c>
      <x:c r="Y233" s="8" t="n">
        <x:f>IF(OR(ISBLANK(W233),W233=0),"",X233/W233)</x:f>
        <x:v>0.3750589409430289</x:v>
      </x:c>
      <x:c r="Z233" s="9" t="n">
        <x:f>IF(OR(ISBLANK(B233),ISBLANK(C233)),"",C233-B233)</x:f>
        <x:v>0</x:v>
      </x:c>
      <x:c r="AA233" t="str">
        <x:f>IF(ISBLANK(B233),"",TEXT(B233,"mmm"))</x:f>
        <x:v>May</x:v>
      </x:c>
      <x:c r="AB233" s="9" t="n">
        <x:f>IF(ISBLANK(B233),"",YEAR(B233))</x:f>
        <x:v>2024</x:v>
      </x:c>
      <x:c r="AC233" s="10" t="str">
        <x:v>EXCLUDE: Cancelled order; REFUND: Summarize separately</x:v>
      </x:c>
      <x:c r="AD233" t="str">
        <x:f>IF(AND(U233="Completed",T233="Paid",ISERROR(SEARCH("INVALID",AC233)),ISERROR(SEARCH("REVIEW",AC233))),"Include","Exclude")</x:f>
        <x:v>Exclude</x:v>
      </x:c>
      <x:c r="AE233" t="str">
        <x:f>IF(T233="Refunded","Refunded","")</x:f>
        <x:v>Refunded</x:v>
      </x:c>
    </x:row>
    <x:row r="234">
      <x:c r="A234" t="str">
        <x:v>ORD-2025-10233</x:v>
      </x:c>
      <x:c r="B234" s="5" t="n">
        <x:v>45812</x:v>
      </x:c>
      <x:c r="C234" s="5" t="n">
        <x:v>45818</x:v>
      </x:c>
      <x:c r="D234" t="str">
        <x:v>CUST-5341</x:v>
      </x:c>
      <x:c r="E234" t="str">
        <x:v>Rahul Verma</x:v>
      </x:c>
      <x:c r="F234" t="str">
        <x:v>Consumer</x:v>
      </x:c>
      <x:c r="G234" t="str">
        <x:v>South</x:v>
      </x:c>
      <x:c r="H234" t="str">
        <x:v>Andhra Pradesh</x:v>
      </x:c>
      <x:c r="I234" t="str">
        <x:v>Vijayawada</x:v>
      </x:c>
      <x:c r="J234" t="str">
        <x:v>Technology</x:v>
      </x:c>
      <x:c r="K234" t="str">
        <x:v>Phones</x:v>
      </x:c>
      <x:c r="L234" t="str">
        <x:v>Classic Phones 530</x:v>
      </x:c>
      <x:c r="M234" t="str">
        <x:v>Standard Class</x:v>
      </x:c>
      <x:c r="N234" t="n">
        <x:v>4</x:v>
      </x:c>
      <x:c r="O234" s="7" t="n">
        <x:v>223.37</x:v>
      </x:c>
      <x:c r="P234" s="6" t="n">
        <x:v>0.25</x:v>
      </x:c>
      <x:c r="Q234" s="7" t="n">
        <x:v>670.11</x:v>
      </x:c>
      <x:c r="R234" s="7" t="n">
        <x:v>559.57</x:v>
      </x:c>
      <x:c r="S234" s="7" t="n">
        <x:v>110.54</x:v>
      </x:c>
      <x:c r="T234" t="str">
        <x:v>Paid</x:v>
      </x:c>
      <x:c r="U234" t="str">
        <x:v>Completed</x:v>
      </x:c>
      <x:c r="V234" s="6" t="n">
        <x:f>IF(ISBLANK(P234),IF(AND(ISNUMBER(N234),N234&gt;0,ISNUMBER(O234),O234&gt;=0,ISNUMBER(Q234),Q234&gt;=0,ISNUMBER(R234),R234&gt;=0,ISNUMBER(S234)),0,""),P234)</x:f>
        <x:v>0.25</x:v>
      </x:c>
      <x:c r="W234" s="7" t="n">
        <x:f>IF(ISBLANK(V234),"",N234*O234*(1-V234))</x:f>
        <x:v>670.11</x:v>
      </x:c>
      <x:c r="X234" s="7" t="n">
        <x:f>IF(OR(ISBLANK(W234),ISBLANK(R234)),"",W234-R234)</x:f>
        <x:v>110.53999999999996</x:v>
      </x:c>
      <x:c r="Y234" s="8" t="n">
        <x:f>IF(OR(ISBLANK(W234),W234=0),"",X234/W234)</x:f>
        <x:v>0.16495799197146732</x:v>
      </x:c>
      <x:c r="Z234" s="9" t="n">
        <x:f>IF(OR(ISBLANK(B234),ISBLANK(C234)),"",C234-B234)</x:f>
        <x:v>6</x:v>
      </x:c>
      <x:c r="AA234" t="str">
        <x:f>IF(ISBLANK(B234),"",TEXT(B234,"mmm"))</x:f>
        <x:v>Jun</x:v>
      </x:c>
      <x:c r="AB234" s="9" t="n">
        <x:f>IF(ISBLANK(B234),"",YEAR(B234))</x:f>
        <x:v>2025</x:v>
      </x:c>
      <x:c r="AC234" s="10" t="str"/>
      <x:c r="AD234" t="str">
        <x:f>IF(AND(U234="Completed",T234="Paid",ISERROR(SEARCH("INVALID",AC234)),ISERROR(SEARCH("REVIEW",AC234))),"Include","Exclude")</x:f>
        <x:v>Include</x:v>
      </x:c>
      <x:c r="AE234" t="str">
        <x:f>IF(T234="Refunded","Refunded","")</x:f>
      </x:c>
    </x:row>
    <x:row r="235">
      <x:c r="A235" t="str">
        <x:v>ORD-2024-10234</x:v>
      </x:c>
      <x:c r="B235" s="5" t="n">
        <x:v>45579</x:v>
      </x:c>
      <x:c r="C235" s="5" t="n">
        <x:v>45579</x:v>
      </x:c>
      <x:c r="D235" t="str">
        <x:v>CUST-3710</x:v>
      </x:c>
      <x:c r="E235" t="str">
        <x:v>Vikram Iyer</x:v>
      </x:c>
      <x:c r="F235" t="str">
        <x:v>Corporate</x:v>
      </x:c>
      <x:c r="G235" t="str">
        <x:v>South</x:v>
      </x:c>
      <x:c r="H235" t="str">
        <x:v>Karnataka</x:v>
      </x:c>
      <x:c r="I235" t="str">
        <x:v>Bengaluru</x:v>
      </x:c>
      <x:c r="J235" t="str">
        <x:v>Furniture</x:v>
      </x:c>
      <x:c r="K235" t="str">
        <x:v>Bookcases</x:v>
      </x:c>
      <x:c r="L235" t="str">
        <x:v>Smart Bookcases 328</x:v>
      </x:c>
      <x:c r="M235" t="str">
        <x:v>Unknown</x:v>
      </x:c>
      <x:c r="N235" t="n">
        <x:v>8</x:v>
      </x:c>
      <x:c r="O235" s="7" t="n">
        <x:v>3904.59</x:v>
      </x:c>
      <x:c r="P235" s="6" t="n">
        <x:v>0</x:v>
      </x:c>
      <x:c r="Q235" s="7" t="n">
        <x:v>31236.72</x:v>
      </x:c>
      <x:c r="R235" s="7" t="n">
        <x:v>26377.7</x:v>
      </x:c>
      <x:c r="S235" s="7" t="n">
        <x:v>4859.02</x:v>
      </x:c>
      <x:c r="T235" t="str">
        <x:v>Paid</x:v>
      </x:c>
      <x:c r="U235" t="str">
        <x:v>Completed</x:v>
      </x:c>
      <x:c r="V235" s="6" t="n">
        <x:f>IF(ISBLANK(P235),IF(AND(ISNUMBER(N235),N235&gt;0,ISNUMBER(O235),O235&gt;=0,ISNUMBER(Q235),Q235&gt;=0,ISNUMBER(R235),R235&gt;=0,ISNUMBER(S235)),0,""),P235)</x:f>
        <x:v>0</x:v>
      </x:c>
      <x:c r="W235" s="7" t="n">
        <x:f>IF(ISBLANK(V235),"",N235*O235*(1-V235))</x:f>
        <x:v>31236.72</x:v>
      </x:c>
      <x:c r="X235" s="7" t="n">
        <x:f>IF(OR(ISBLANK(W235),ISBLANK(R235)),"",W235-R235)</x:f>
        <x:v>4859.02</x:v>
      </x:c>
      <x:c r="Y235" s="8" t="n">
        <x:f>IF(OR(ISBLANK(W235),W235=0),"",X235/W235)</x:f>
        <x:v>0.15555474454424154</x:v>
      </x:c>
      <x:c r="Z235" s="9" t="n">
        <x:f>IF(OR(ISBLANK(B235),ISBLANK(C235)),"",C235-B235)</x:f>
        <x:v>0</x:v>
      </x:c>
      <x:c r="AA235" t="str">
        <x:f>IF(ISBLANK(B235),"",TEXT(B235,"mmm"))</x:f>
        <x:v>Oct</x:v>
      </x:c>
      <x:c r="AB235" s="9" t="n">
        <x:f>IF(ISBLANK(B235),"",YEAR(B235))</x:f>
        <x:v>2024</x:v>
      </x:c>
      <x:c r="AC235" s="10" t="str">
        <x:v>FLAG: Missing ship mode filled as Unknown</x:v>
      </x:c>
      <x:c r="AD235" t="str">
        <x:f>IF(AND(U235="Completed",T235="Paid",ISERROR(SEARCH("INVALID",AC235)),ISERROR(SEARCH("REVIEW",AC235))),"Include","Exclude")</x:f>
        <x:v>Include</x:v>
      </x:c>
      <x:c r="AE235" t="str">
        <x:f>IF(T235="Refunded","Refunded","")</x:f>
      </x:c>
    </x:row>
    <x:row r="236">
      <x:c r="A236" t="str">
        <x:v>ORD-2024-10235</x:v>
      </x:c>
      <x:c r="B236" s="5" t="n">
        <x:v>45537</x:v>
      </x:c>
      <x:c r="C236" s="5" t="n">
        <x:v>45538</x:v>
      </x:c>
      <x:c r="D236" t="str">
        <x:v>CUST-9754</x:v>
      </x:c>
      <x:c r="E236" t="str">
        <x:v>Kabir Singh</x:v>
      </x:c>
      <x:c r="F236" t="str">
        <x:v>Home Office</x:v>
      </x:c>
      <x:c r="G236" t="str">
        <x:v>North</x:v>
      </x:c>
      <x:c r="H236" t="str">
        <x:v>Delhi</x:v>
      </x:c>
      <x:c r="I236" t="str">
        <x:v>New Delhi</x:v>
      </x:c>
      <x:c r="J236" t="str">
        <x:v>Furniture</x:v>
      </x:c>
      <x:c r="K236" t="str">
        <x:v>Furnishings</x:v>
      </x:c>
      <x:c r="L236" t="str">
        <x:v>Eco Furnishings 981</x:v>
      </x:c>
      <x:c r="M236" t="str">
        <x:v>First Class</x:v>
      </x:c>
      <x:c r="N236" t="n">
        <x:v>9</x:v>
      </x:c>
      <x:c r="O236" s="7" t="n">
        <x:v>1353.61</x:v>
      </x:c>
      <x:c r="P236" s="6" t="n">
        <x:v>0.1</x:v>
      </x:c>
      <x:c r="Q236" s="7" t="n">
        <x:v>10964.24</x:v>
      </x:c>
      <x:c r="R236" s="7" t="n">
        <x:v>9262.47</x:v>
      </x:c>
      <x:c r="S236" s="7" t="n">
        <x:v>1701.77</x:v>
      </x:c>
      <x:c r="T236" t="str">
        <x:v>Paid</x:v>
      </x:c>
      <x:c r="U236" t="str">
        <x:v>Completed</x:v>
      </x:c>
      <x:c r="V236" s="6" t="n">
        <x:f>IF(ISBLANK(P236),IF(AND(ISNUMBER(N236),N236&gt;0,ISNUMBER(O236),O236&gt;=0,ISNUMBER(Q236),Q236&gt;=0,ISNUMBER(R236),R236&gt;=0,ISNUMBER(S236)),0,""),P236)</x:f>
        <x:v>0.1</x:v>
      </x:c>
      <x:c r="W236" s="7" t="n">
        <x:f>IF(ISBLANK(V236),"",N236*O236*(1-V236))</x:f>
        <x:v>10964.241</x:v>
      </x:c>
      <x:c r="X236" s="7" t="n">
        <x:f>IF(OR(ISBLANK(W236),ISBLANK(R236)),"",W236-R236)</x:f>
        <x:v>1701.7710000000006</x:v>
      </x:c>
      <x:c r="Y236" s="8" t="n">
        <x:f>IF(OR(ISBLANK(W236),W236=0),"",X236/W236)</x:f>
        <x:v>0.15521101734265058</x:v>
      </x:c>
      <x:c r="Z236" s="9" t="n">
        <x:f>IF(OR(ISBLANK(B236),ISBLANK(C236)),"",C236-B236)</x:f>
        <x:v>1</x:v>
      </x:c>
      <x:c r="AA236" t="str">
        <x:f>IF(ISBLANK(B236),"",TEXT(B236,"mmm"))</x:f>
        <x:v>Sep</x:v>
      </x:c>
      <x:c r="AB236" s="9" t="n">
        <x:f>IF(ISBLANK(B236),"",YEAR(B236))</x:f>
        <x:v>2024</x:v>
      </x:c>
      <x:c r="AC236" s="10" t="str"/>
      <x:c r="AD236" t="str">
        <x:f>IF(AND(U236="Completed",T236="Paid",ISERROR(SEARCH("INVALID",AC236)),ISERROR(SEARCH("REVIEW",AC236))),"Include","Exclude")</x:f>
        <x:v>Include</x:v>
      </x:c>
      <x:c r="AE236" t="str">
        <x:f>IF(T236="Refunded","Refunded","")</x:f>
      </x:c>
    </x:row>
    <x:row r="237">
      <x:c r="A237" t="str">
        <x:v>ORD-2024-10236</x:v>
      </x:c>
      <x:c r="B237" s="5" t="n">
        <x:v>45598</x:v>
      </x:c>
      <x:c r="C237" s="5" t="n">
        <x:v>45599</x:v>
      </x:c>
      <x:c r="D237" t="str">
        <x:v>CUST-6256</x:v>
      </x:c>
      <x:c r="E237" t="str">
        <x:v>Rahul Verma</x:v>
      </x:c>
      <x:c r="F237" t="str">
        <x:v>Small Business</x:v>
      </x:c>
      <x:c r="G237" t="str">
        <x:v>West</x:v>
      </x:c>
      <x:c r="H237" t="str">
        <x:v>Rajasthan</x:v>
      </x:c>
      <x:c r="I237" t="str">
        <x:v>Udaipur</x:v>
      </x:c>
      <x:c r="J237" t="str">
        <x:v>Office Supplies</x:v>
      </x:c>
      <x:c r="K237" t="str">
        <x:v>Storage</x:v>
      </x:c>
      <x:c r="L237" t="str">
        <x:v>Basic Storage 195</x:v>
      </x:c>
      <x:c r="M237" t="str">
        <x:v>Standard Class</x:v>
      </x:c>
      <x:c r="N237" t="n">
        <x:v>6</x:v>
      </x:c>
      <x:c r="O237" s="7" t="n">
        <x:v>2671.29</x:v>
      </x:c>
      <x:c r="P237" s="6" t="n">
        <x:v>0.05</x:v>
      </x:c>
      <x:c r="Q237" s="7" t="n">
        <x:v>15226.35</x:v>
      </x:c>
      <x:c r="R237" s="7" t="n">
        <x:v>11145.28</x:v>
      </x:c>
      <x:c r="S237" s="7" t="n">
        <x:v>4081.07</x:v>
      </x:c>
      <x:c r="T237" t="str">
        <x:v>Paid</x:v>
      </x:c>
      <x:c r="U237" t="str">
        <x:v>Completed</x:v>
      </x:c>
      <x:c r="V237" s="6" t="n">
        <x:f>IF(ISBLANK(P237),IF(AND(ISNUMBER(N237),N237&gt;0,ISNUMBER(O237),O237&gt;=0,ISNUMBER(Q237),Q237&gt;=0,ISNUMBER(R237),R237&gt;=0,ISNUMBER(S237)),0,""),P237)</x:f>
        <x:v>0.05</x:v>
      </x:c>
      <x:c r="W237" s="7" t="n">
        <x:f>IF(ISBLANK(V237),"",N237*O237*(1-V237))</x:f>
        <x:v>15226.353</x:v>
      </x:c>
      <x:c r="X237" s="7" t="n">
        <x:f>IF(OR(ISBLANK(W237),ISBLANK(R237)),"",W237-R237)</x:f>
        <x:v>4081.0729999999985</x:v>
      </x:c>
      <x:c r="Y237" s="8" t="n">
        <x:f>IF(OR(ISBLANK(W237),W237=0),"",X237/W237)</x:f>
        <x:v>0.268026953007066</x:v>
      </x:c>
      <x:c r="Z237" s="9" t="n">
        <x:f>IF(OR(ISBLANK(B237),ISBLANK(C237)),"",C237-B237)</x:f>
        <x:v>1</x:v>
      </x:c>
      <x:c r="AA237" t="str">
        <x:f>IF(ISBLANK(B237),"",TEXT(B237,"mmm"))</x:f>
        <x:v>Nov</x:v>
      </x:c>
      <x:c r="AB237" s="9" t="n">
        <x:f>IF(ISBLANK(B237),"",YEAR(B237))</x:f>
        <x:v>2024</x:v>
      </x:c>
      <x:c r="AC237" s="10" t="str"/>
      <x:c r="AD237" t="str">
        <x:f>IF(AND(U237="Completed",T237="Paid",ISERROR(SEARCH("INVALID",AC237)),ISERROR(SEARCH("REVIEW",AC237))),"Include","Exclude")</x:f>
        <x:v>Include</x:v>
      </x:c>
      <x:c r="AE237" t="str">
        <x:f>IF(T237="Refunded","Refunded","")</x:f>
      </x:c>
    </x:row>
    <x:row r="238">
      <x:c r="A238" t="str">
        <x:v>ORD-2024-10237</x:v>
      </x:c>
      <x:c r="B238" s="5" t="n">
        <x:v>45579</x:v>
      </x:c>
      <x:c r="C238" s="5" t="n">
        <x:v>45586</x:v>
      </x:c>
      <x:c r="D238" t="str">
        <x:v>CUST-7113</x:v>
      </x:c>
      <x:c r="E238" t="str">
        <x:v>Priya Menon</x:v>
      </x:c>
      <x:c r="F238" t="str">
        <x:v>Corporate</x:v>
      </x:c>
      <x:c r="G238" t="str">
        <x:v>North</x:v>
      </x:c>
      <x:c r="H238" t="str">
        <x:v>Uttar Pradesh</x:v>
      </x:c>
      <x:c r="I238" t="str">
        <x:v>Noida</x:v>
      </x:c>
      <x:c r="J238" t="str">
        <x:v>Furniture</x:v>
      </x:c>
      <x:c r="K238" t="str">
        <x:v>Bookcases</x:v>
      </x:c>
      <x:c r="L238" t="str">
        <x:v>Elite Bookcases 907</x:v>
      </x:c>
      <x:c r="M238" t="str">
        <x:v>First Class</x:v>
      </x:c>
      <x:c r="N238" t="n">
        <x:v>6</x:v>
      </x:c>
      <x:c r="O238" s="7" t="n">
        <x:v>4062.78</x:v>
      </x:c>
      <x:c r="P238" s="6" t="n">
        <x:v>0</x:v>
      </x:c>
      <x:c r="Q238" s="7" t="n">
        <x:v>24376.68</x:v>
      </x:c>
      <x:c r="R238" s="7" t="n">
        <x:v>18533.39</x:v>
      </x:c>
      <x:c r="S238" s="7" t="n">
        <x:v>5843.29</x:v>
      </x:c>
      <x:c r="T238" t="str">
        <x:v>Paid</x:v>
      </x:c>
      <x:c r="U238" t="str">
        <x:v>Completed</x:v>
      </x:c>
      <x:c r="V238" s="6" t="n">
        <x:f>IF(ISBLANK(P238),IF(AND(ISNUMBER(N238),N238&gt;0,ISNUMBER(O238),O238&gt;=0,ISNUMBER(Q238),Q238&gt;=0,ISNUMBER(R238),R238&gt;=0,ISNUMBER(S238)),0,""),P238)</x:f>
        <x:v>0</x:v>
      </x:c>
      <x:c r="W238" s="7" t="n">
        <x:f>IF(ISBLANK(V238),"",N238*O238*(1-V238))</x:f>
        <x:v>24376.68</x:v>
      </x:c>
      <x:c r="X238" s="7" t="n">
        <x:f>IF(OR(ISBLANK(W238),ISBLANK(R238)),"",W238-R238)</x:f>
        <x:v>5843.290000000001</x:v>
      </x:c>
      <x:c r="Y238" s="8" t="n">
        <x:f>IF(OR(ISBLANK(W238),W238=0),"",X238/W238)</x:f>
        <x:v>0.23970819652224998</x:v>
      </x:c>
      <x:c r="Z238" s="9" t="n">
        <x:f>IF(OR(ISBLANK(B238),ISBLANK(C238)),"",C238-B238)</x:f>
        <x:v>7</x:v>
      </x:c>
      <x:c r="AA238" t="str">
        <x:f>IF(ISBLANK(B238),"",TEXT(B238,"mmm"))</x:f>
        <x:v>Oct</x:v>
      </x:c>
      <x:c r="AB238" s="9" t="n">
        <x:f>IF(ISBLANK(B238),"",YEAR(B238))</x:f>
        <x:v>2024</x:v>
      </x:c>
      <x:c r="AC238" s="10" t="str"/>
      <x:c r="AD238" t="str">
        <x:f>IF(AND(U238="Completed",T238="Paid",ISERROR(SEARCH("INVALID",AC238)),ISERROR(SEARCH("REVIEW",AC238))),"Include","Exclude")</x:f>
        <x:v>Include</x:v>
      </x:c>
      <x:c r="AE238" t="str">
        <x:f>IF(T238="Refunded","Refunded","")</x:f>
      </x:c>
    </x:row>
    <x:row r="239">
      <x:c r="A239" t="str">
        <x:v>ORD-2024-10238</x:v>
      </x:c>
      <x:c r="B239" s="5" t="n">
        <x:v>45531</x:v>
      </x:c>
      <x:c r="C239" s="5" t="n">
        <x:v>45531</x:v>
      </x:c>
      <x:c r="D239" t="str">
        <x:v>CUST-3827</x:v>
      </x:c>
      <x:c r="E239" t="str">
        <x:v>Mira Das</x:v>
      </x:c>
      <x:c r="F239" t="str">
        <x:v>Consumer</x:v>
      </x:c>
      <x:c r="G239" t="str">
        <x:v>North</x:v>
      </x:c>
      <x:c r="H239" t="str">
        <x:v>Haryana</x:v>
      </x:c>
      <x:c r="I239" t="str">
        <x:v>Gurugram</x:v>
      </x:c>
      <x:c r="J239" t="str">
        <x:v>Technology</x:v>
      </x:c>
      <x:c r="K239" t="str">
        <x:v>Copiers</x:v>
      </x:c>
      <x:c r="L239" t="str">
        <x:v>Smart Copiers 471</x:v>
      </x:c>
      <x:c r="M239" t="str">
        <x:v>Standard Class</x:v>
      </x:c>
      <x:c r="N239" t="n">
        <x:v>9</x:v>
      </x:c>
      <x:c r="O239" s="7" t="n">
        <x:v>2330.3</x:v>
      </x:c>
      <x:c r="P239" s="6" t="n">
        <x:v>0</x:v>
      </x:c>
      <x:c r="Q239" s="7" t="n">
        <x:v>20972.7</x:v>
      </x:c>
      <x:c r="R239" s="7" t="n">
        <x:v>13504.88</x:v>
      </x:c>
      <x:c r="S239" s="7" t="n">
        <x:v>7467.82</x:v>
      </x:c>
      <x:c r="T239" t="str">
        <x:v>Paid</x:v>
      </x:c>
      <x:c r="U239" t="str">
        <x:v>Completed</x:v>
      </x:c>
      <x:c r="V239" s="6" t="n">
        <x:f>IF(ISBLANK(P239),IF(AND(ISNUMBER(N239),N239&gt;0,ISNUMBER(O239),O239&gt;=0,ISNUMBER(Q239),Q239&gt;=0,ISNUMBER(R239),R239&gt;=0,ISNUMBER(S239)),0,""),P239)</x:f>
        <x:v>0</x:v>
      </x:c>
      <x:c r="W239" s="7" t="n">
        <x:f>IF(ISBLANK(V239),"",N239*O239*(1-V239))</x:f>
        <x:v>20972.7</x:v>
      </x:c>
      <x:c r="X239" s="7" t="n">
        <x:f>IF(OR(ISBLANK(W239),ISBLANK(R239)),"",W239-R239)</x:f>
        <x:v>7467.8200000000015</x:v>
      </x:c>
      <x:c r="Y239" s="8" t="n">
        <x:f>IF(OR(ISBLANK(W239),W239=0),"",X239/W239)</x:f>
        <x:v>0.3560733715735218</x:v>
      </x:c>
      <x:c r="Z239" s="9" t="n">
        <x:f>IF(OR(ISBLANK(B239),ISBLANK(C239)),"",C239-B239)</x:f>
        <x:v>0</x:v>
      </x:c>
      <x:c r="AA239" t="str">
        <x:f>IF(ISBLANK(B239),"",TEXT(B239,"mmm"))</x:f>
        <x:v>Aug</x:v>
      </x:c>
      <x:c r="AB239" s="9" t="n">
        <x:f>IF(ISBLANK(B239),"",YEAR(B239))</x:f>
        <x:v>2024</x:v>
      </x:c>
      <x:c r="AC239" s="10" t="str"/>
      <x:c r="AD239" t="str">
        <x:f>IF(AND(U239="Completed",T239="Paid",ISERROR(SEARCH("INVALID",AC239)),ISERROR(SEARCH("REVIEW",AC239))),"Include","Exclude")</x:f>
        <x:v>Include</x:v>
      </x:c>
      <x:c r="AE239" t="str">
        <x:f>IF(T239="Refunded","Refunded","")</x:f>
      </x:c>
    </x:row>
    <x:row r="240">
      <x:c r="A240" t="str">
        <x:v>ORD-2024-10239</x:v>
      </x:c>
      <x:c r="B240" s="5" t="n">
        <x:v>45303</x:v>
      </x:c>
      <x:c r="C240" s="5" t="n">
        <x:v>45308</x:v>
      </x:c>
      <x:c r="D240" t="str">
        <x:v>CUST-2375</x:v>
      </x:c>
      <x:c r="E240" t="str">
        <x:v>Arjun Bose</x:v>
      </x:c>
      <x:c r="F240" t="str">
        <x:v>Consumer</x:v>
      </x:c>
      <x:c r="G240" t="str">
        <x:v>South</x:v>
      </x:c>
      <x:c r="H240" t="str">
        <x:v>Andhra Pradesh</x:v>
      </x:c>
      <x:c r="I240" t="str">
        <x:v>Vijayawada</x:v>
      </x:c>
      <x:c r="J240" t="str">
        <x:v>Office Supplies</x:v>
      </x:c>
      <x:c r="K240" t="str">
        <x:v>Storage</x:v>
      </x:c>
      <x:c r="L240" t="str">
        <x:v>Prime Storage 625</x:v>
      </x:c>
      <x:c r="M240" t="str">
        <x:v>First Class</x:v>
      </x:c>
      <x:c r="N240" t="n">
        <x:v>7</x:v>
      </x:c>
      <x:c r="O240" s="7" t="n">
        <x:v>4005.05</x:v>
      </x:c>
      <x:c r="P240" s="6" t="n">
        <x:v>0.55</x:v>
      </x:c>
      <x:c r="Q240" s="7" t="n">
        <x:v>26633.58</x:v>
      </x:c>
      <x:c r="R240" s="7" t="n">
        <x:v>18838.75</x:v>
      </x:c>
      <x:c r="S240" s="7" t="n">
        <x:v>7794.83</x:v>
      </x:c>
      <x:c r="T240" t="str">
        <x:v>Paid</x:v>
      </x:c>
      <x:c r="U240" t="str">
        <x:v>Completed</x:v>
      </x:c>
      <x:c r="V240" s="6" t="n">
        <x:f>IF(ISBLANK(P240),IF(AND(ISNUMBER(N240),N240&gt;0,ISNUMBER(O240),O240&gt;=0,ISNUMBER(Q240),Q240&gt;=0,ISNUMBER(R240),R240&gt;=0,ISNUMBER(S240)),0,""),P240)</x:f>
        <x:v>0.55</x:v>
      </x:c>
      <x:c r="W240" s="7" t="n">
        <x:f>IF(ISBLANK(V240),"",N240*O240*(1-V240))</x:f>
        <x:v>12615.9075</x:v>
      </x:c>
      <x:c r="X240" s="7" t="n">
        <x:f>IF(OR(ISBLANK(W240),ISBLANK(R240)),"",W240-R240)</x:f>
        <x:v>-6222.842500000001</x:v>
      </x:c>
      <x:c r="Y240" s="8" t="n">
        <x:f>IF(OR(ISBLANK(W240),W240=0),"",X240/W240)</x:f>
        <x:v>-0.4932536561480021</x:v>
      </x:c>
      <x:c r="Z240" s="9" t="n">
        <x:f>IF(OR(ISBLANK(B240),ISBLANK(C240)),"",C240-B240)</x:f>
        <x:v>5</x:v>
      </x:c>
      <x:c r="AA240" t="str">
        <x:f>IF(ISBLANK(B240),"",TEXT(B240,"mmm"))</x:f>
        <x:v>Jan</x:v>
      </x:c>
      <x:c r="AB240" s="9" t="n">
        <x:f>IF(ISBLANK(B240),"",YEAR(B240))</x:f>
        <x:v>2024</x:v>
      </x:c>
      <x:c r="AC240" s="10" t="str">
        <x:v>INVALID: Discount above allowed range</x:v>
      </x:c>
      <x:c r="AD240" t="str">
        <x:f>IF(AND(U240="Completed",T240="Paid",ISERROR(SEARCH("INVALID",AC240)),ISERROR(SEARCH("REVIEW",AC240))),"Include","Exclude")</x:f>
        <x:v>Exclude</x:v>
      </x:c>
      <x:c r="AE240" t="str">
        <x:f>IF(T240="Refunded","Refunded","")</x:f>
      </x:c>
    </x:row>
    <x:row r="241">
      <x:c r="A241" t="str">
        <x:v>ORD-2024-10240</x:v>
      </x:c>
      <x:c r="B241" s="5" t="n">
        <x:v>45556</x:v>
      </x:c>
      <x:c r="C241" s="5" t="n">
        <x:v>45556</x:v>
      </x:c>
      <x:c r="D241" t="str">
        <x:v>CUST-2233</x:v>
      </x:c>
      <x:c r="E241" t="str">
        <x:v>Kabir Singh</x:v>
      </x:c>
      <x:c r="F241" t="str">
        <x:v>Corporate</x:v>
      </x:c>
      <x:c r="G241" t="str">
        <x:v>South</x:v>
      </x:c>
      <x:c r="H241" t="str">
        <x:v>Karnataka</x:v>
      </x:c>
      <x:c r="I241" t="str">
        <x:v>Bengaluru</x:v>
      </x:c>
      <x:c r="J241" t="str">
        <x:v>Technology</x:v>
      </x:c>
      <x:c r="K241" t="str">
        <x:v>Machines</x:v>
      </x:c>
      <x:c r="L241" t="str">
        <x:v>Smart Machines 801</x:v>
      </x:c>
      <x:c r="M241" t="str">
        <x:v>First Class</x:v>
      </x:c>
      <x:c r="N241" t="n">
        <x:v>2</x:v>
      </x:c>
      <x:c r="O241" s="7" t="n">
        <x:v>1960.06</x:v>
      </x:c>
      <x:c r="P241" s="6" t="n">
        <x:v>0.2</x:v>
      </x:c>
      <x:c r="Q241" s="7" t="n">
        <x:v>3136.1</x:v>
      </x:c>
      <x:c r="R241" s="7" t="n">
        <x:v>2279.49</x:v>
      </x:c>
      <x:c r="S241" s="7" t="n">
        <x:v>856.61</x:v>
      </x:c>
      <x:c r="T241" t="str">
        <x:v>Paid</x:v>
      </x:c>
      <x:c r="U241" t="str">
        <x:v>Completed</x:v>
      </x:c>
      <x:c r="V241" s="6" t="n">
        <x:f>IF(ISBLANK(P241),IF(AND(ISNUMBER(N241),N241&gt;0,ISNUMBER(O241),O241&gt;=0,ISNUMBER(Q241),Q241&gt;=0,ISNUMBER(R241),R241&gt;=0,ISNUMBER(S241)),0,""),P241)</x:f>
        <x:v>0.2</x:v>
      </x:c>
      <x:c r="W241" s="7" t="n">
        <x:f>IF(ISBLANK(V241),"",N241*O241*(1-V241))</x:f>
        <x:v>3136.096</x:v>
      </x:c>
      <x:c r="X241" s="7" t="n">
        <x:f>IF(OR(ISBLANK(W241),ISBLANK(R241)),"",W241-R241)</x:f>
        <x:v>856.6060000000002</x:v>
      </x:c>
      <x:c r="Y241" s="8" t="n">
        <x:f>IF(OR(ISBLANK(W241),W241=0),"",X241/W241)</x:f>
        <x:v>0.273144061916472</x:v>
      </x:c>
      <x:c r="Z241" s="9" t="n">
        <x:f>IF(OR(ISBLANK(B241),ISBLANK(C241)),"",C241-B241)</x:f>
        <x:v>0</x:v>
      </x:c>
      <x:c r="AA241" t="str">
        <x:f>IF(ISBLANK(B241),"",TEXT(B241,"mmm"))</x:f>
        <x:v>Sep</x:v>
      </x:c>
      <x:c r="AB241" s="9" t="n">
        <x:f>IF(ISBLANK(B241),"",YEAR(B241))</x:f>
        <x:v>2024</x:v>
      </x:c>
      <x:c r="AC241" s="10" t="str"/>
      <x:c r="AD241" t="str">
        <x:f>IF(AND(U241="Completed",T241="Paid",ISERROR(SEARCH("INVALID",AC241)),ISERROR(SEARCH("REVIEW",AC241))),"Include","Exclude")</x:f>
        <x:v>Include</x:v>
      </x:c>
      <x:c r="AE241" t="str">
        <x:f>IF(T241="Refunded","Refunded","")</x:f>
      </x:c>
    </x:row>
    <x:row r="242">
      <x:c r="A242" t="str">
        <x:v>ORD-2024-10241</x:v>
      </x:c>
      <x:c r="B242" s="5" t="n">
        <x:v>45643</x:v>
      </x:c>
      <x:c r="C242" s="5" t="n">
        <x:v>45649</x:v>
      </x:c>
      <x:c r="D242" t="str">
        <x:v>CUST-9778</x:v>
      </x:c>
      <x:c r="E242" t="str">
        <x:v>Aarav Sharma</x:v>
      </x:c>
      <x:c r="F242" t="str">
        <x:v>Corporate</x:v>
      </x:c>
      <x:c r="G242" t="str">
        <x:v>South</x:v>
      </x:c>
      <x:c r="H242" t="str">
        <x:v>Telangana</x:v>
      </x:c>
      <x:c r="I242" t="str">
        <x:v>Hyderabad</x:v>
      </x:c>
      <x:c r="J242" t="str">
        <x:v>Office Supplies</x:v>
      </x:c>
      <x:c r="K242" t="str">
        <x:v>Binders</x:v>
      </x:c>
      <x:c r="L242" t="str">
        <x:v>Max Binders 170</x:v>
      </x:c>
      <x:c r="M242" t="str">
        <x:v>First Class</x:v>
      </x:c>
      <x:c r="N242" t="n">
        <x:v>9</x:v>
      </x:c>
      <x:c r="O242" s="7" t="n">
        <x:v>2315.1</x:v>
      </x:c>
      <x:c r="P242" s="6" t="n">
        <x:v>0</x:v>
      </x:c>
      <x:c r="Q242" s="7" t="n">
        <x:v>20835.9</x:v>
      </x:c>
      <x:c r="R242" s="7" t="n">
        <x:v>13928.19</x:v>
      </x:c>
      <x:c r="S242" s="7" t="n">
        <x:v>6907.71</x:v>
      </x:c>
      <x:c r="T242" t="str">
        <x:v>Paid</x:v>
      </x:c>
      <x:c r="U242" t="str">
        <x:v>Completed</x:v>
      </x:c>
      <x:c r="V242" s="6" t="n">
        <x:f>IF(ISBLANK(P242),IF(AND(ISNUMBER(N242),N242&gt;0,ISNUMBER(O242),O242&gt;=0,ISNUMBER(Q242),Q242&gt;=0,ISNUMBER(R242),R242&gt;=0,ISNUMBER(S242)),0,""),P242)</x:f>
        <x:v>0</x:v>
      </x:c>
      <x:c r="W242" s="7" t="n">
        <x:f>IF(ISBLANK(V242),"",N242*O242*(1-V242))</x:f>
        <x:v>20835.899999999998</x:v>
      </x:c>
      <x:c r="X242" s="7" t="n">
        <x:f>IF(OR(ISBLANK(W242),ISBLANK(R242)),"",W242-R242)</x:f>
        <x:v>6907.709999999997</x:v>
      </x:c>
      <x:c r="Y242" s="8" t="n">
        <x:f>IF(OR(ISBLANK(W242),W242=0),"",X242/W242)</x:f>
        <x:v>0.3315292355981742</x:v>
      </x:c>
      <x:c r="Z242" s="9" t="n">
        <x:f>IF(OR(ISBLANK(B242),ISBLANK(C242)),"",C242-B242)</x:f>
        <x:v>6</x:v>
      </x:c>
      <x:c r="AA242" t="str">
        <x:f>IF(ISBLANK(B242),"",TEXT(B242,"mmm"))</x:f>
        <x:v>Dec</x:v>
      </x:c>
      <x:c r="AB242" s="9" t="n">
        <x:f>IF(ISBLANK(B242),"",YEAR(B242))</x:f>
        <x:v>2024</x:v>
      </x:c>
      <x:c r="AC242" s="10" t="str"/>
      <x:c r="AD242" t="str">
        <x:f>IF(AND(U242="Completed",T242="Paid",ISERROR(SEARCH("INVALID",AC242)),ISERROR(SEARCH("REVIEW",AC242))),"Include","Exclude")</x:f>
        <x:v>Include</x:v>
      </x:c>
      <x:c r="AE242" t="str">
        <x:f>IF(T242="Refunded","Refunded","")</x:f>
      </x:c>
    </x:row>
    <x:row r="243">
      <x:c r="A243" t="str">
        <x:v>ORD-2025-10242</x:v>
      </x:c>
      <x:c r="B243" s="5" t="n">
        <x:v>45844</x:v>
      </x:c>
      <x:c r="C243" s="5" t="n">
        <x:v>45844</x:v>
      </x:c>
      <x:c r="D243" t="str">
        <x:v>CUST-6949</x:v>
      </x:c>
      <x:c r="E243" t="str">
        <x:v>Sneha Kapoor</x:v>
      </x:c>
      <x:c r="F243" t="str">
        <x:v>Corporate</x:v>
      </x:c>
      <x:c r="G243" t="str">
        <x:v>North</x:v>
      </x:c>
      <x:c r="H243" t="str">
        <x:v>Haryana</x:v>
      </x:c>
      <x:c r="I243" t="str">
        <x:v>Gurugram</x:v>
      </x:c>
      <x:c r="J243" t="str">
        <x:v>Office Supplies</x:v>
      </x:c>
      <x:c r="K243" t="str">
        <x:v>Storage</x:v>
      </x:c>
      <x:c r="L243" t="str">
        <x:v>Basic Storage 737</x:v>
      </x:c>
      <x:c r="M243" t="str">
        <x:v>Standard Class</x:v>
      </x:c>
      <x:c r="N243" t="n">
        <x:v>1</x:v>
      </x:c>
      <x:c r="O243" s="7" t="n">
        <x:v>1617.2</x:v>
      </x:c>
      <x:c r="P243" s="6" t="n">
        <x:v>0.25</x:v>
      </x:c>
      <x:c r="Q243" s="7" t="n">
        <x:v>1212.9</x:v>
      </x:c>
      <x:c r="R243" s="7" t="n">
        <x:v>690.52</x:v>
      </x:c>
      <x:c r="S243" s="7" t="n">
        <x:v>522.38</x:v>
      </x:c>
      <x:c r="T243" t="str">
        <x:v>Pending</x:v>
      </x:c>
      <x:c r="U243" t="str">
        <x:v>Returned</x:v>
      </x:c>
      <x:c r="V243" s="6" t="n">
        <x:f>IF(ISBLANK(P243),IF(AND(ISNUMBER(N243),N243&gt;0,ISNUMBER(O243),O243&gt;=0,ISNUMBER(Q243),Q243&gt;=0,ISNUMBER(R243),R243&gt;=0,ISNUMBER(S243)),0,""),P243)</x:f>
        <x:v>0.25</x:v>
      </x:c>
      <x:c r="W243" s="7" t="n">
        <x:f>IF(ISBLANK(V243),"",N243*O243*(1-V243))</x:f>
        <x:v>1212.9</x:v>
      </x:c>
      <x:c r="X243" s="7" t="n">
        <x:f>IF(OR(ISBLANK(W243),ISBLANK(R243)),"",W243-R243)</x:f>
        <x:v>522.3800000000001</x:v>
      </x:c>
      <x:c r="Y243" s="8" t="n">
        <x:f>IF(OR(ISBLANK(W243),W243=0),"",X243/W243)</x:f>
        <x:v>0.4306867837414462</x:v>
      </x:c>
      <x:c r="Z243" s="9" t="n">
        <x:f>IF(OR(ISBLANK(B243),ISBLANK(C243)),"",C243-B243)</x:f>
        <x:v>0</x:v>
      </x:c>
      <x:c r="AA243" t="str">
        <x:f>IF(ISBLANK(B243),"",TEXT(B243,"mmm"))</x:f>
        <x:v>Jul</x:v>
      </x:c>
      <x:c r="AB243" s="9" t="n">
        <x:f>IF(ISBLANK(B243),"",YEAR(B243))</x:f>
        <x:v>2025</x:v>
      </x:c>
      <x:c r="AC243" s="10" t="str"/>
      <x:c r="AD243" t="str">
        <x:f>IF(AND(U243="Completed",T243="Paid",ISERROR(SEARCH("INVALID",AC243)),ISERROR(SEARCH("REVIEW",AC243))),"Include","Exclude")</x:f>
        <x:v>Exclude</x:v>
      </x:c>
      <x:c r="AE243" t="str">
        <x:f>IF(T243="Refunded","Refunded","")</x:f>
      </x:c>
    </x:row>
    <x:row r="244">
      <x:c r="A244" t="str">
        <x:v>ORD-2025-10243</x:v>
      </x:c>
      <x:c r="B244" s="5" t="n">
        <x:v>45695</x:v>
      </x:c>
      <x:c r="C244" s="5" t="n">
        <x:v>45695</x:v>
      </x:c>
      <x:c r="D244" t="str">
        <x:v>CUST-3430</x:v>
      </x:c>
      <x:c r="E244" t="str">
        <x:v>Arjun Bose</x:v>
      </x:c>
      <x:c r="F244" t="str">
        <x:v>Consumer</x:v>
      </x:c>
      <x:c r="G244" t="str">
        <x:v>North</x:v>
      </x:c>
      <x:c r="H244" t="str">
        <x:v>Uttar Pradesh</x:v>
      </x:c>
      <x:c r="I244" t="str">
        <x:v>Noida</x:v>
      </x:c>
      <x:c r="J244" t="str">
        <x:v>Office Supplies</x:v>
      </x:c>
      <x:c r="K244" t="str">
        <x:v>Art</x:v>
      </x:c>
      <x:c r="L244" t="str">
        <x:v>Classic Art 126</x:v>
      </x:c>
      <x:c r="M244" t="str">
        <x:v>Second Class</x:v>
      </x:c>
      <x:c r="N244" t="n">
        <x:v>3</x:v>
      </x:c>
      <x:c r="O244" s="7" t="n">
        <x:v>1999.24</x:v>
      </x:c>
      <x:c r="P244" s="6" t="n">
        <x:v>0.05</x:v>
      </x:c>
      <x:c r="Q244" s="7" t="n">
        <x:v>5697.83</x:v>
      </x:c>
      <x:c r="R244" s="7" t="n">
        <x:v>4251.5</x:v>
      </x:c>
      <x:c r="S244" s="7" t="n">
        <x:v>1446.33</x:v>
      </x:c>
      <x:c r="T244" t="str">
        <x:v>Paid</x:v>
      </x:c>
      <x:c r="U244" t="str">
        <x:v>Completed</x:v>
      </x:c>
      <x:c r="V244" s="6" t="n">
        <x:f>IF(ISBLANK(P244),IF(AND(ISNUMBER(N244),N244&gt;0,ISNUMBER(O244),O244&gt;=0,ISNUMBER(Q244),Q244&gt;=0,ISNUMBER(R244),R244&gt;=0,ISNUMBER(S244)),0,""),P244)</x:f>
        <x:v>0.05</x:v>
      </x:c>
      <x:c r="W244" s="7" t="n">
        <x:f>IF(ISBLANK(V244),"",N244*O244*(1-V244))</x:f>
        <x:v>5697.834</x:v>
      </x:c>
      <x:c r="X244" s="7" t="n">
        <x:f>IF(OR(ISBLANK(W244),ISBLANK(R244)),"",W244-R244)</x:f>
        <x:v>1446.3339999999998</x:v>
      </x:c>
      <x:c r="Y244" s="8" t="n">
        <x:f>IF(OR(ISBLANK(W244),W244=0),"",X244/W244)</x:f>
        <x:v>0.2538392659386005</x:v>
      </x:c>
      <x:c r="Z244" s="9" t="n">
        <x:f>IF(OR(ISBLANK(B244),ISBLANK(C244)),"",C244-B244)</x:f>
        <x:v>0</x:v>
      </x:c>
      <x:c r="AA244" t="str">
        <x:f>IF(ISBLANK(B244),"",TEXT(B244,"mmm"))</x:f>
        <x:v>Feb</x:v>
      </x:c>
      <x:c r="AB244" s="9" t="n">
        <x:f>IF(ISBLANK(B244),"",YEAR(B244))</x:f>
        <x:v>2025</x:v>
      </x:c>
      <x:c r="AC244" s="10" t="str"/>
      <x:c r="AD244" t="str">
        <x:f>IF(AND(U244="Completed",T244="Paid",ISERROR(SEARCH("INVALID",AC244)),ISERROR(SEARCH("REVIEW",AC244))),"Include","Exclude")</x:f>
        <x:v>Include</x:v>
      </x:c>
      <x:c r="AE244" t="str">
        <x:f>IF(T244="Refunded","Refunded","")</x:f>
      </x:c>
    </x:row>
    <x:row r="245">
      <x:c r="A245" t="str">
        <x:v>ORD-2025-10244</x:v>
      </x:c>
      <x:c r="B245" s="5" t="n">
        <x:v>45867</x:v>
      </x:c>
      <x:c r="C245" s="5" t="n">
        <x:v>45871</x:v>
      </x:c>
      <x:c r="D245" t="str">
        <x:v>CUST-6310</x:v>
      </x:c>
      <x:c r="E245" t="str">
        <x:v>Sneha Kapoor</x:v>
      </x:c>
      <x:c r="F245" t="str">
        <x:v>Small Business</x:v>
      </x:c>
      <x:c r="G245" t="str">
        <x:v>Unknown</x:v>
      </x:c>
      <x:c r="H245" t="str">
        <x:v>Madhya Pradesh</x:v>
      </x:c>
      <x:c r="I245" t="str">
        <x:v>Indore</x:v>
      </x:c>
      <x:c r="J245" t="str">
        <x:v>Technology</x:v>
      </x:c>
      <x:c r="K245" t="str">
        <x:v>Accessories</x:v>
      </x:c>
      <x:c r="L245" t="str">
        <x:v>Prime Accessories 243</x:v>
      </x:c>
      <x:c r="M245" t="str">
        <x:v>First Class</x:v>
      </x:c>
      <x:c r="N245" t="n">
        <x:v>1</x:v>
      </x:c>
      <x:c r="O245" s="7" t="n">
        <x:v>4499.46</x:v>
      </x:c>
      <x:c r="P245" s="6" t="n">
        <x:v>0.1</x:v>
      </x:c>
      <x:c r="Q245" s="7" t="n">
        <x:v>4049.51</x:v>
      </x:c>
      <x:c r="R245" s="7" t="n">
        <x:v>2509.2</x:v>
      </x:c>
      <x:c r="S245" s="7" t="n">
        <x:v>1540.31</x:v>
      </x:c>
      <x:c r="T245" t="str">
        <x:v>Paid</x:v>
      </x:c>
      <x:c r="U245" t="str">
        <x:v>Completed</x:v>
      </x:c>
      <x:c r="V245" s="6" t="n">
        <x:f>IF(ISBLANK(P245),IF(AND(ISNUMBER(N245),N245&gt;0,ISNUMBER(O245),O245&gt;=0,ISNUMBER(Q245),Q245&gt;=0,ISNUMBER(R245),R245&gt;=0,ISNUMBER(S245)),0,""),P245)</x:f>
        <x:v>0.1</x:v>
      </x:c>
      <x:c r="W245" s="7" t="n">
        <x:f>IF(ISBLANK(V245),"",N245*O245*(1-V245))</x:f>
        <x:v>4049.514</x:v>
      </x:c>
      <x:c r="X245" s="7" t="n">
        <x:f>IF(OR(ISBLANK(W245),ISBLANK(R245)),"",W245-R245)</x:f>
        <x:v>1540.3140000000003</x:v>
      </x:c>
      <x:c r="Y245" s="8" t="n">
        <x:f>IF(OR(ISBLANK(W245),W245=0),"",X245/W245)</x:f>
        <x:v>0.38037008885510715</x:v>
      </x:c>
      <x:c r="Z245" s="9" t="n">
        <x:f>IF(OR(ISBLANK(B245),ISBLANK(C245)),"",C245-B245)</x:f>
        <x:v>4</x:v>
      </x:c>
      <x:c r="AA245" t="str">
        <x:f>IF(ISBLANK(B245),"",TEXT(B245,"mmm"))</x:f>
        <x:v>Jul</x:v>
      </x:c>
      <x:c r="AB245" s="9" t="n">
        <x:f>IF(ISBLANK(B245),"",YEAR(B245))</x:f>
        <x:v>2025</x:v>
      </x:c>
      <x:c r="AC245" s="10" t="str">
        <x:v>FLAG: Missing region filled as Unknown</x:v>
      </x:c>
      <x:c r="AD245" t="str">
        <x:f>IF(AND(U245="Completed",T245="Paid",ISERROR(SEARCH("INVALID",AC245)),ISERROR(SEARCH("REVIEW",AC245))),"Include","Exclude")</x:f>
        <x:v>Include</x:v>
      </x:c>
      <x:c r="AE245" t="str">
        <x:f>IF(T245="Refunded","Refunded","")</x:f>
      </x:c>
    </x:row>
    <x:row r="246">
      <x:c r="A246" t="str">
        <x:v>ORD-2024-10245</x:v>
      </x:c>
      <x:c r="B246" s="5" t="n">
        <x:v>45527</x:v>
      </x:c>
      <x:c r="C246" s="5" t="n">
        <x:v>45528</x:v>
      </x:c>
      <x:c r="D246" t="str">
        <x:v>CUST-6008</x:v>
      </x:c>
      <x:c r="E246" t="str">
        <x:v>Neha Gupta</x:v>
      </x:c>
      <x:c r="F246" t="str">
        <x:v>Consumer</x:v>
      </x:c>
      <x:c r="G246" t="str">
        <x:v>South</x:v>
      </x:c>
      <x:c r="H246" t="str">
        <x:v>Telangana</x:v>
      </x:c>
      <x:c r="I246" t="str">
        <x:v>Hyderabad</x:v>
      </x:c>
      <x:c r="J246" t="str">
        <x:v>Furniture</x:v>
      </x:c>
      <x:c r="K246" t="str">
        <x:v>Bookcases</x:v>
      </x:c>
      <x:c r="L246" t="str">
        <x:v>Eco Bookcases 768</x:v>
      </x:c>
      <x:c r="M246" t="str">
        <x:v>Same Day</x:v>
      </x:c>
      <x:c r="N246" t="n">
        <x:v>6</x:v>
      </x:c>
      <x:c r="O246" s="7" t="n">
        <x:v>1021.89</x:v>
      </x:c>
      <x:c r="P246" s="6" t="n">
        <x:v>0</x:v>
      </x:c>
      <x:c r="Q246" s="7" t="n">
        <x:v>6131.34</x:v>
      </x:c>
      <x:c r="R246" s="7" t="n">
        <x:v>4060.88</x:v>
      </x:c>
      <x:c r="S246" s="7" t="n">
        <x:v>2070.46</x:v>
      </x:c>
      <x:c r="T246" t="str">
        <x:v>Paid</x:v>
      </x:c>
      <x:c r="U246" t="str">
        <x:v>Completed</x:v>
      </x:c>
      <x:c r="V246" s="6" t="n">
        <x:f>IF(ISBLANK(P246),IF(AND(ISNUMBER(N246),N246&gt;0,ISNUMBER(O246),O246&gt;=0,ISNUMBER(Q246),Q246&gt;=0,ISNUMBER(R246),R246&gt;=0,ISNUMBER(S246)),0,""),P246)</x:f>
        <x:v>0</x:v>
      </x:c>
      <x:c r="W246" s="7" t="n">
        <x:f>IF(ISBLANK(V246),"",N246*O246*(1-V246))</x:f>
        <x:v>6131.34</x:v>
      </x:c>
      <x:c r="X246" s="7" t="n">
        <x:f>IF(OR(ISBLANK(W246),ISBLANK(R246)),"",W246-R246)</x:f>
        <x:v>2070.46</x:v>
      </x:c>
      <x:c r="Y246" s="8" t="n">
        <x:f>IF(OR(ISBLANK(W246),W246=0),"",X246/W246)</x:f>
        <x:v>0.33768474754295147</x:v>
      </x:c>
      <x:c r="Z246" s="9" t="n">
        <x:f>IF(OR(ISBLANK(B246),ISBLANK(C246)),"",C246-B246)</x:f>
        <x:v>1</x:v>
      </x:c>
      <x:c r="AA246" t="str">
        <x:f>IF(ISBLANK(B246),"",TEXT(B246,"mmm"))</x:f>
        <x:v>Aug</x:v>
      </x:c>
      <x:c r="AB246" s="9" t="n">
        <x:f>IF(ISBLANK(B246),"",YEAR(B246))</x:f>
        <x:v>2024</x:v>
      </x:c>
      <x:c r="AC246" s="10" t="str"/>
      <x:c r="AD246" t="str">
        <x:f>IF(AND(U246="Completed",T246="Paid",ISERROR(SEARCH("INVALID",AC246)),ISERROR(SEARCH("REVIEW",AC246))),"Include","Exclude")</x:f>
        <x:v>Include</x:v>
      </x:c>
      <x:c r="AE246" t="str">
        <x:f>IF(T246="Refunded","Refunded","")</x:f>
      </x:c>
    </x:row>
    <x:row r="247">
      <x:c r="A247" t="str">
        <x:v>ORD-2024-10246</x:v>
      </x:c>
      <x:c r="B247" s="5" t="n">
        <x:v>45583</x:v>
      </x:c>
      <x:c r="C247" s="5" t="n">
        <x:v>45589</x:v>
      </x:c>
      <x:c r="D247" t="str">
        <x:v>CUST-1704</x:v>
      </x:c>
      <x:c r="E247" t="str">
        <x:v>Neha Gupta</x:v>
      </x:c>
      <x:c r="F247" t="str">
        <x:v>Home Office</x:v>
      </x:c>
      <x:c r="G247" t="str">
        <x:v>South</x:v>
      </x:c>
      <x:c r="H247" t="str">
        <x:v>Kerala</x:v>
      </x:c>
      <x:c r="I247" t="str">
        <x:v>Kochi</x:v>
      </x:c>
      <x:c r="J247" t="str">
        <x:v>Furniture</x:v>
      </x:c>
      <x:c r="K247" t="str">
        <x:v>Chairs</x:v>
      </x:c>
      <x:c r="L247" t="str">
        <x:v>Pro Chairs 316</x:v>
      </x:c>
      <x:c r="M247" t="str">
        <x:v>Second Class</x:v>
      </x:c>
      <x:c r="N247" t="n">
        <x:v>3</x:v>
      </x:c>
      <x:c r="O247" s="7" t="n">
        <x:v>3275.93</x:v>
      </x:c>
      <x:c r="P247" s="6" t="n">
        <x:v>0</x:v>
      </x:c>
      <x:c r="Q247" s="7" t="n">
        <x:v>9827.79</x:v>
      </x:c>
      <x:c r="R247" s="7" t="n">
        <x:v>5478.28</x:v>
      </x:c>
      <x:c r="S247" s="7" t="n">
        <x:v>4349.51</x:v>
      </x:c>
      <x:c r="T247" t="str">
        <x:v>Paid</x:v>
      </x:c>
      <x:c r="U247" t="str">
        <x:v>Completed</x:v>
      </x:c>
      <x:c r="V247" s="6" t="n">
        <x:f>IF(ISBLANK(P247),IF(AND(ISNUMBER(N247),N247&gt;0,ISNUMBER(O247),O247&gt;=0,ISNUMBER(Q247),Q247&gt;=0,ISNUMBER(R247),R247&gt;=0,ISNUMBER(S247)),0,""),P247)</x:f>
        <x:v>0</x:v>
      </x:c>
      <x:c r="W247" s="7" t="n">
        <x:f>IF(ISBLANK(V247),"",N247*O247*(1-V247))</x:f>
        <x:v>9827.789999999999</x:v>
      </x:c>
      <x:c r="X247" s="7" t="n">
        <x:f>IF(OR(ISBLANK(W247),ISBLANK(R247)),"",W247-R247)</x:f>
        <x:v>4349.509999999999</x:v>
      </x:c>
      <x:c r="Y247" s="8" t="n">
        <x:f>IF(OR(ISBLANK(W247),W247=0),"",X247/W247)</x:f>
        <x:v>0.4425725417413274</x:v>
      </x:c>
      <x:c r="Z247" s="9" t="n">
        <x:f>IF(OR(ISBLANK(B247),ISBLANK(C247)),"",C247-B247)</x:f>
        <x:v>6</x:v>
      </x:c>
      <x:c r="AA247" t="str">
        <x:f>IF(ISBLANK(B247),"",TEXT(B247,"mmm"))</x:f>
        <x:v>Oct</x:v>
      </x:c>
      <x:c r="AB247" s="9" t="n">
        <x:f>IF(ISBLANK(B247),"",YEAR(B247))</x:f>
        <x:v>2024</x:v>
      </x:c>
      <x:c r="AC247" s="10" t="str"/>
      <x:c r="AD247" t="str">
        <x:f>IF(AND(U247="Completed",T247="Paid",ISERROR(SEARCH("INVALID",AC247)),ISERROR(SEARCH("REVIEW",AC247))),"Include","Exclude")</x:f>
        <x:v>Include</x:v>
      </x:c>
      <x:c r="AE247" t="str">
        <x:f>IF(T247="Refunded","Refunded","")</x:f>
      </x:c>
    </x:row>
    <x:row r="248">
      <x:c r="A248" t="str">
        <x:v>ORD-2024-10247</x:v>
      </x:c>
      <x:c r="B248" s="5" t="n">
        <x:v>45416</x:v>
      </x:c>
      <x:c r="C248" s="5" t="n">
        <x:v>45421</x:v>
      </x:c>
      <x:c r="D248" t="str">
        <x:v>CUST-1827</x:v>
      </x:c>
      <x:c r="E248" t="str">
        <x:v>Ananya Rao</x:v>
      </x:c>
      <x:c r="F248" t="str">
        <x:v>Corporate</x:v>
      </x:c>
      <x:c r="G248" t="str">
        <x:v>North</x:v>
      </x:c>
      <x:c r="H248" t="str">
        <x:v>Punjab</x:v>
      </x:c>
      <x:c r="I248" t="str">
        <x:v>Ludhiana</x:v>
      </x:c>
      <x:c r="J248" t="str">
        <x:v>Technology</x:v>
      </x:c>
      <x:c r="K248" t="str">
        <x:v>Machines</x:v>
      </x:c>
      <x:c r="L248" t="str">
        <x:v>Classic Machines 819</x:v>
      </x:c>
      <x:c r="M248" t="str">
        <x:v>Same Day</x:v>
      </x:c>
      <x:c r="N248" t="n">
        <x:v>3</x:v>
      </x:c>
      <x:c r="O248" s="7" t="n">
        <x:v>231.95</x:v>
      </x:c>
      <x:c r="P248" s="6" t="n">
        <x:v>0.25</x:v>
      </x:c>
      <x:c r="Q248" s="7" t="n">
        <x:v>521.89</x:v>
      </x:c>
      <x:c r="R248" s="7" t="n">
        <x:v>444.52</x:v>
      </x:c>
      <x:c r="S248" s="7" t="n">
        <x:v>77.37</x:v>
      </x:c>
      <x:c r="T248" t="str">
        <x:v>Refunded</x:v>
      </x:c>
      <x:c r="U248" t="str">
        <x:v>Cancelled</x:v>
      </x:c>
      <x:c r="V248" s="6" t="n">
        <x:f>IF(ISBLANK(P248),IF(AND(ISNUMBER(N248),N248&gt;0,ISNUMBER(O248),O248&gt;=0,ISNUMBER(Q248),Q248&gt;=0,ISNUMBER(R248),R248&gt;=0,ISNUMBER(S248)),0,""),P248)</x:f>
        <x:v>0.25</x:v>
      </x:c>
      <x:c r="W248" s="7" t="n">
        <x:f>IF(ISBLANK(V248),"",N248*O248*(1-V248))</x:f>
        <x:v>521.8874999999999</x:v>
      </x:c>
      <x:c r="X248" s="7" t="n">
        <x:f>IF(OR(ISBLANK(W248),ISBLANK(R248)),"",W248-R248)</x:f>
        <x:v>77.36749999999995</x:v>
      </x:c>
      <x:c r="Y248" s="8" t="n">
        <x:f>IF(OR(ISBLANK(W248),W248=0),"",X248/W248)</x:f>
        <x:v>0.14824555100476627</x:v>
      </x:c>
      <x:c r="Z248" s="9" t="n">
        <x:f>IF(OR(ISBLANK(B248),ISBLANK(C248)),"",C248-B248)</x:f>
        <x:v>5</x:v>
      </x:c>
      <x:c r="AA248" t="str">
        <x:f>IF(ISBLANK(B248),"",TEXT(B248,"mmm"))</x:f>
        <x:v>May</x:v>
      </x:c>
      <x:c r="AB248" s="9" t="n">
        <x:f>IF(ISBLANK(B248),"",YEAR(B248))</x:f>
        <x:v>2024</x:v>
      </x:c>
      <x:c r="AC248" s="10" t="str">
        <x:v>EXCLUDE: Cancelled order; REFUND: Summarize separately</x:v>
      </x:c>
      <x:c r="AD248" t="str">
        <x:f>IF(AND(U248="Completed",T248="Paid",ISERROR(SEARCH("INVALID",AC248)),ISERROR(SEARCH("REVIEW",AC248))),"Include","Exclude")</x:f>
        <x:v>Exclude</x:v>
      </x:c>
      <x:c r="AE248" t="str">
        <x:f>IF(T248="Refunded","Refunded","")</x:f>
        <x:v>Refunded</x:v>
      </x:c>
    </x:row>
    <x:row r="249">
      <x:c r="A249" t="str">
        <x:v>ORD-2024-10248</x:v>
      </x:c>
      <x:c r="B249" s="5" t="n">
        <x:v>45498</x:v>
      </x:c>
      <x:c r="C249" s="5" t="n">
        <x:v>45505</x:v>
      </x:c>
      <x:c r="D249" t="str">
        <x:v>CUST-6663</x:v>
      </x:c>
      <x:c r="E249" t="str">
        <x:v>Rahul Verma</x:v>
      </x:c>
      <x:c r="F249" t="str">
        <x:v>Corporate</x:v>
      </x:c>
      <x:c r="G249" t="str">
        <x:v>North</x:v>
      </x:c>
      <x:c r="H249" t="str">
        <x:v>Rajasthan</x:v>
      </x:c>
      <x:c r="I249" t="str">
        <x:v>Jaipur</x:v>
      </x:c>
      <x:c r="J249" t="str">
        <x:v>Technology</x:v>
      </x:c>
      <x:c r="K249" t="str">
        <x:v>Accessories</x:v>
      </x:c>
      <x:c r="L249" t="str">
        <x:v>Smart Accessories 572</x:v>
      </x:c>
      <x:c r="M249" t="str">
        <x:v>Second Class</x:v>
      </x:c>
      <x:c r="N249" t="n">
        <x:v>8</x:v>
      </x:c>
      <x:c r="O249" s="7" t="n">
        <x:v>2493.4</x:v>
      </x:c>
      <x:c r="P249" s="6" t="n">
        <x:v>0.25</x:v>
      </x:c>
      <x:c r="Q249" s="7" t="n">
        <x:v>14960.4</x:v>
      </x:c>
      <x:c r="R249" s="7" t="n">
        <x:v>12500.84</x:v>
      </x:c>
      <x:c r="S249" s="7" t="n">
        <x:v>2459.56</x:v>
      </x:c>
      <x:c r="T249" t="str">
        <x:v>Paid</x:v>
      </x:c>
      <x:c r="U249" t="str">
        <x:v>Completed</x:v>
      </x:c>
      <x:c r="V249" s="6" t="n">
        <x:f>IF(ISBLANK(P249),IF(AND(ISNUMBER(N249),N249&gt;0,ISNUMBER(O249),O249&gt;=0,ISNUMBER(Q249),Q249&gt;=0,ISNUMBER(R249),R249&gt;=0,ISNUMBER(S249)),0,""),P249)</x:f>
        <x:v>0.25</x:v>
      </x:c>
      <x:c r="W249" s="7" t="n">
        <x:f>IF(ISBLANK(V249),"",N249*O249*(1-V249))</x:f>
        <x:v>14960.400000000001</x:v>
      </x:c>
      <x:c r="X249" s="7" t="n">
        <x:f>IF(OR(ISBLANK(W249),ISBLANK(R249)),"",W249-R249)</x:f>
        <x:v>2459.5600000000013</x:v>
      </x:c>
      <x:c r="Y249" s="8" t="n">
        <x:f>IF(OR(ISBLANK(W249),W249=0),"",X249/W249)</x:f>
        <x:v>0.16440469506162944</x:v>
      </x:c>
      <x:c r="Z249" s="9" t="n">
        <x:f>IF(OR(ISBLANK(B249),ISBLANK(C249)),"",C249-B249)</x:f>
        <x:v>7</x:v>
      </x:c>
      <x:c r="AA249" t="str">
        <x:f>IF(ISBLANK(B249),"",TEXT(B249,"mmm"))</x:f>
        <x:v>Jul</x:v>
      </x:c>
      <x:c r="AB249" s="9" t="n">
        <x:f>IF(ISBLANK(B249),"",YEAR(B249))</x:f>
        <x:v>2024</x:v>
      </x:c>
      <x:c r="AC249" s="10" t="str"/>
      <x:c r="AD249" t="str">
        <x:f>IF(AND(U249="Completed",T249="Paid",ISERROR(SEARCH("INVALID",AC249)),ISERROR(SEARCH("REVIEW",AC249))),"Include","Exclude")</x:f>
        <x:v>Include</x:v>
      </x:c>
      <x:c r="AE249" t="str">
        <x:f>IF(T249="Refunded","Refunded","")</x:f>
      </x:c>
    </x:row>
    <x:row r="250">
      <x:c r="A250" t="str">
        <x:v>ORD-2024-10249</x:v>
      </x:c>
      <x:c r="B250" s="5" t="n">
        <x:v>45445</x:v>
      </x:c>
      <x:c r="C250" s="5" t="n">
        <x:v>45450</x:v>
      </x:c>
      <x:c r="D250" t="str">
        <x:v>CUST-6278</x:v>
      </x:c>
      <x:c r="E250" t="str">
        <x:v>Rohan Mehta</x:v>
      </x:c>
      <x:c r="F250" t="str">
        <x:v>Home Office</x:v>
      </x:c>
      <x:c r="G250" t="str">
        <x:v>East</x:v>
      </x:c>
      <x:c r="H250" t="str">
        <x:v>Odisha</x:v>
      </x:c>
      <x:c r="I250" t="str">
        <x:v>Bhubaneswar</x:v>
      </x:c>
      <x:c r="J250" t="str">
        <x:v>Office Supplies</x:v>
      </x:c>
      <x:c r="K250" t="str">
        <x:v>Labels</x:v>
      </x:c>
      <x:c r="L250" t="str">
        <x:v>Basic Labels 432</x:v>
      </x:c>
      <x:c r="M250" t="str">
        <x:v>Second Class</x:v>
      </x:c>
      <x:c r="N250" t="n">
        <x:v>9</x:v>
      </x:c>
      <x:c r="O250" s="7" t="n">
        <x:v>787.91</x:v>
      </x:c>
      <x:c r="P250" s="6" t="n">
        <x:v>0.15</x:v>
      </x:c>
      <x:c r="Q250" s="7" t="n">
        <x:v>6027.51</x:v>
      </x:c>
      <x:c r="R250" s="7" t="n">
        <x:v>4883.82</x:v>
      </x:c>
      <x:c r="S250" s="7" t="n">
        <x:v>1143.69</x:v>
      </x:c>
      <x:c r="T250" t="str">
        <x:v>Paid</x:v>
      </x:c>
      <x:c r="U250" t="str">
        <x:v>Completed</x:v>
      </x:c>
      <x:c r="V250" s="6" t="n">
        <x:f>IF(ISBLANK(P250),IF(AND(ISNUMBER(N250),N250&gt;0,ISNUMBER(O250),O250&gt;=0,ISNUMBER(Q250),Q250&gt;=0,ISNUMBER(R250),R250&gt;=0,ISNUMBER(S250)),0,""),P250)</x:f>
        <x:v>0.15</x:v>
      </x:c>
      <x:c r="W250" s="7" t="n">
        <x:f>IF(ISBLANK(V250),"",N250*O250*(1-V250))</x:f>
        <x:v>6027.5115</x:v>
      </x:c>
      <x:c r="X250" s="7" t="n">
        <x:f>IF(OR(ISBLANK(W250),ISBLANK(R250)),"",W250-R250)</x:f>
        <x:v>1143.6915</x:v>
      </x:c>
      <x:c r="Y250" s="8" t="n">
        <x:f>IF(OR(ISBLANK(W250),W250=0),"",X250/W250)</x:f>
        <x:v>0.18974522072666306</x:v>
      </x:c>
      <x:c r="Z250" s="9" t="n">
        <x:f>IF(OR(ISBLANK(B250),ISBLANK(C250)),"",C250-B250)</x:f>
        <x:v>5</x:v>
      </x:c>
      <x:c r="AA250" t="str">
        <x:f>IF(ISBLANK(B250),"",TEXT(B250,"mmm"))</x:f>
        <x:v>Jun</x:v>
      </x:c>
      <x:c r="AB250" s="9" t="n">
        <x:f>IF(ISBLANK(B250),"",YEAR(B250))</x:f>
        <x:v>2024</x:v>
      </x:c>
      <x:c r="AC250" s="10" t="str"/>
      <x:c r="AD250" t="str">
        <x:f>IF(AND(U250="Completed",T250="Paid",ISERROR(SEARCH("INVALID",AC250)),ISERROR(SEARCH("REVIEW",AC250))),"Include","Exclude")</x:f>
        <x:v>Include</x:v>
      </x:c>
      <x:c r="AE250" t="str">
        <x:f>IF(T250="Refunded","Refunded","")</x:f>
      </x:c>
    </x:row>
    <x:row r="251">
      <x:c r="A251" t="str">
        <x:v>ORD-2025-10250</x:v>
      </x:c>
      <x:c r="B251" s="5" t="n">
        <x:v>45870</x:v>
      </x:c>
      <x:c r="C251" s="5" t="n">
        <x:v>45871</x:v>
      </x:c>
      <x:c r="D251" t="str">
        <x:v>CUST-2305</x:v>
      </x:c>
      <x:c r="E251" t="str">
        <x:v>Mira Das</x:v>
      </x:c>
      <x:c r="F251" t="str">
        <x:v>Corporate</x:v>
      </x:c>
      <x:c r="G251" t="str">
        <x:v>North</x:v>
      </x:c>
      <x:c r="H251" t="str">
        <x:v>Rajasthan</x:v>
      </x:c>
      <x:c r="I251" t="str">
        <x:v>Jaipur</x:v>
      </x:c>
      <x:c r="J251" t="str">
        <x:v>Furniture</x:v>
      </x:c>
      <x:c r="K251" t="str">
        <x:v>Furnishings</x:v>
      </x:c>
      <x:c r="L251" t="str">
        <x:v>Classic Furnishings 378</x:v>
      </x:c>
      <x:c r="M251" t="str">
        <x:v>First Class</x:v>
      </x:c>
      <x:c r="N251" t="n">
        <x:v>4</x:v>
      </x:c>
      <x:c r="O251" s="7" t="n">
        <x:v>2790.29</x:v>
      </x:c>
      <x:c r="P251" s="6" t="n">
        <x:v>0.2</x:v>
      </x:c>
      <x:c r="Q251" s="7" t="n">
        <x:v>8928.93</x:v>
      </x:c>
      <x:c r="R251" s="7" t="n">
        <x:v>5634.38</x:v>
      </x:c>
      <x:c r="S251" s="7" t="n">
        <x:v>3294.55</x:v>
      </x:c>
      <x:c r="T251" t="str">
        <x:v>Paid</x:v>
      </x:c>
      <x:c r="U251" t="str">
        <x:v>Completed</x:v>
      </x:c>
      <x:c r="V251" s="6" t="n">
        <x:f>IF(ISBLANK(P251),IF(AND(ISNUMBER(N251),N251&gt;0,ISNUMBER(O251),O251&gt;=0,ISNUMBER(Q251),Q251&gt;=0,ISNUMBER(R251),R251&gt;=0,ISNUMBER(S251)),0,""),P251)</x:f>
        <x:v>0.2</x:v>
      </x:c>
      <x:c r="W251" s="7" t="n">
        <x:f>IF(ISBLANK(V251),"",N251*O251*(1-V251))</x:f>
        <x:v>8928.928</x:v>
      </x:c>
      <x:c r="X251" s="7" t="n">
        <x:f>IF(OR(ISBLANK(W251),ISBLANK(R251)),"",W251-R251)</x:f>
        <x:v>3294.548</x:v>
      </x:c>
      <x:c r="Y251" s="8" t="n">
        <x:f>IF(OR(ISBLANK(W251),W251=0),"",X251/W251)</x:f>
        <x:v>0.36897464062875185</x:v>
      </x:c>
      <x:c r="Z251" s="9" t="n">
        <x:f>IF(OR(ISBLANK(B251),ISBLANK(C251)),"",C251-B251)</x:f>
        <x:v>1</x:v>
      </x:c>
      <x:c r="AA251" t="str">
        <x:f>IF(ISBLANK(B251),"",TEXT(B251,"mmm"))</x:f>
        <x:v>Aug</x:v>
      </x:c>
      <x:c r="AB251" s="9" t="n">
        <x:f>IF(ISBLANK(B251),"",YEAR(B251))</x:f>
        <x:v>2025</x:v>
      </x:c>
      <x:c r="AC251" s="10" t="str"/>
      <x:c r="AD251" t="str">
        <x:f>IF(AND(U251="Completed",T251="Paid",ISERROR(SEARCH("INVALID",AC251)),ISERROR(SEARCH("REVIEW",AC251))),"Include","Exclude")</x:f>
        <x:v>Include</x:v>
      </x:c>
      <x:c r="AE251" t="str">
        <x:f>IF(T251="Refunded","Refunded","")</x:f>
      </x:c>
    </x:row>
    <x:row r="252">
      <x:c r="A252" t="str">
        <x:v>ORD-2024-10251</x:v>
      </x:c>
      <x:c r="B252" s="5" t="n">
        <x:v>45343</x:v>
      </x:c>
      <x:c r="C252" s="5" t="n">
        <x:v>45349</x:v>
      </x:c>
      <x:c r="D252" t="str">
        <x:v>CUST-5351</x:v>
      </x:c>
      <x:c r="E252" t="str">
        <x:v>Arjun Bose</x:v>
      </x:c>
      <x:c r="F252" t="str">
        <x:v>Small Business</x:v>
      </x:c>
      <x:c r="G252" t="str">
        <x:v>East</x:v>
      </x:c>
      <x:c r="H252" t="str">
        <x:v>West Bengal</x:v>
      </x:c>
      <x:c r="I252" t="str">
        <x:v>Kolkata</x:v>
      </x:c>
      <x:c r="J252" t="str">
        <x:v>Furniture</x:v>
      </x:c>
      <x:c r="K252" t="str">
        <x:v>Furnishings</x:v>
      </x:c>
      <x:c r="L252" t="str">
        <x:v>Prime Furnishings 781</x:v>
      </x:c>
      <x:c r="M252" t="str">
        <x:v>Standard Class</x:v>
      </x:c>
      <x:c r="N252" t="n">
        <x:v>5</x:v>
      </x:c>
      <x:c r="O252" s="7" t="n">
        <x:v>3373.86</x:v>
      </x:c>
      <x:c r="P252" s="6" t="n">
        <x:v>0.15</x:v>
      </x:c>
      <x:c r="Q252" s="7" t="n">
        <x:v>14338.9</x:v>
      </x:c>
      <x:c r="R252" s="7" t="n">
        <x:v>11897.65</x:v>
      </x:c>
      <x:c r="S252" s="7" t="n">
        <x:v>2441.25</x:v>
      </x:c>
      <x:c r="T252" t="str">
        <x:v>Pending</x:v>
      </x:c>
      <x:c r="U252" t="str">
        <x:v>Returned</x:v>
      </x:c>
      <x:c r="V252" s="6" t="n">
        <x:f>IF(ISBLANK(P252),IF(AND(ISNUMBER(N252),N252&gt;0,ISNUMBER(O252),O252&gt;=0,ISNUMBER(Q252),Q252&gt;=0,ISNUMBER(R252),R252&gt;=0,ISNUMBER(S252)),0,""),P252)</x:f>
        <x:v>0.15</x:v>
      </x:c>
      <x:c r="W252" s="7" t="n">
        <x:f>IF(ISBLANK(V252),"",N252*O252*(1-V252))</x:f>
        <x:v>14338.904999999999</x:v>
      </x:c>
      <x:c r="X252" s="7" t="n">
        <x:f>IF(OR(ISBLANK(W252),ISBLANK(R252)),"",W252-R252)</x:f>
        <x:v>2441.254999999999</x:v>
      </x:c>
      <x:c r="Y252" s="8" t="n">
        <x:f>IF(OR(ISBLANK(W252),W252=0),"",X252/W252)</x:f>
        <x:v>0.17025393501107647</x:v>
      </x:c>
      <x:c r="Z252" s="9" t="n">
        <x:f>IF(OR(ISBLANK(B252),ISBLANK(C252)),"",C252-B252)</x:f>
        <x:v>6</x:v>
      </x:c>
      <x:c r="AA252" t="str">
        <x:f>IF(ISBLANK(B252),"",TEXT(B252,"mmm"))</x:f>
        <x:v>Feb</x:v>
      </x:c>
      <x:c r="AB252" s="9" t="n">
        <x:f>IF(ISBLANK(B252),"",YEAR(B252))</x:f>
        <x:v>2024</x:v>
      </x:c>
      <x:c r="AC252" s="10" t="str"/>
      <x:c r="AD252" t="str">
        <x:f>IF(AND(U252="Completed",T252="Paid",ISERROR(SEARCH("INVALID",AC252)),ISERROR(SEARCH("REVIEW",AC252))),"Include","Exclude")</x:f>
        <x:v>Exclude</x:v>
      </x:c>
      <x:c r="AE252" t="str">
        <x:f>IF(T252="Refunded","Refunded","")</x:f>
      </x:c>
    </x:row>
    <x:row r="253">
      <x:c r="A253" t="str">
        <x:v>ORD-2025-10252</x:v>
      </x:c>
      <x:c r="B253" s="5" t="n">
        <x:v>45753</x:v>
      </x:c>
      <x:c r="C253" s="5" t="n">
        <x:v>45757</x:v>
      </x:c>
      <x:c r="D253" t="str">
        <x:v>CUST-6268</x:v>
      </x:c>
      <x:c r="E253" t="str">
        <x:v>Ananya Rao</x:v>
      </x:c>
      <x:c r="F253" t="str">
        <x:v>Corporate</x:v>
      </x:c>
      <x:c r="G253" t="str">
        <x:v>West</x:v>
      </x:c>
      <x:c r="H253" t="str">
        <x:v>Gujarat</x:v>
      </x:c>
      <x:c r="I253" t="str">
        <x:v>Ahmedabad</x:v>
      </x:c>
      <x:c r="J253" t="str">
        <x:v>Furniture</x:v>
      </x:c>
      <x:c r="K253" t="str">
        <x:v>Tables</x:v>
      </x:c>
      <x:c r="L253" t="str">
        <x:v>Prime Tables 263</x:v>
      </x:c>
      <x:c r="M253" t="str">
        <x:v>Second Class</x:v>
      </x:c>
      <x:c r="N253" t="n">
        <x:v>6</x:v>
      </x:c>
      <x:c r="O253" s="7" t="n">
        <x:v>1022.16</x:v>
      </x:c>
      <x:c r="P253" s="6" t="n">
        <x:v>0</x:v>
      </x:c>
      <x:c r="Q253" s="7" t="n">
        <x:v>6132.96</x:v>
      </x:c>
      <x:c r="R253" s="7" t="n">
        <x:v>4881.1</x:v>
      </x:c>
      <x:c r="S253" s="7" t="n">
        <x:v>1251.86</x:v>
      </x:c>
      <x:c r="T253" t="str">
        <x:v>Paid</x:v>
      </x:c>
      <x:c r="U253" t="str">
        <x:v>Completed</x:v>
      </x:c>
      <x:c r="V253" s="6" t="n">
        <x:f>IF(ISBLANK(P253),IF(AND(ISNUMBER(N253),N253&gt;0,ISNUMBER(O253),O253&gt;=0,ISNUMBER(Q253),Q253&gt;=0,ISNUMBER(R253),R253&gt;=0,ISNUMBER(S253)),0,""),P253)</x:f>
        <x:v>0</x:v>
      </x:c>
      <x:c r="W253" s="7" t="n">
        <x:f>IF(ISBLANK(V253),"",N253*O253*(1-V253))</x:f>
        <x:v>6132.96</x:v>
      </x:c>
      <x:c r="X253" s="7" t="n">
        <x:f>IF(OR(ISBLANK(W253),ISBLANK(R253)),"",W253-R253)</x:f>
        <x:v>1251.8599999999997</x:v>
      </x:c>
      <x:c r="Y253" s="8" t="n">
        <x:f>IF(OR(ISBLANK(W253),W253=0),"",X253/W253)</x:f>
        <x:v>0.20412003339333692</x:v>
      </x:c>
      <x:c r="Z253" s="9" t="n">
        <x:f>IF(OR(ISBLANK(B253),ISBLANK(C253)),"",C253-B253)</x:f>
        <x:v>4</x:v>
      </x:c>
      <x:c r="AA253" t="str">
        <x:f>IF(ISBLANK(B253),"",TEXT(B253,"mmm"))</x:f>
        <x:v>Apr</x:v>
      </x:c>
      <x:c r="AB253" s="9" t="n">
        <x:f>IF(ISBLANK(B253),"",YEAR(B253))</x:f>
        <x:v>2025</x:v>
      </x:c>
      <x:c r="AC253" s="10" t="str"/>
      <x:c r="AD253" t="str">
        <x:f>IF(AND(U253="Completed",T253="Paid",ISERROR(SEARCH("INVALID",AC253)),ISERROR(SEARCH("REVIEW",AC253))),"Include","Exclude")</x:f>
        <x:v>Include</x:v>
      </x:c>
      <x:c r="AE253" t="str">
        <x:f>IF(T253="Refunded","Refunded","")</x:f>
      </x:c>
    </x:row>
    <x:row r="254">
      <x:c r="A254" t="str">
        <x:v>ORD-2025-10253</x:v>
      </x:c>
      <x:c r="B254" s="5" t="n">
        <x:v>45833</x:v>
      </x:c>
      <x:c r="C254" s="5" t="n">
        <x:v>45836</x:v>
      </x:c>
      <x:c r="D254" t="str">
        <x:v>CUST-2103</x:v>
      </x:c>
      <x:c r="E254" t="str">
        <x:v>Arjun Bose</x:v>
      </x:c>
      <x:c r="F254" t="str">
        <x:v>Corporate</x:v>
      </x:c>
      <x:c r="G254" t="str">
        <x:v>North</x:v>
      </x:c>
      <x:c r="H254" t="str">
        <x:v>Haryana</x:v>
      </x:c>
      <x:c r="I254" t="str">
        <x:v>Gurugram</x:v>
      </x:c>
      <x:c r="J254" t="str">
        <x:v>Office Supplies</x:v>
      </x:c>
      <x:c r="K254" t="str">
        <x:v>Storage</x:v>
      </x:c>
      <x:c r="L254" t="str">
        <x:v>Basic Storage 269</x:v>
      </x:c>
      <x:c r="M254" t="str">
        <x:v>First Class</x:v>
      </x:c>
      <x:c r="N254" t="n">
        <x:v>2</x:v>
      </x:c>
      <x:c r="O254" s="7" t="n">
        <x:v>1455.92</x:v>
      </x:c>
      <x:c r="P254" s="6" t="n">
        <x:v>0.2</x:v>
      </x:c>
      <x:c r="Q254" s="7" t="n">
        <x:v>2329.47</x:v>
      </x:c>
      <x:c r="R254" s="7" t="n">
        <x:v>1603.62</x:v>
      </x:c>
      <x:c r="S254" s="7" t="n">
        <x:v>725.85</x:v>
      </x:c>
      <x:c r="T254" t="str">
        <x:v>Pending</x:v>
      </x:c>
      <x:c r="U254" t="str">
        <x:v>Returned</x:v>
      </x:c>
      <x:c r="V254" s="6" t="n">
        <x:f>IF(ISBLANK(P254),IF(AND(ISNUMBER(N254),N254&gt;0,ISNUMBER(O254),O254&gt;=0,ISNUMBER(Q254),Q254&gt;=0,ISNUMBER(R254),R254&gt;=0,ISNUMBER(S254)),0,""),P254)</x:f>
        <x:v>0.2</x:v>
      </x:c>
      <x:c r="W254" s="7" t="n">
        <x:f>IF(ISBLANK(V254),"",N254*O254*(1-V254))</x:f>
        <x:v>2329.472</x:v>
      </x:c>
      <x:c r="X254" s="7" t="n">
        <x:f>IF(OR(ISBLANK(W254),ISBLANK(R254)),"",W254-R254)</x:f>
        <x:v>725.8520000000003</x:v>
      </x:c>
      <x:c r="Y254" s="8" t="n">
        <x:f>IF(OR(ISBLANK(W254),W254=0),"",X254/W254)</x:f>
        <x:v>0.3115950739051597</x:v>
      </x:c>
      <x:c r="Z254" s="9" t="n">
        <x:f>IF(OR(ISBLANK(B254),ISBLANK(C254)),"",C254-B254)</x:f>
        <x:v>3</x:v>
      </x:c>
      <x:c r="AA254" t="str">
        <x:f>IF(ISBLANK(B254),"",TEXT(B254,"mmm"))</x:f>
        <x:v>Jun</x:v>
      </x:c>
      <x:c r="AB254" s="9" t="n">
        <x:f>IF(ISBLANK(B254),"",YEAR(B254))</x:f>
        <x:v>2025</x:v>
      </x:c>
      <x:c r="AC254" s="10" t="str"/>
      <x:c r="AD254" t="str">
        <x:f>IF(AND(U254="Completed",T254="Paid",ISERROR(SEARCH("INVALID",AC254)),ISERROR(SEARCH("REVIEW",AC254))),"Include","Exclude")</x:f>
        <x:v>Exclude</x:v>
      </x:c>
      <x:c r="AE254" t="str">
        <x:f>IF(T254="Refunded","Refunded","")</x:f>
      </x:c>
    </x:row>
    <x:row r="255">
      <x:c r="A255" t="str">
        <x:v>ORD-2024-10254</x:v>
      </x:c>
      <x:c r="B255" s="5" t="n">
        <x:v>45547</x:v>
      </x:c>
      <x:c r="C255" s="5" t="n">
        <x:v>45548</x:v>
      </x:c>
      <x:c r="D255" t="str">
        <x:v>CUST-5394</x:v>
      </x:c>
      <x:c r="E255" t="str">
        <x:v>Priya Menon</x:v>
      </x:c>
      <x:c r="F255" t="str">
        <x:v>Small Business</x:v>
      </x:c>
      <x:c r="G255" t="str">
        <x:v>North</x:v>
      </x:c>
      <x:c r="H255" t="str">
        <x:v>Rajasthan</x:v>
      </x:c>
      <x:c r="I255" t="str">
        <x:v>Jaipur</x:v>
      </x:c>
      <x:c r="J255" t="str">
        <x:v>Technology</x:v>
      </x:c>
      <x:c r="K255" t="str">
        <x:v>Phones</x:v>
      </x:c>
      <x:c r="L255" t="str">
        <x:v>Classic Phones 442</x:v>
      </x:c>
      <x:c r="M255" t="str">
        <x:v>Same Day</x:v>
      </x:c>
      <x:c r="N255" t="n">
        <x:v>6</x:v>
      </x:c>
      <x:c r="O255" s="7" t="n">
        <x:v>832.79</x:v>
      </x:c>
      <x:c r="P255" s="6" t="n">
        <x:v>0.05</x:v>
      </x:c>
      <x:c r="Q255" s="7" t="n">
        <x:v>4746.9</x:v>
      </x:c>
      <x:c r="R255" s="7" t="n">
        <x:v>2825.38</x:v>
      </x:c>
      <x:c r="S255" s="7" t="n">
        <x:v>1472.89</x:v>
      </x:c>
      <x:c r="T255" t="str">
        <x:v>Refunded</x:v>
      </x:c>
      <x:c r="U255" t="str">
        <x:v>Cancelled</x:v>
      </x:c>
      <x:c r="V255" s="6" t="n">
        <x:f>IF(ISBLANK(P255),IF(AND(ISNUMBER(N255),N255&gt;0,ISNUMBER(O255),O255&gt;=0,ISNUMBER(Q255),Q255&gt;=0,ISNUMBER(R255),R255&gt;=0,ISNUMBER(S255)),0,""),P255)</x:f>
        <x:v>0.05</x:v>
      </x:c>
      <x:c r="W255" s="7" t="n">
        <x:f>IF(ISBLANK(V255),"",N255*O255*(1-V255))</x:f>
        <x:v>4746.902999999999</x:v>
      </x:c>
      <x:c r="X255" s="7" t="n">
        <x:f>IF(OR(ISBLANK(W255),ISBLANK(R255)),"",W255-R255)</x:f>
        <x:v>1921.5229999999992</x:v>
      </x:c>
      <x:c r="Y255" s="8" t="n">
        <x:f>IF(OR(ISBLANK(W255),W255=0),"",X255/W255)</x:f>
        <x:v>0.40479508428969363</x:v>
      </x:c>
      <x:c r="Z255" s="9" t="n">
        <x:f>IF(OR(ISBLANK(B255),ISBLANK(C255)),"",C255-B255)</x:f>
        <x:v>1</x:v>
      </x:c>
      <x:c r="AA255" t="str">
        <x:f>IF(ISBLANK(B255),"",TEXT(B255,"mmm"))</x:f>
        <x:v>Sep</x:v>
      </x:c>
      <x:c r="AB255" s="9" t="n">
        <x:f>IF(ISBLANK(B255),"",YEAR(B255))</x:f>
        <x:v>2024</x:v>
      </x:c>
      <x:c r="AC255" s="10" t="str">
        <x:v>EXCLUDE: Cancelled order; REFUND: Summarize separately</x:v>
      </x:c>
      <x:c r="AD255" t="str">
        <x:f>IF(AND(U255="Completed",T255="Paid",ISERROR(SEARCH("INVALID",AC255)),ISERROR(SEARCH("REVIEW",AC255))),"Include","Exclude")</x:f>
        <x:v>Exclude</x:v>
      </x:c>
      <x:c r="AE255" t="str">
        <x:f>IF(T255="Refunded","Refunded","")</x:f>
        <x:v>Refunded</x:v>
      </x:c>
    </x:row>
    <x:row r="256">
      <x:c r="A256" t="str">
        <x:v>ORD-2025-10255</x:v>
      </x:c>
      <x:c r="B256" s="5" t="n">
        <x:v>45658</x:v>
      </x:c>
      <x:c r="C256" s="5" t="n">
        <x:v>45660</x:v>
      </x:c>
      <x:c r="D256" t="str">
        <x:v>CUST-6853</x:v>
      </x:c>
      <x:c r="E256" t="str">
        <x:v>Ananya Rao</x:v>
      </x:c>
      <x:c r="F256" t="str">
        <x:v>Consumer</x:v>
      </x:c>
      <x:c r="G256" t="str">
        <x:v>West</x:v>
      </x:c>
      <x:c r="H256" t="str">
        <x:v>Madhya Pradesh</x:v>
      </x:c>
      <x:c r="I256" t="str">
        <x:v>Indore</x:v>
      </x:c>
      <x:c r="J256" t="str">
        <x:v>Technology</x:v>
      </x:c>
      <x:c r="K256" t="str">
        <x:v>Accessories</x:v>
      </x:c>
      <x:c r="L256" t="str">
        <x:v>Elite Accessories 978</x:v>
      </x:c>
      <x:c r="M256" t="str">
        <x:v>Same Day</x:v>
      </x:c>
      <x:c r="N256" t="n">
        <x:v>7</x:v>
      </x:c>
      <x:c r="O256" s="7" t="n">
        <x:v>1000.55</x:v>
      </x:c>
      <x:c r="P256" s="6" t="n">
        <x:v>0.2</x:v>
      </x:c>
      <x:c r="Q256" s="7" t="n">
        <x:v>5603.08</x:v>
      </x:c>
      <x:c r="R256" s="7" t="n">
        <x:v>3132.52</x:v>
      </x:c>
      <x:c r="S256" s="7" t="n">
        <x:v>2470.56</x:v>
      </x:c>
      <x:c r="T256" t="str">
        <x:v>Paid</x:v>
      </x:c>
      <x:c r="U256" t="str">
        <x:v>Returned</x:v>
      </x:c>
      <x:c r="V256" s="6" t="n">
        <x:f>IF(ISBLANK(P256),IF(AND(ISNUMBER(N256),N256&gt;0,ISNUMBER(O256),O256&gt;=0,ISNUMBER(Q256),Q256&gt;=0,ISNUMBER(R256),R256&gt;=0,ISNUMBER(S256)),0,""),P256)</x:f>
        <x:v>0.2</x:v>
      </x:c>
      <x:c r="W256" s="7" t="n">
        <x:f>IF(ISBLANK(V256),"",N256*O256*(1-V256))</x:f>
        <x:v>5603.08</x:v>
      </x:c>
      <x:c r="X256" s="7" t="n">
        <x:f>IF(OR(ISBLANK(W256),ISBLANK(R256)),"",W256-R256)</x:f>
        <x:v>2470.56</x:v>
      </x:c>
      <x:c r="Y256" s="8" t="n">
        <x:f>IF(OR(ISBLANK(W256),W256=0),"",X256/W256)</x:f>
        <x:v>0.4409289176667119</x:v>
      </x:c>
      <x:c r="Z256" s="9" t="n">
        <x:f>IF(OR(ISBLANK(B256),ISBLANK(C256)),"",C256-B256)</x:f>
        <x:v>2</x:v>
      </x:c>
      <x:c r="AA256" t="str">
        <x:f>IF(ISBLANK(B256),"",TEXT(B256,"mmm"))</x:f>
        <x:v>Jan</x:v>
      </x:c>
      <x:c r="AB256" s="9" t="n">
        <x:f>IF(ISBLANK(B256),"",YEAR(B256))</x:f>
        <x:v>2025</x:v>
      </x:c>
      <x:c r="AC256" s="10" t="str"/>
      <x:c r="AD256" t="str">
        <x:f>IF(AND(U256="Completed",T256="Paid",ISERROR(SEARCH("INVALID",AC256)),ISERROR(SEARCH("REVIEW",AC256))),"Include","Exclude")</x:f>
        <x:v>Exclude</x:v>
      </x:c>
      <x:c r="AE256" t="str">
        <x:f>IF(T256="Refunded","Refunded","")</x:f>
      </x:c>
    </x:row>
    <x:row r="257">
      <x:c r="A257" t="str">
        <x:v>ORD-2025-10256</x:v>
      </x:c>
      <x:c r="B257" s="5" t="n">
        <x:v>45692</x:v>
      </x:c>
      <x:c r="C257" s="5" t="n">
        <x:v>45698</x:v>
      </x:c>
      <x:c r="D257" t="str">
        <x:v>CUST-1549</x:v>
      </x:c>
      <x:c r="E257" t="str">
        <x:v>Isha Nair</x:v>
      </x:c>
      <x:c r="F257" t="str">
        <x:v>Corporate</x:v>
      </x:c>
      <x:c r="G257" t="str">
        <x:v>West</x:v>
      </x:c>
      <x:c r="H257" t="str">
        <x:v>Maharashtra</x:v>
      </x:c>
      <x:c r="I257" t="str">
        <x:v>Mumbai</x:v>
      </x:c>
      <x:c r="J257" t="str">
        <x:v>Technology</x:v>
      </x:c>
      <x:c r="K257" t="str">
        <x:v>Phones</x:v>
      </x:c>
      <x:c r="L257" t="str">
        <x:v>Eco Phones 132</x:v>
      </x:c>
      <x:c r="M257" t="str">
        <x:v>First Class</x:v>
      </x:c>
      <x:c r="N257" t="n">
        <x:v>7</x:v>
      </x:c>
      <x:c r="O257" s="7" t="n">
        <x:v>1830</x:v>
      </x:c>
      <x:c r="P257" s="6" t="n">
        <x:v>0</x:v>
      </x:c>
      <x:c r="Q257" s="7" t="n">
        <x:v>12810</x:v>
      </x:c>
      <x:c r="R257" s="7" t="n">
        <x:v>9334.12</x:v>
      </x:c>
      <x:c r="S257" s="7" t="n">
        <x:v>3475.88</x:v>
      </x:c>
      <x:c r="T257" t="str">
        <x:v>Paid</x:v>
      </x:c>
      <x:c r="U257" t="str">
        <x:v>Completed</x:v>
      </x:c>
      <x:c r="V257" s="6" t="n">
        <x:f>IF(ISBLANK(P257),IF(AND(ISNUMBER(N257),N257&gt;0,ISNUMBER(O257),O257&gt;=0,ISNUMBER(Q257),Q257&gt;=0,ISNUMBER(R257),R257&gt;=0,ISNUMBER(S257)),0,""),P257)</x:f>
        <x:v>0</x:v>
      </x:c>
      <x:c r="W257" s="7" t="n">
        <x:f>IF(ISBLANK(V257),"",N257*O257*(1-V257))</x:f>
        <x:v>12810</x:v>
      </x:c>
      <x:c r="X257" s="7" t="n">
        <x:f>IF(OR(ISBLANK(W257),ISBLANK(R257)),"",W257-R257)</x:f>
        <x:v>3475.879999999999</x:v>
      </x:c>
      <x:c r="Y257" s="8" t="n">
        <x:f>IF(OR(ISBLANK(W257),W257=0),"",X257/W257)</x:f>
        <x:v>0.2713411397345823</x:v>
      </x:c>
      <x:c r="Z257" s="9" t="n">
        <x:f>IF(OR(ISBLANK(B257),ISBLANK(C257)),"",C257-B257)</x:f>
        <x:v>6</x:v>
      </x:c>
      <x:c r="AA257" t="str">
        <x:f>IF(ISBLANK(B257),"",TEXT(B257,"mmm"))</x:f>
        <x:v>Feb</x:v>
      </x:c>
      <x:c r="AB257" s="9" t="n">
        <x:f>IF(ISBLANK(B257),"",YEAR(B257))</x:f>
        <x:v>2025</x:v>
      </x:c>
      <x:c r="AC257" s="10" t="str"/>
      <x:c r="AD257" t="str">
        <x:f>IF(AND(U257="Completed",T257="Paid",ISERROR(SEARCH("INVALID",AC257)),ISERROR(SEARCH("REVIEW",AC257))),"Include","Exclude")</x:f>
        <x:v>Include</x:v>
      </x:c>
      <x:c r="AE257" t="str">
        <x:f>IF(T257="Refunded","Refunded","")</x:f>
      </x:c>
    </x:row>
    <x:row r="258">
      <x:c r="A258" t="str">
        <x:v>ORD-2024-10257</x:v>
      </x:c>
      <x:c r="B258" s="5" t="n">
        <x:v>45601</x:v>
      </x:c>
      <x:c r="C258" s="5" t="n">
        <x:v>45599</x:v>
      </x:c>
      <x:c r="D258" t="str">
        <x:v>CUST-8411</x:v>
      </x:c>
      <x:c r="E258" t="str">
        <x:v>Ananya Rao</x:v>
      </x:c>
      <x:c r="F258" t="str">
        <x:v>Consumer</x:v>
      </x:c>
      <x:c r="G258" t="str">
        <x:v>East</x:v>
      </x:c>
      <x:c r="H258" t="str">
        <x:v>West Bengal</x:v>
      </x:c>
      <x:c r="I258" t="str">
        <x:v>Kolkata</x:v>
      </x:c>
      <x:c r="J258" t="str">
        <x:v>Furniture</x:v>
      </x:c>
      <x:c r="K258" t="str">
        <x:v>Tables</x:v>
      </x:c>
      <x:c r="L258" t="str">
        <x:v>Prime Tables 481</x:v>
      </x:c>
      <x:c r="M258" t="str">
        <x:v>First Class</x:v>
      </x:c>
      <x:c r="N258" t="n">
        <x:v>9</x:v>
      </x:c>
      <x:c r="O258" s="7" t="n">
        <x:v>2260.61</x:v>
      </x:c>
      <x:c r="P258" s="6" t="n">
        <x:v>0.05</x:v>
      </x:c>
      <x:c r="Q258" s="7" t="n">
        <x:v>19328.22</x:v>
      </x:c>
      <x:c r="R258" s="7" t="n">
        <x:v>12039.5</x:v>
      </x:c>
      <x:c r="S258" s="7" t="n">
        <x:v>7288.72</x:v>
      </x:c>
      <x:c r="T258" t="str">
        <x:v>Paid</x:v>
      </x:c>
      <x:c r="U258" t="str">
        <x:v>Completed</x:v>
      </x:c>
      <x:c r="V258" s="6" t="n">
        <x:f>IF(ISBLANK(P258),IF(AND(ISNUMBER(N258),N258&gt;0,ISNUMBER(O258),O258&gt;=0,ISNUMBER(Q258),Q258&gt;=0,ISNUMBER(R258),R258&gt;=0,ISNUMBER(S258)),0,""),P258)</x:f>
        <x:v>0.05</x:v>
      </x:c>
      <x:c r="W258" s="7" t="n">
        <x:f>IF(ISBLANK(V258),"",N258*O258*(1-V258))</x:f>
        <x:v>19328.215500000002</x:v>
      </x:c>
      <x:c r="X258" s="7" t="n">
        <x:f>IF(OR(ISBLANK(W258),ISBLANK(R258)),"",W258-R258)</x:f>
        <x:v>7288.715500000002</x:v>
      </x:c>
      <x:c r="Y258" s="8" t="n">
        <x:f>IF(OR(ISBLANK(W258),W258=0),"",X258/W258)</x:f>
        <x:v>0.3771023507058891</x:v>
      </x:c>
      <x:c r="Z258" s="9" t="n">
        <x:f>IF(OR(ISBLANK(B258),ISBLANK(C258)),"",C258-B258)</x:f>
        <x:v>-2</x:v>
      </x:c>
      <x:c r="AA258" t="str">
        <x:f>IF(ISBLANK(B258),"",TEXT(B258,"mmm"))</x:f>
        <x:v>Nov</x:v>
      </x:c>
      <x:c r="AB258" s="9" t="n">
        <x:f>IF(ISBLANK(B258),"",YEAR(B258))</x:f>
        <x:v>2024</x:v>
      </x:c>
      <x:c r="AC258" s="10" t="str">
        <x:v>INVALID: Ship date before order date</x:v>
      </x:c>
      <x:c r="AD258" t="str">
        <x:f>IF(AND(U258="Completed",T258="Paid",ISERROR(SEARCH("INVALID",AC258)),ISERROR(SEARCH("REVIEW",AC258))),"Include","Exclude")</x:f>
        <x:v>Exclude</x:v>
      </x:c>
      <x:c r="AE258" t="str">
        <x:f>IF(T258="Refunded","Refunded","")</x:f>
      </x:c>
    </x:row>
    <x:row r="259">
      <x:c r="A259" t="str">
        <x:v>ORD-2025-10258</x:v>
      </x:c>
      <x:c r="B259" s="5" t="n">
        <x:v>45878</x:v>
      </x:c>
      <x:c r="C259" s="5" t="n">
        <x:v>45881</x:v>
      </x:c>
      <x:c r="D259" t="str">
        <x:v>CUST-5615</x:v>
      </x:c>
      <x:c r="E259" t="str">
        <x:v>Diya Patel</x:v>
      </x:c>
      <x:c r="F259" t="str">
        <x:v>Corporate</x:v>
      </x:c>
      <x:c r="G259" t="str">
        <x:v>South</x:v>
      </x:c>
      <x:c r="H259" t="str">
        <x:v>Karnataka</x:v>
      </x:c>
      <x:c r="I259" t="str">
        <x:v>Bengaluru</x:v>
      </x:c>
      <x:c r="J259" t="str">
        <x:v>Technology</x:v>
      </x:c>
      <x:c r="K259" t="str">
        <x:v>Accessories</x:v>
      </x:c>
      <x:c r="L259" t="str">
        <x:v>Smart Accessories 180</x:v>
      </x:c>
      <x:c r="M259" t="str">
        <x:v>Second Class</x:v>
      </x:c>
      <x:c r="N259" t="n">
        <x:v>2</x:v>
      </x:c>
      <x:c r="O259" s="7" t="n">
        <x:v>3237.27</x:v>
      </x:c>
      <x:c r="P259" s="6" t="n">
        <x:v>0</x:v>
      </x:c>
      <x:c r="Q259" s="7" t="n">
        <x:v>6474.54</x:v>
      </x:c>
      <x:c r="R259" s="7" t="n">
        <x:v>5095.91</x:v>
      </x:c>
      <x:c r="S259" s="7" t="n">
        <x:v>1378.63</x:v>
      </x:c>
      <x:c r="T259" t="str">
        <x:v>Paid</x:v>
      </x:c>
      <x:c r="U259" t="str">
        <x:v>Cancelled</x:v>
      </x:c>
      <x:c r="V259" s="6" t="n">
        <x:f>IF(ISBLANK(P259),IF(AND(ISNUMBER(N259),N259&gt;0,ISNUMBER(O259),O259&gt;=0,ISNUMBER(Q259),Q259&gt;=0,ISNUMBER(R259),R259&gt;=0,ISNUMBER(S259)),0,""),P259)</x:f>
        <x:v>0</x:v>
      </x:c>
      <x:c r="W259" s="7" t="n">
        <x:f>IF(ISBLANK(V259),"",N259*O259*(1-V259))</x:f>
        <x:v>6474.54</x:v>
      </x:c>
      <x:c r="X259" s="7" t="n">
        <x:f>IF(OR(ISBLANK(W259),ISBLANK(R259)),"",W259-R259)</x:f>
        <x:v>1378.63</x:v>
      </x:c>
      <x:c r="Y259" s="8" t="n">
        <x:f>IF(OR(ISBLANK(W259),W259=0),"",X259/W259)</x:f>
        <x:v>0.21293095725719513</x:v>
      </x:c>
      <x:c r="Z259" s="9" t="n">
        <x:f>IF(OR(ISBLANK(B259),ISBLANK(C259)),"",C259-B259)</x:f>
        <x:v>3</x:v>
      </x:c>
      <x:c r="AA259" t="str">
        <x:f>IF(ISBLANK(B259),"",TEXT(B259,"mmm"))</x:f>
        <x:v>Aug</x:v>
      </x:c>
      <x:c r="AB259" s="9" t="n">
        <x:f>IF(ISBLANK(B259),"",YEAR(B259))</x:f>
        <x:v>2025</x:v>
      </x:c>
      <x:c r="AC259" s="10" t="str">
        <x:v>EXCLUDE: Cancelled order</x:v>
      </x:c>
      <x:c r="AD259" t="str">
        <x:f>IF(AND(U259="Completed",T259="Paid",ISERROR(SEARCH("INVALID",AC259)),ISERROR(SEARCH("REVIEW",AC259))),"Include","Exclude")</x:f>
        <x:v>Exclude</x:v>
      </x:c>
      <x:c r="AE259" t="str">
        <x:f>IF(T259="Refunded","Refunded","")</x:f>
      </x:c>
    </x:row>
    <x:row r="260">
      <x:c r="A260" t="str">
        <x:v>ORD-2024-10259</x:v>
      </x:c>
      <x:c r="B260" s="5" t="n">
        <x:v>45656</x:v>
      </x:c>
      <x:c r="C260" s="5" t="n">
        <x:v>45661</x:v>
      </x:c>
      <x:c r="D260" t="str">
        <x:v>CUST-8467</x:v>
      </x:c>
      <x:c r="E260" t="str">
        <x:v>Sneha Kapoor</x:v>
      </x:c>
      <x:c r="F260" t="str">
        <x:v>Corporate</x:v>
      </x:c>
      <x:c r="G260" t="str">
        <x:v>South</x:v>
      </x:c>
      <x:c r="H260" t="str">
        <x:v>Tamil Nadu</x:v>
      </x:c>
      <x:c r="I260" t="str">
        <x:v>Chennai</x:v>
      </x:c>
      <x:c r="J260" t="str">
        <x:v>Furniture</x:v>
      </x:c>
      <x:c r="K260" t="str">
        <x:v>Tables</x:v>
      </x:c>
      <x:c r="L260" t="str">
        <x:v>Smart Tables 774</x:v>
      </x:c>
      <x:c r="M260" t="str">
        <x:v>Same Day</x:v>
      </x:c>
      <x:c r="N260" t="n">
        <x:v>2</x:v>
      </x:c>
      <x:c r="O260" s="7" t="n">
        <x:v>3720.07</x:v>
      </x:c>
      <x:c r="P260" s="6" t="n">
        <x:v>0.25</x:v>
      </x:c>
      <x:c r="Q260" s="7" t="n">
        <x:v>5580.11</x:v>
      </x:c>
      <x:c r="R260" s="7" t="n">
        <x:v>4307.01</x:v>
      </x:c>
      <x:c r="S260" s="7" t="n">
        <x:v>1273.1</x:v>
      </x:c>
      <x:c r="T260" t="str">
        <x:v>Paid</x:v>
      </x:c>
      <x:c r="U260" t="str">
        <x:v>Completed</x:v>
      </x:c>
      <x:c r="V260" s="6" t="n">
        <x:f>IF(ISBLANK(P260),IF(AND(ISNUMBER(N260),N260&gt;0,ISNUMBER(O260),O260&gt;=0,ISNUMBER(Q260),Q260&gt;=0,ISNUMBER(R260),R260&gt;=0,ISNUMBER(S260)),0,""),P260)</x:f>
        <x:v>0.25</x:v>
      </x:c>
      <x:c r="W260" s="7" t="n">
        <x:f>IF(ISBLANK(V260),"",N260*O260*(1-V260))</x:f>
        <x:v>5580.1050000000005</x:v>
      </x:c>
      <x:c r="X260" s="7" t="n">
        <x:f>IF(OR(ISBLANK(W260),ISBLANK(R260)),"",W260-R260)</x:f>
        <x:v>1273.0950000000003</x:v>
      </x:c>
      <x:c r="Y260" s="8" t="n">
        <x:f>IF(OR(ISBLANK(W260),W260=0),"",X260/W260)</x:f>
        <x:v>0.2281489326813743</x:v>
      </x:c>
      <x:c r="Z260" s="9" t="n">
        <x:f>IF(OR(ISBLANK(B260),ISBLANK(C260)),"",C260-B260)</x:f>
        <x:v>5</x:v>
      </x:c>
      <x:c r="AA260" t="str">
        <x:f>IF(ISBLANK(B260),"",TEXT(B260,"mmm"))</x:f>
        <x:v>Dec</x:v>
      </x:c>
      <x:c r="AB260" s="9" t="n">
        <x:f>IF(ISBLANK(B260),"",YEAR(B260))</x:f>
        <x:v>2024</x:v>
      </x:c>
      <x:c r="AC260" s="10" t="str"/>
      <x:c r="AD260" t="str">
        <x:f>IF(AND(U260="Completed",T260="Paid",ISERROR(SEARCH("INVALID",AC260)),ISERROR(SEARCH("REVIEW",AC260))),"Include","Exclude")</x:f>
        <x:v>Include</x:v>
      </x:c>
      <x:c r="AE260" t="str">
        <x:f>IF(T260="Refunded","Refunded","")</x:f>
      </x:c>
    </x:row>
    <x:row r="261">
      <x:c r="A261" t="str">
        <x:v>ORD-2024-10260</x:v>
      </x:c>
      <x:c r="B261" s="5" t="n">
        <x:v>45464</x:v>
      </x:c>
      <x:c r="C261" s="5" t="n">
        <x:v>45472</x:v>
      </x:c>
      <x:c r="D261" t="str">
        <x:v>CUST-5174</x:v>
      </x:c>
      <x:c r="E261" t="str">
        <x:v>Neha Gupta</x:v>
      </x:c>
      <x:c r="F261" t="str">
        <x:v>Consumer</x:v>
      </x:c>
      <x:c r="G261" t="str">
        <x:v>South</x:v>
      </x:c>
      <x:c r="H261" t="str">
        <x:v>Tamil Nadu</x:v>
      </x:c>
      <x:c r="I261" t="str">
        <x:v>Chennai</x:v>
      </x:c>
      <x:c r="J261" t="str">
        <x:v>Technology</x:v>
      </x:c>
      <x:c r="K261" t="str">
        <x:v>Machines</x:v>
      </x:c>
      <x:c r="L261" t="str">
        <x:v>Prime Machines 793</x:v>
      </x:c>
      <x:c r="M261" t="str">
        <x:v>Standard Class</x:v>
      </x:c>
      <x:c r="N261" t="n">
        <x:v>8</x:v>
      </x:c>
      <x:c r="O261" s="7" t="n">
        <x:v>2853.92</x:v>
      </x:c>
      <x:c r="P261" s="6" t="n">
        <x:v>0.2</x:v>
      </x:c>
      <x:c r="Q261" s="7" t="n">
        <x:v>18265.09</x:v>
      </x:c>
      <x:c r="R261" s="7" t="n">
        <x:v>10437.14</x:v>
      </x:c>
      <x:c r="S261" s="7" t="n">
        <x:v>7827.95</x:v>
      </x:c>
      <x:c r="T261" t="str">
        <x:v>Paid</x:v>
      </x:c>
      <x:c r="U261" t="str">
        <x:v>Completed</x:v>
      </x:c>
      <x:c r="V261" s="6" t="n">
        <x:f>IF(ISBLANK(P261),IF(AND(ISNUMBER(N261),N261&gt;0,ISNUMBER(O261),O261&gt;=0,ISNUMBER(Q261),Q261&gt;=0,ISNUMBER(R261),R261&gt;=0,ISNUMBER(S261)),0,""),P261)</x:f>
        <x:v>0.2</x:v>
      </x:c>
      <x:c r="W261" s="7" t="n">
        <x:f>IF(ISBLANK(V261),"",N261*O261*(1-V261))</x:f>
        <x:v>18265.088</x:v>
      </x:c>
      <x:c r="X261" s="7" t="n">
        <x:f>IF(OR(ISBLANK(W261),ISBLANK(R261)),"",W261-R261)</x:f>
        <x:v>7827.948</x:v>
      </x:c>
      <x:c r="Y261" s="8" t="n">
        <x:f>IF(OR(ISBLANK(W261),W261=0),"",X261/W261)</x:f>
        <x:v>0.42857433810338064</x:v>
      </x:c>
      <x:c r="Z261" s="9" t="n">
        <x:f>IF(OR(ISBLANK(B261),ISBLANK(C261)),"",C261-B261)</x:f>
        <x:v>8</x:v>
      </x:c>
      <x:c r="AA261" t="str">
        <x:f>IF(ISBLANK(B261),"",TEXT(B261,"mmm"))</x:f>
        <x:v>Jun</x:v>
      </x:c>
      <x:c r="AB261" s="9" t="n">
        <x:f>IF(ISBLANK(B261),"",YEAR(B261))</x:f>
        <x:v>2024</x:v>
      </x:c>
      <x:c r="AC261" s="10" t="str"/>
      <x:c r="AD261" t="str">
        <x:f>IF(AND(U261="Completed",T261="Paid",ISERROR(SEARCH("INVALID",AC261)),ISERROR(SEARCH("REVIEW",AC261))),"Include","Exclude")</x:f>
        <x:v>Include</x:v>
      </x:c>
      <x:c r="AE261" t="str">
        <x:f>IF(T261="Refunded","Refunded","")</x:f>
      </x:c>
    </x:row>
    <x:row r="262">
      <x:c r="A262" t="str">
        <x:v>ORD-2025-10261</x:v>
      </x:c>
      <x:c r="B262" s="5" t="n">
        <x:v>45923</x:v>
      </x:c>
      <x:c r="C262" s="5" t="n">
        <x:v>45927</x:v>
      </x:c>
      <x:c r="D262" t="str">
        <x:v>CUST-3543</x:v>
      </x:c>
      <x:c r="E262" t="str">
        <x:v>Aditi Sen</x:v>
      </x:c>
      <x:c r="F262" t="str">
        <x:v>Corporate</x:v>
      </x:c>
      <x:c r="G262" t="str">
        <x:v>East</x:v>
      </x:c>
      <x:c r="H262" t="str">
        <x:v>West Bengal</x:v>
      </x:c>
      <x:c r="I262" t="str">
        <x:v>Kolkata</x:v>
      </x:c>
      <x:c r="J262" t="str">
        <x:v>Office Supplies</x:v>
      </x:c>
      <x:c r="K262" t="str">
        <x:v>Binders</x:v>
      </x:c>
      <x:c r="L262" t="str">
        <x:v>Elite Binders 827</x:v>
      </x:c>
      <x:c r="M262" t="str">
        <x:v>Same Day</x:v>
      </x:c>
      <x:c r="N262" t="n">
        <x:v>7</x:v>
      </x:c>
      <x:c r="O262" s="7" t="n">
        <x:v>2897.12</x:v>
      </x:c>
      <x:c r="P262" s="6" t="n">
        <x:v>0.25</x:v>
      </x:c>
      <x:c r="Q262" s="7" t="n">
        <x:v>15209.88</x:v>
      </x:c>
      <x:c r="R262" s="7" t="n">
        <x:v>10891.15</x:v>
      </x:c>
      <x:c r="S262" s="7" t="n">
        <x:v>4318.73</x:v>
      </x:c>
      <x:c r="T262" t="str">
        <x:v>Failed</x:v>
      </x:c>
      <x:c r="U262" t="str">
        <x:v>Returned</x:v>
      </x:c>
      <x:c r="V262" s="6" t="n">
        <x:f>IF(ISBLANK(P262),IF(AND(ISNUMBER(N262),N262&gt;0,ISNUMBER(O262),O262&gt;=0,ISNUMBER(Q262),Q262&gt;=0,ISNUMBER(R262),R262&gt;=0,ISNUMBER(S262)),0,""),P262)</x:f>
        <x:v>0.25</x:v>
      </x:c>
      <x:c r="W262" s="7" t="n">
        <x:f>IF(ISBLANK(V262),"",N262*O262*(1-V262))</x:f>
        <x:v>15209.880000000001</x:v>
      </x:c>
      <x:c r="X262" s="7" t="n">
        <x:f>IF(OR(ISBLANK(W262),ISBLANK(R262)),"",W262-R262)</x:f>
        <x:v>4318.730000000001</x:v>
      </x:c>
      <x:c r="Y262" s="8" t="n">
        <x:f>IF(OR(ISBLANK(W262),W262=0),"",X262/W262)</x:f>
        <x:v>0.28394241111698454</x:v>
      </x:c>
      <x:c r="Z262" s="9" t="n">
        <x:f>IF(OR(ISBLANK(B262),ISBLANK(C262)),"",C262-B262)</x:f>
        <x:v>4</x:v>
      </x:c>
      <x:c r="AA262" t="str">
        <x:f>IF(ISBLANK(B262),"",TEXT(B262,"mmm"))</x:f>
        <x:v>Sep</x:v>
      </x:c>
      <x:c r="AB262" s="9" t="n">
        <x:f>IF(ISBLANK(B262),"",YEAR(B262))</x:f>
        <x:v>2025</x:v>
      </x:c>
      <x:c r="AC262" s="10" t="str">
        <x:v>EXCLUDE: Failed payment</x:v>
      </x:c>
      <x:c r="AD262" t="str">
        <x:f>IF(AND(U262="Completed",T262="Paid",ISERROR(SEARCH("INVALID",AC262)),ISERROR(SEARCH("REVIEW",AC262))),"Include","Exclude")</x:f>
        <x:v>Exclude</x:v>
      </x:c>
      <x:c r="AE262" t="str">
        <x:f>IF(T262="Refunded","Refunded","")</x:f>
      </x:c>
    </x:row>
    <x:row r="263">
      <x:c r="A263" t="str">
        <x:v>ORD-2025-10262</x:v>
      </x:c>
      <x:c r="B263" s="5" t="n">
        <x:v>45826</x:v>
      </x:c>
      <x:c r="C263" s="5" t="n">
        <x:v>45832</x:v>
      </x:c>
      <x:c r="D263" t="str">
        <x:v>CUST-7623</x:v>
      </x:c>
      <x:c r="E263" t="str">
        <x:v>Sneha Kapoor</x:v>
      </x:c>
      <x:c r="F263" t="str">
        <x:v>Corporate</x:v>
      </x:c>
      <x:c r="G263" t="str">
        <x:v>North</x:v>
      </x:c>
      <x:c r="H263" t="str">
        <x:v>Rajasthan</x:v>
      </x:c>
      <x:c r="I263" t="str">
        <x:v>Jaipur</x:v>
      </x:c>
      <x:c r="J263" t="str">
        <x:v>Office Supplies</x:v>
      </x:c>
      <x:c r="K263" t="str">
        <x:v>Labels</x:v>
      </x:c>
      <x:c r="L263" t="str">
        <x:v>Prime Labels 326</x:v>
      </x:c>
      <x:c r="M263" t="str">
        <x:v>Standard Class</x:v>
      </x:c>
      <x:c r="N263" t="n">
        <x:v>3</x:v>
      </x:c>
      <x:c r="O263" s="7" t="n">
        <x:v>686.74</x:v>
      </x:c>
      <x:c r="P263" s="6" t="n">
        <x:v>0.2</x:v>
      </x:c>
      <x:c r="Q263" s="7" t="n">
        <x:v>1648.18</x:v>
      </x:c>
      <x:c r="R263" s="7" t="n">
        <x:v>987.91</x:v>
      </x:c>
      <x:c r="S263" s="7" t="n">
        <x:v>660.27</x:v>
      </x:c>
      <x:c r="T263" t="str">
        <x:v>Failed</x:v>
      </x:c>
      <x:c r="U263" t="str">
        <x:v>Cancelled</x:v>
      </x:c>
      <x:c r="V263" s="6" t="n">
        <x:f>IF(ISBLANK(P263),IF(AND(ISNUMBER(N263),N263&gt;0,ISNUMBER(O263),O263&gt;=0,ISNUMBER(Q263),Q263&gt;=0,ISNUMBER(R263),R263&gt;=0,ISNUMBER(S263)),0,""),P263)</x:f>
        <x:v>0.2</x:v>
      </x:c>
      <x:c r="W263" s="7" t="n">
        <x:f>IF(ISBLANK(V263),"",N263*O263*(1-V263))</x:f>
        <x:v>1648.1760000000004</x:v>
      </x:c>
      <x:c r="X263" s="7" t="n">
        <x:f>IF(OR(ISBLANK(W263),ISBLANK(R263)),"",W263-R263)</x:f>
        <x:v>660.2660000000004</x:v>
      </x:c>
      <x:c r="Y263" s="8" t="n">
        <x:f>IF(OR(ISBLANK(W263),W263=0),"",X263/W263)</x:f>
        <x:v>0.40060406170214846</x:v>
      </x:c>
      <x:c r="Z263" s="9" t="n">
        <x:f>IF(OR(ISBLANK(B263),ISBLANK(C263)),"",C263-B263)</x:f>
        <x:v>6</x:v>
      </x:c>
      <x:c r="AA263" t="str">
        <x:f>IF(ISBLANK(B263),"",TEXT(B263,"mmm"))</x:f>
        <x:v>Jun</x:v>
      </x:c>
      <x:c r="AB263" s="9" t="n">
        <x:f>IF(ISBLANK(B263),"",YEAR(B263))</x:f>
        <x:v>2025</x:v>
      </x:c>
      <x:c r="AC263" s="10" t="str">
        <x:v>EXCLUDE: Cancelled order; EXCLUDE: Failed payment</x:v>
      </x:c>
      <x:c r="AD263" t="str">
        <x:f>IF(AND(U263="Completed",T263="Paid",ISERROR(SEARCH("INVALID",AC263)),ISERROR(SEARCH("REVIEW",AC263))),"Include","Exclude")</x:f>
        <x:v>Exclude</x:v>
      </x:c>
      <x:c r="AE263" t="str">
        <x:f>IF(T263="Refunded","Refunded","")</x:f>
      </x:c>
    </x:row>
    <x:row r="264">
      <x:c r="A264" t="str">
        <x:v>ORD-2025-10263</x:v>
      </x:c>
      <x:c r="B264" s="5" t="n">
        <x:v>45803</x:v>
      </x:c>
      <x:c r="C264" s="5" t="n">
        <x:v>45809</x:v>
      </x:c>
      <x:c r="D264" t="str">
        <x:v>CUST-6153</x:v>
      </x:c>
      <x:c r="E264" t="str">
        <x:v>Arjun Bose</x:v>
      </x:c>
      <x:c r="F264" t="str">
        <x:v>Small Business</x:v>
      </x:c>
      <x:c r="G264" t="str">
        <x:v>North</x:v>
      </x:c>
      <x:c r="H264" t="str">
        <x:v>Delhi</x:v>
      </x:c>
      <x:c r="I264" t="str">
        <x:v>New Delhi</x:v>
      </x:c>
      <x:c r="J264" t="str">
        <x:v>Technology</x:v>
      </x:c>
      <x:c r="K264" t="str">
        <x:v>Phones</x:v>
      </x:c>
      <x:c r="L264" t="str">
        <x:v>Eco Phones 245</x:v>
      </x:c>
      <x:c r="M264" t="str">
        <x:v>Same Day</x:v>
      </x:c>
      <x:c r="N264" t="n">
        <x:v>4</x:v>
      </x:c>
      <x:c r="O264" s="7" t="n">
        <x:v>3349.86</x:v>
      </x:c>
      <x:c r="P264" s="6" t="n">
        <x:v>0</x:v>
      </x:c>
      <x:c r="Q264" s="7" t="n">
        <x:v>13399.44</x:v>
      </x:c>
      <x:c r="R264" s="7" t="n">
        <x:v>8581.35</x:v>
      </x:c>
      <x:c r="S264" s="7" t="n">
        <x:v>4818.09</x:v>
      </x:c>
      <x:c r="T264" t="str">
        <x:v>Pending</x:v>
      </x:c>
      <x:c r="U264" t="str">
        <x:v>Returned</x:v>
      </x:c>
      <x:c r="V264" s="6" t="n">
        <x:f>IF(ISBLANK(P264),IF(AND(ISNUMBER(N264),N264&gt;0,ISNUMBER(O264),O264&gt;=0,ISNUMBER(Q264),Q264&gt;=0,ISNUMBER(R264),R264&gt;=0,ISNUMBER(S264)),0,""),P264)</x:f>
        <x:v>0</x:v>
      </x:c>
      <x:c r="W264" s="7" t="n">
        <x:f>IF(ISBLANK(V264),"",N264*O264*(1-V264))</x:f>
        <x:v>13399.44</x:v>
      </x:c>
      <x:c r="X264" s="7" t="n">
        <x:f>IF(OR(ISBLANK(W264),ISBLANK(R264)),"",W264-R264)</x:f>
        <x:v>4818.09</x:v>
      </x:c>
      <x:c r="Y264" s="8" t="n">
        <x:f>IF(OR(ISBLANK(W264),W264=0),"",X264/W264)</x:f>
        <x:v>0.3595739821962709</x:v>
      </x:c>
      <x:c r="Z264" s="9" t="n">
        <x:f>IF(OR(ISBLANK(B264),ISBLANK(C264)),"",C264-B264)</x:f>
        <x:v>6</x:v>
      </x:c>
      <x:c r="AA264" t="str">
        <x:f>IF(ISBLANK(B264),"",TEXT(B264,"mmm"))</x:f>
        <x:v>May</x:v>
      </x:c>
      <x:c r="AB264" s="9" t="n">
        <x:f>IF(ISBLANK(B264),"",YEAR(B264))</x:f>
        <x:v>2025</x:v>
      </x:c>
      <x:c r="AC264" s="10" t="str"/>
      <x:c r="AD264" t="str">
        <x:f>IF(AND(U264="Completed",T264="Paid",ISERROR(SEARCH("INVALID",AC264)),ISERROR(SEARCH("REVIEW",AC264))),"Include","Exclude")</x:f>
        <x:v>Exclude</x:v>
      </x:c>
      <x:c r="AE264" t="str">
        <x:f>IF(T264="Refunded","Refunded","")</x:f>
      </x:c>
    </x:row>
    <x:row r="265">
      <x:c r="A265" t="str">
        <x:v>ORD-2025-10264</x:v>
      </x:c>
      <x:c r="B265" s="5" t="n">
        <x:v>45875</x:v>
      </x:c>
      <x:c r="C265" s="5" t="n">
        <x:v>45879</x:v>
      </x:c>
      <x:c r="D265" t="str">
        <x:v>CUST-8265</x:v>
      </x:c>
      <x:c r="E265" t="str">
        <x:v>Rohan Mehta</x:v>
      </x:c>
      <x:c r="F265" t="str">
        <x:v>Small Business</x:v>
      </x:c>
      <x:c r="G265" t="str">
        <x:v>North</x:v>
      </x:c>
      <x:c r="H265" t="str">
        <x:v>Delhi</x:v>
      </x:c>
      <x:c r="I265" t="str">
        <x:v>New Delhi</x:v>
      </x:c>
      <x:c r="J265" t="str">
        <x:v>Office Supplies</x:v>
      </x:c>
      <x:c r="K265" t="str">
        <x:v>Binders</x:v>
      </x:c>
      <x:c r="L265" t="str">
        <x:v>Smart Binders 905</x:v>
      </x:c>
      <x:c r="M265" t="str">
        <x:v>Second Class</x:v>
      </x:c>
      <x:c r="N265" t="n">
        <x:v>9</x:v>
      </x:c>
      <x:c r="O265" s="7" t="n">
        <x:v>4042.45</x:v>
      </x:c>
      <x:c r="P265" s="6" t="n">
        <x:v>0.1</x:v>
      </x:c>
      <x:c r="Q265" s="7" t="n">
        <x:v>32743.84</x:v>
      </x:c>
      <x:c r="R265" s="7" t="n">
        <x:v>22452.05</x:v>
      </x:c>
      <x:c r="S265" s="7" t="n">
        <x:v>10291.79</x:v>
      </x:c>
      <x:c r="T265" t="str">
        <x:v>Pending</x:v>
      </x:c>
      <x:c r="U265" t="str">
        <x:v>Returned</x:v>
      </x:c>
      <x:c r="V265" s="6" t="n">
        <x:f>IF(ISBLANK(P265),IF(AND(ISNUMBER(N265),N265&gt;0,ISNUMBER(O265),O265&gt;=0,ISNUMBER(Q265),Q265&gt;=0,ISNUMBER(R265),R265&gt;=0,ISNUMBER(S265)),0,""),P265)</x:f>
        <x:v>0.1</x:v>
      </x:c>
      <x:c r="W265" s="7" t="n">
        <x:f>IF(ISBLANK(V265),"",N265*O265*(1-V265))</x:f>
        <x:v>32743.844999999998</x:v>
      </x:c>
      <x:c r="X265" s="7" t="n">
        <x:f>IF(OR(ISBLANK(W265),ISBLANK(R265)),"",W265-R265)</x:f>
        <x:v>10291.794999999998</x:v>
      </x:c>
      <x:c r="Y265" s="8" t="n">
        <x:f>IF(OR(ISBLANK(W265),W265=0),"",X265/W265)</x:f>
        <x:v>0.314312353970647</x:v>
      </x:c>
      <x:c r="Z265" s="9" t="n">
        <x:f>IF(OR(ISBLANK(B265),ISBLANK(C265)),"",C265-B265)</x:f>
        <x:v>4</x:v>
      </x:c>
      <x:c r="AA265" t="str">
        <x:f>IF(ISBLANK(B265),"",TEXT(B265,"mmm"))</x:f>
        <x:v>Aug</x:v>
      </x:c>
      <x:c r="AB265" s="9" t="n">
        <x:f>IF(ISBLANK(B265),"",YEAR(B265))</x:f>
        <x:v>2025</x:v>
      </x:c>
      <x:c r="AC265" s="10" t="str"/>
      <x:c r="AD265" t="str">
        <x:f>IF(AND(U265="Completed",T265="Paid",ISERROR(SEARCH("INVALID",AC265)),ISERROR(SEARCH("REVIEW",AC265))),"Include","Exclude")</x:f>
        <x:v>Exclude</x:v>
      </x:c>
      <x:c r="AE265" t="str">
        <x:f>IF(T265="Refunded","Refunded","")</x:f>
      </x:c>
    </x:row>
    <x:row r="266">
      <x:c r="A266" t="str">
        <x:v>ORD-2024-10265</x:v>
      </x:c>
      <x:c r="B266" s="5" t="n">
        <x:v>45428</x:v>
      </x:c>
      <x:c r="C266" s="5" t="n">
        <x:v>45433</x:v>
      </x:c>
      <x:c r="D266" t="str">
        <x:v>CUST-4750</x:v>
      </x:c>
      <x:c r="E266" t="str">
        <x:v>Diya Patel</x:v>
      </x:c>
      <x:c r="F266" t="str">
        <x:v>Small Business</x:v>
      </x:c>
      <x:c r="G266" t="str">
        <x:v>East</x:v>
      </x:c>
      <x:c r="H266" t="str">
        <x:v>Bihar</x:v>
      </x:c>
      <x:c r="I266" t="str">
        <x:v>Patna</x:v>
      </x:c>
      <x:c r="J266" t="str">
        <x:v>Technology</x:v>
      </x:c>
      <x:c r="K266" t="str">
        <x:v>Copiers</x:v>
      </x:c>
      <x:c r="L266" t="str">
        <x:v>Pro Copiers 599</x:v>
      </x:c>
      <x:c r="M266" t="str">
        <x:v>Standard Class</x:v>
      </x:c>
      <x:c r="N266" t="n">
        <x:v>4</x:v>
      </x:c>
      <x:c r="O266" s="7" t="n">
        <x:v>1503.07</x:v>
      </x:c>
      <x:c r="P266" s="6" t="n">
        <x:v>0</x:v>
      </x:c>
      <x:c r="Q266" s="7" t="n">
        <x:v>6012.28</x:v>
      </x:c>
      <x:c r="R266" s="7" t="n">
        <x:v>3927.64</x:v>
      </x:c>
      <x:c r="S266" s="7" t="n">
        <x:v>2084.64</x:v>
      </x:c>
      <x:c r="T266" t="str">
        <x:v>Paid</x:v>
      </x:c>
      <x:c r="U266" t="str">
        <x:v>Completed</x:v>
      </x:c>
      <x:c r="V266" s="6" t="n">
        <x:f>IF(ISBLANK(P266),IF(AND(ISNUMBER(N266),N266&gt;0,ISNUMBER(O266),O266&gt;=0,ISNUMBER(Q266),Q266&gt;=0,ISNUMBER(R266),R266&gt;=0,ISNUMBER(S266)),0,""),P266)</x:f>
        <x:v>0</x:v>
      </x:c>
      <x:c r="W266" s="7" t="n">
        <x:f>IF(ISBLANK(V266),"",N266*O266*(1-V266))</x:f>
        <x:v>6012.28</x:v>
      </x:c>
      <x:c r="X266" s="7" t="n">
        <x:f>IF(OR(ISBLANK(W266),ISBLANK(R266)),"",W266-R266)</x:f>
        <x:v>2084.64</x:v>
      </x:c>
      <x:c r="Y266" s="8" t="n">
        <x:f>IF(OR(ISBLANK(W266),W266=0),"",X266/W266)</x:f>
        <x:v>0.3467303585328694</x:v>
      </x:c>
      <x:c r="Z266" s="9" t="n">
        <x:f>IF(OR(ISBLANK(B266),ISBLANK(C266)),"",C266-B266)</x:f>
        <x:v>5</x:v>
      </x:c>
      <x:c r="AA266" t="str">
        <x:f>IF(ISBLANK(B266),"",TEXT(B266,"mmm"))</x:f>
        <x:v>May</x:v>
      </x:c>
      <x:c r="AB266" s="9" t="n">
        <x:f>IF(ISBLANK(B266),"",YEAR(B266))</x:f>
        <x:v>2024</x:v>
      </x:c>
      <x:c r="AC266" s="10" t="str"/>
      <x:c r="AD266" t="str">
        <x:f>IF(AND(U266="Completed",T266="Paid",ISERROR(SEARCH("INVALID",AC266)),ISERROR(SEARCH("REVIEW",AC266))),"Include","Exclude")</x:f>
        <x:v>Include</x:v>
      </x:c>
      <x:c r="AE266" t="str">
        <x:f>IF(T266="Refunded","Refunded","")</x:f>
      </x:c>
    </x:row>
    <x:row r="267">
      <x:c r="A267" t="str">
        <x:v>ORD-2024-10266</x:v>
      </x:c>
      <x:c r="B267" s="5" t="n">
        <x:v>45610</x:v>
      </x:c>
      <x:c r="C267" s="5" t="n">
        <x:v>45618</x:v>
      </x:c>
      <x:c r="D267" t="str">
        <x:v>CUST-3974</x:v>
      </x:c>
      <x:c r="E267" t="str">
        <x:v>Priya Menon</x:v>
      </x:c>
      <x:c r="F267" t="str">
        <x:v>Corporate</x:v>
      </x:c>
      <x:c r="G267" t="str">
        <x:v>East</x:v>
      </x:c>
      <x:c r="H267" t="str">
        <x:v>Bihar</x:v>
      </x:c>
      <x:c r="I267" t="str">
        <x:v>Patna</x:v>
      </x:c>
      <x:c r="J267" t="str">
        <x:v>Furniture</x:v>
      </x:c>
      <x:c r="K267" t="str">
        <x:v>Bookcases</x:v>
      </x:c>
      <x:c r="L267" t="str">
        <x:v>Basic Bookcases 570</x:v>
      </x:c>
      <x:c r="M267" t="str">
        <x:v>Same Day</x:v>
      </x:c>
      <x:c r="N267" t="n">
        <x:v>1</x:v>
      </x:c>
      <x:c r="O267" s="7" t="n">
        <x:v>582.37</x:v>
      </x:c>
      <x:c r="P267" s="6" t="n">
        <x:v>0.15</x:v>
      </x:c>
      <x:c r="Q267" s="7" t="n">
        <x:v>495.01</x:v>
      </x:c>
      <x:c r="R267" s="7" t="n">
        <x:v>285.13</x:v>
      </x:c>
      <x:c r="S267" s="7" t="n">
        <x:v>209.88</x:v>
      </x:c>
      <x:c r="T267" t="str">
        <x:v>Refunded</x:v>
      </x:c>
      <x:c r="U267" t="str">
        <x:v>Cancelled</x:v>
      </x:c>
      <x:c r="V267" s="6" t="n">
        <x:f>IF(ISBLANK(P267),IF(AND(ISNUMBER(N267),N267&gt;0,ISNUMBER(O267),O267&gt;=0,ISNUMBER(Q267),Q267&gt;=0,ISNUMBER(R267),R267&gt;=0,ISNUMBER(S267)),0,""),P267)</x:f>
        <x:v>0.15</x:v>
      </x:c>
      <x:c r="W267" s="7" t="n">
        <x:f>IF(ISBLANK(V267),"",N267*O267*(1-V267))</x:f>
        <x:v>495.0145</x:v>
      </x:c>
      <x:c r="X267" s="7" t="n">
        <x:f>IF(OR(ISBLANK(W267),ISBLANK(R267)),"",W267-R267)</x:f>
        <x:v>209.8845</x:v>
      </x:c>
      <x:c r="Y267" s="8" t="n">
        <x:f>IF(OR(ISBLANK(W267),W267=0),"",X267/W267)</x:f>
        <x:v>0.4239966708045926</x:v>
      </x:c>
      <x:c r="Z267" s="9" t="n">
        <x:f>IF(OR(ISBLANK(B267),ISBLANK(C267)),"",C267-B267)</x:f>
        <x:v>8</x:v>
      </x:c>
      <x:c r="AA267" t="str">
        <x:f>IF(ISBLANK(B267),"",TEXT(B267,"mmm"))</x:f>
        <x:v>Nov</x:v>
      </x:c>
      <x:c r="AB267" s="9" t="n">
        <x:f>IF(ISBLANK(B267),"",YEAR(B267))</x:f>
        <x:v>2024</x:v>
      </x:c>
      <x:c r="AC267" s="10" t="str">
        <x:v>EXCLUDE: Cancelled order; REFUND: Summarize separately</x:v>
      </x:c>
      <x:c r="AD267" t="str">
        <x:f>IF(AND(U267="Completed",T267="Paid",ISERROR(SEARCH("INVALID",AC267)),ISERROR(SEARCH("REVIEW",AC267))),"Include","Exclude")</x:f>
        <x:v>Exclude</x:v>
      </x:c>
      <x:c r="AE267" t="str">
        <x:f>IF(T267="Refunded","Refunded","")</x:f>
        <x:v>Refunded</x:v>
      </x:c>
    </x:row>
    <x:row r="268">
      <x:c r="A268" t="str">
        <x:v>ORD-2025-10267</x:v>
      </x:c>
      <x:c r="B268" s="5" t="n">
        <x:v>45780</x:v>
      </x:c>
      <x:c r="C268" s="5" t="n">
        <x:v>45787</x:v>
      </x:c>
      <x:c r="D268" t="str">
        <x:v>CUST-7114</x:v>
      </x:c>
      <x:c r="E268" t="str">
        <x:v>Neha Gupta</x:v>
      </x:c>
      <x:c r="F268" t="str">
        <x:v>Home Office</x:v>
      </x:c>
      <x:c r="G268" t="str">
        <x:v>West</x:v>
      </x:c>
      <x:c r="H268" t="str">
        <x:v>Maharashtra</x:v>
      </x:c>
      <x:c r="I268" t="str">
        <x:v>Mumbai</x:v>
      </x:c>
      <x:c r="J268" t="str">
        <x:v>Office Supplies</x:v>
      </x:c>
      <x:c r="K268" t="str">
        <x:v>Storage</x:v>
      </x:c>
      <x:c r="L268" t="str">
        <x:v>Classic Storage 926</x:v>
      </x:c>
      <x:c r="M268" t="str">
        <x:v>Second Class</x:v>
      </x:c>
      <x:c r="N268" t="n">
        <x:v>3</x:v>
      </x:c>
      <x:c r="O268" s="7" t="n">
        <x:v>4339.24</x:v>
      </x:c>
      <x:c r="P268" s="6" t="n">
        <x:v>0</x:v>
      </x:c>
      <x:c r="Q268" s="7" t="n">
        <x:v>13017.72</x:v>
      </x:c>
      <x:c r="R268" s="7" t="n">
        <x:v>10170.57</x:v>
      </x:c>
      <x:c r="S268" s="7" t="n">
        <x:v>2847.15</x:v>
      </x:c>
      <x:c r="T268" t="str">
        <x:v>Paid</x:v>
      </x:c>
      <x:c r="U268" t="str">
        <x:v>Completed</x:v>
      </x:c>
      <x:c r="V268" s="6" t="n">
        <x:f>IF(ISBLANK(P268),IF(AND(ISNUMBER(N268),N268&gt;0,ISNUMBER(O268),O268&gt;=0,ISNUMBER(Q268),Q268&gt;=0,ISNUMBER(R268),R268&gt;=0,ISNUMBER(S268)),0,""),P268)</x:f>
        <x:v>0</x:v>
      </x:c>
      <x:c r="W268" s="7" t="n">
        <x:f>IF(ISBLANK(V268),"",N268*O268*(1-V268))</x:f>
        <x:v>13017.72</x:v>
      </x:c>
      <x:c r="X268" s="7" t="n">
        <x:f>IF(OR(ISBLANK(W268),ISBLANK(R268)),"",W268-R268)</x:f>
        <x:v>2847.1499999999996</x:v>
      </x:c>
      <x:c r="Y268" s="8" t="n">
        <x:f>IF(OR(ISBLANK(W268),W268=0),"",X268/W268)</x:f>
        <x:v>0.2187134152524405</x:v>
      </x:c>
      <x:c r="Z268" s="9" t="n">
        <x:f>IF(OR(ISBLANK(B268),ISBLANK(C268)),"",C268-B268)</x:f>
        <x:v>7</x:v>
      </x:c>
      <x:c r="AA268" t="str">
        <x:f>IF(ISBLANK(B268),"",TEXT(B268,"mmm"))</x:f>
        <x:v>May</x:v>
      </x:c>
      <x:c r="AB268" s="9" t="n">
        <x:f>IF(ISBLANK(B268),"",YEAR(B268))</x:f>
        <x:v>2025</x:v>
      </x:c>
      <x:c r="AC268" s="10" t="str"/>
      <x:c r="AD268" t="str">
        <x:f>IF(AND(U268="Completed",T268="Paid",ISERROR(SEARCH("INVALID",AC268)),ISERROR(SEARCH("REVIEW",AC268))),"Include","Exclude")</x:f>
        <x:v>Include</x:v>
      </x:c>
      <x:c r="AE268" t="str">
        <x:f>IF(T268="Refunded","Refunded","")</x:f>
      </x:c>
    </x:row>
    <x:row r="269">
      <x:c r="A269" t="str">
        <x:v>ORD-2025-10268</x:v>
      </x:c>
      <x:c r="B269" s="5" t="n">
        <x:v>45805</x:v>
      </x:c>
      <x:c r="C269" s="5" t="n">
        <x:v>45812</x:v>
      </x:c>
      <x:c r="D269" t="str">
        <x:v>CUST-4431</x:v>
      </x:c>
      <x:c r="E269" t="str">
        <x:v>Diya Patel</x:v>
      </x:c>
      <x:c r="F269" t="str">
        <x:v>Corporate</x:v>
      </x:c>
      <x:c r="G269" t="str">
        <x:v>East</x:v>
      </x:c>
      <x:c r="H269" t="str">
        <x:v>Jharkhand</x:v>
      </x:c>
      <x:c r="I269" t="str">
        <x:v>Ranchi</x:v>
      </x:c>
      <x:c r="J269" t="str">
        <x:v>Furniture</x:v>
      </x:c>
      <x:c r="K269" t="str">
        <x:v>Furnishings</x:v>
      </x:c>
      <x:c r="L269" t="str">
        <x:v>Basic Furnishings 372</x:v>
      </x:c>
      <x:c r="M269" t="str">
        <x:v>First Class</x:v>
      </x:c>
      <x:c r="N269" t="n">
        <x:v>4</x:v>
      </x:c>
      <x:c r="O269" s="7" t="n">
        <x:v>261.8</x:v>
      </x:c>
      <x:c r="P269" s="6" t="n">
        <x:v>0.25</x:v>
      </x:c>
      <x:c r="Q269" s="7" t="n">
        <x:v>785.4</x:v>
      </x:c>
      <x:c r="R269" s="7" t="n">
        <x:v>557.22</x:v>
      </x:c>
      <x:c r="S269" s="7" t="n">
        <x:v>228.18</x:v>
      </x:c>
      <x:c r="T269" t="str">
        <x:v>Paid</x:v>
      </x:c>
      <x:c r="U269" t="str">
        <x:v>Completed</x:v>
      </x:c>
      <x:c r="V269" s="6" t="n">
        <x:f>IF(ISBLANK(P269),IF(AND(ISNUMBER(N269),N269&gt;0,ISNUMBER(O269),O269&gt;=0,ISNUMBER(Q269),Q269&gt;=0,ISNUMBER(R269),R269&gt;=0,ISNUMBER(S269)),0,""),P269)</x:f>
        <x:v>0.25</x:v>
      </x:c>
      <x:c r="W269" s="7" t="n">
        <x:f>IF(ISBLANK(V269),"",N269*O269*(1-V269))</x:f>
        <x:v>785.4000000000001</x:v>
      </x:c>
      <x:c r="X269" s="7" t="n">
        <x:f>IF(OR(ISBLANK(W269),ISBLANK(R269)),"",W269-R269)</x:f>
        <x:v>228.18000000000006</x:v>
      </x:c>
      <x:c r="Y269" s="8" t="n">
        <x:f>IF(OR(ISBLANK(W269),W269=0),"",X269/W269)</x:f>
        <x:v>0.2905271199388847</x:v>
      </x:c>
      <x:c r="Z269" s="9" t="n">
        <x:f>IF(OR(ISBLANK(B269),ISBLANK(C269)),"",C269-B269)</x:f>
        <x:v>7</x:v>
      </x:c>
      <x:c r="AA269" t="str">
        <x:f>IF(ISBLANK(B269),"",TEXT(B269,"mmm"))</x:f>
        <x:v>May</x:v>
      </x:c>
      <x:c r="AB269" s="9" t="n">
        <x:f>IF(ISBLANK(B269),"",YEAR(B269))</x:f>
        <x:v>2025</x:v>
      </x:c>
      <x:c r="AC269" s="10" t="str"/>
      <x:c r="AD269" t="str">
        <x:f>IF(AND(U269="Completed",T269="Paid",ISERROR(SEARCH("INVALID",AC269)),ISERROR(SEARCH("REVIEW",AC269))),"Include","Exclude")</x:f>
        <x:v>Include</x:v>
      </x:c>
      <x:c r="AE269" t="str">
        <x:f>IF(T269="Refunded","Refunded","")</x:f>
      </x:c>
    </x:row>
    <x:row r="270">
      <x:c r="A270" t="str">
        <x:v>ORD-2025-10269</x:v>
      </x:c>
      <x:c r="B270" s="5" t="n">
        <x:v>45886</x:v>
      </x:c>
      <x:c r="C270" s="5" t="n">
        <x:v>45886</x:v>
      </x:c>
      <x:c r="D270" t="str">
        <x:v>CUST-1488</x:v>
      </x:c>
      <x:c r="E270" t="str">
        <x:v>Aarav Sharma</x:v>
      </x:c>
      <x:c r="F270" t="str">
        <x:v>Home Office</x:v>
      </x:c>
      <x:c r="G270" t="str">
        <x:v>North</x:v>
      </x:c>
      <x:c r="H270" t="str">
        <x:v>Punjab</x:v>
      </x:c>
      <x:c r="I270" t="str">
        <x:v>Ludhiana</x:v>
      </x:c>
      <x:c r="J270" t="str">
        <x:v>Technology</x:v>
      </x:c>
      <x:c r="K270" t="str">
        <x:v>Accessories</x:v>
      </x:c>
      <x:c r="L270" t="str">
        <x:v>Prime Accessories 367</x:v>
      </x:c>
      <x:c r="M270" t="str">
        <x:v>First Class</x:v>
      </x:c>
      <x:c r="N270" t="n">
        <x:v>7</x:v>
      </x:c>
      <x:c r="O270" s="7" t="n">
        <x:v>632.2</x:v>
      </x:c>
      <x:c r="P270" s="6" t="n">
        <x:v>0.25</x:v>
      </x:c>
      <x:c r="Q270" s="7" t="n">
        <x:v>3319.05</x:v>
      </x:c>
      <x:c r="R270" s="7" t="n">
        <x:v>2124.6</x:v>
      </x:c>
      <x:c r="S270" s="7" t="n">
        <x:v>1194.45</x:v>
      </x:c>
      <x:c r="T270" t="str">
        <x:v>Paid</x:v>
      </x:c>
      <x:c r="U270" t="str">
        <x:v>Completed</x:v>
      </x:c>
      <x:c r="V270" s="6" t="n">
        <x:f>IF(ISBLANK(P270),IF(AND(ISNUMBER(N270),N270&gt;0,ISNUMBER(O270),O270&gt;=0,ISNUMBER(Q270),Q270&gt;=0,ISNUMBER(R270),R270&gt;=0,ISNUMBER(S270)),0,""),P270)</x:f>
        <x:v>0.25</x:v>
      </x:c>
      <x:c r="W270" s="7" t="n">
        <x:f>IF(ISBLANK(V270),"",N270*O270*(1-V270))</x:f>
        <x:v>3319.05</x:v>
      </x:c>
      <x:c r="X270" s="7" t="n">
        <x:f>IF(OR(ISBLANK(W270),ISBLANK(R270)),"",W270-R270)</x:f>
        <x:v>1194.4500000000003</x:v>
      </x:c>
      <x:c r="Y270" s="8" t="n">
        <x:f>IF(OR(ISBLANK(W270),W270=0),"",X270/W270)</x:f>
        <x:v>0.3598770732589145</x:v>
      </x:c>
      <x:c r="Z270" s="9" t="n">
        <x:f>IF(OR(ISBLANK(B270),ISBLANK(C270)),"",C270-B270)</x:f>
        <x:v>0</x:v>
      </x:c>
      <x:c r="AA270" t="str">
        <x:f>IF(ISBLANK(B270),"",TEXT(B270,"mmm"))</x:f>
        <x:v>Aug</x:v>
      </x:c>
      <x:c r="AB270" s="9" t="n">
        <x:f>IF(ISBLANK(B270),"",YEAR(B270))</x:f>
        <x:v>2025</x:v>
      </x:c>
      <x:c r="AC270" s="10" t="str"/>
      <x:c r="AD270" t="str">
        <x:f>IF(AND(U270="Completed",T270="Paid",ISERROR(SEARCH("INVALID",AC270)),ISERROR(SEARCH("REVIEW",AC270))),"Include","Exclude")</x:f>
        <x:v>Include</x:v>
      </x:c>
      <x:c r="AE270" t="str">
        <x:f>IF(T270="Refunded","Refunded","")</x:f>
      </x:c>
    </x:row>
    <x:row r="271">
      <x:c r="A271" t="str">
        <x:v>ORD-2025-10270</x:v>
      </x:c>
      <x:c r="B271" s="5" t="n">
        <x:v>45698</x:v>
      </x:c>
      <x:c r="C271" s="5" t="n">
        <x:v>45700</x:v>
      </x:c>
      <x:c r="D271" t="str">
        <x:v>CUST-1586</x:v>
      </x:c>
      <x:c r="E271" t="str">
        <x:v>Rahul Verma</x:v>
      </x:c>
      <x:c r="F271" t="str">
        <x:v>Small Business</x:v>
      </x:c>
      <x:c r="G271" t="str">
        <x:v>West</x:v>
      </x:c>
      <x:c r="H271" t="str">
        <x:v>Rajasthan</x:v>
      </x:c>
      <x:c r="I271" t="str">
        <x:v>Udaipur</x:v>
      </x:c>
      <x:c r="J271" t="str">
        <x:v>Furniture</x:v>
      </x:c>
      <x:c r="K271" t="str">
        <x:v>Tables</x:v>
      </x:c>
      <x:c r="L271" t="str">
        <x:v>Max Tables 526</x:v>
      </x:c>
      <x:c r="M271" t="str">
        <x:v>Same Day</x:v>
      </x:c>
      <x:c r="N271" t="n">
        <x:v>1</x:v>
      </x:c>
      <x:c r="O271" s="7" t="n">
        <x:v>1925.86</x:v>
      </x:c>
      <x:c r="P271" s="6" t="n">
        <x:v>0</x:v>
      </x:c>
      <x:c r="Q271" s="7" t="n">
        <x:v>1925.86</x:v>
      </x:c>
      <x:c r="R271" s="7" t="n">
        <x:v>1321.89</x:v>
      </x:c>
      <x:c r="S271" s="7" t="n">
        <x:v>603.97</x:v>
      </x:c>
      <x:c r="T271" t="str">
        <x:v>Paid</x:v>
      </x:c>
      <x:c r="U271" t="str">
        <x:v>Completed</x:v>
      </x:c>
      <x:c r="V271" s="6" t="n">
        <x:f>IF(ISBLANK(P271),IF(AND(ISNUMBER(N271),N271&gt;0,ISNUMBER(O271),O271&gt;=0,ISNUMBER(Q271),Q271&gt;=0,ISNUMBER(R271),R271&gt;=0,ISNUMBER(S271)),0,""),P271)</x:f>
        <x:v>0</x:v>
      </x:c>
      <x:c r="W271" s="7" t="n">
        <x:f>IF(ISBLANK(V271),"",N271*O271*(1-V271))</x:f>
        <x:v>1925.86</x:v>
      </x:c>
      <x:c r="X271" s="7" t="n">
        <x:f>IF(OR(ISBLANK(W271),ISBLANK(R271)),"",W271-R271)</x:f>
        <x:v>603.9699999999998</x:v>
      </x:c>
      <x:c r="Y271" s="8" t="n">
        <x:f>IF(OR(ISBLANK(W271),W271=0),"",X271/W271)</x:f>
        <x:v>0.3136105428224273</x:v>
      </x:c>
      <x:c r="Z271" s="9" t="n">
        <x:f>IF(OR(ISBLANK(B271),ISBLANK(C271)),"",C271-B271)</x:f>
        <x:v>2</x:v>
      </x:c>
      <x:c r="AA271" t="str">
        <x:f>IF(ISBLANK(B271),"",TEXT(B271,"mmm"))</x:f>
        <x:v>Feb</x:v>
      </x:c>
      <x:c r="AB271" s="9" t="n">
        <x:f>IF(ISBLANK(B271),"",YEAR(B271))</x:f>
        <x:v>2025</x:v>
      </x:c>
      <x:c r="AC271" s="10" t="str"/>
      <x:c r="AD271" t="str">
        <x:f>IF(AND(U271="Completed",T271="Paid",ISERROR(SEARCH("INVALID",AC271)),ISERROR(SEARCH("REVIEW",AC271))),"Include","Exclude")</x:f>
        <x:v>Include</x:v>
      </x:c>
      <x:c r="AE271" t="str">
        <x:f>IF(T271="Refunded","Refunded","")</x:f>
      </x:c>
    </x:row>
    <x:row r="272">
      <x:c r="A272" t="str">
        <x:v>ORD-2024-10271</x:v>
      </x:c>
      <x:c r="B272" s="5" t="n">
        <x:v>45303</x:v>
      </x:c>
      <x:c r="C272" s="5" t="n">
        <x:v>45304</x:v>
      </x:c>
      <x:c r="D272" t="str">
        <x:v>CUST-2487</x:v>
      </x:c>
      <x:c r="E272" t="str">
        <x:v>Aditi Sen</x:v>
      </x:c>
      <x:c r="F272" t="str">
        <x:v>Corporate</x:v>
      </x:c>
      <x:c r="G272" t="str">
        <x:v>North</x:v>
      </x:c>
      <x:c r="H272" t="str">
        <x:v>Uttar Pradesh</x:v>
      </x:c>
      <x:c r="I272" t="str">
        <x:v>Noida</x:v>
      </x:c>
      <x:c r="J272" t="str">
        <x:v>Technology</x:v>
      </x:c>
      <x:c r="K272" t="str">
        <x:v>Machines</x:v>
      </x:c>
      <x:c r="L272" t="str">
        <x:v>Prime Machines 794</x:v>
      </x:c>
      <x:c r="M272" t="str">
        <x:v>Same Day</x:v>
      </x:c>
      <x:c r="N272" t="n">
        <x:v>3</x:v>
      </x:c>
      <x:c r="O272" s="7" t="n">
        <x:v>827.44</x:v>
      </x:c>
      <x:c r="P272" s="6" t="n">
        <x:v>0</x:v>
      </x:c>
      <x:c r="Q272" s="7" t="n">
        <x:v>2482.32</x:v>
      </x:c>
      <x:c r="R272" s="7" t="n">
        <x:v>1520.21</x:v>
      </x:c>
      <x:c r="S272" s="7" t="n">
        <x:v>962.11</x:v>
      </x:c>
      <x:c r="T272" t="str">
        <x:v>Paid</x:v>
      </x:c>
      <x:c r="U272" t="str">
        <x:v>Completed</x:v>
      </x:c>
      <x:c r="V272" s="6" t="n">
        <x:f>IF(ISBLANK(P272),IF(AND(ISNUMBER(N272),N272&gt;0,ISNUMBER(O272),O272&gt;=0,ISNUMBER(Q272),Q272&gt;=0,ISNUMBER(R272),R272&gt;=0,ISNUMBER(S272)),0,""),P272)</x:f>
        <x:v>0</x:v>
      </x:c>
      <x:c r="W272" s="7" t="n">
        <x:f>IF(ISBLANK(V272),"",N272*O272*(1-V272))</x:f>
        <x:v>2482.32</x:v>
      </x:c>
      <x:c r="X272" s="7" t="n">
        <x:f>IF(OR(ISBLANK(W272),ISBLANK(R272)),"",W272-R272)</x:f>
        <x:v>962.1100000000001</x:v>
      </x:c>
      <x:c r="Y272" s="8" t="n">
        <x:f>IF(OR(ISBLANK(W272),W272=0),"",X272/W272)</x:f>
        <x:v>0.38758500112797706</x:v>
      </x:c>
      <x:c r="Z272" s="9" t="n">
        <x:f>IF(OR(ISBLANK(B272),ISBLANK(C272)),"",C272-B272)</x:f>
        <x:v>1</x:v>
      </x:c>
      <x:c r="AA272" t="str">
        <x:f>IF(ISBLANK(B272),"",TEXT(B272,"mmm"))</x:f>
        <x:v>Jan</x:v>
      </x:c>
      <x:c r="AB272" s="9" t="n">
        <x:f>IF(ISBLANK(B272),"",YEAR(B272))</x:f>
        <x:v>2024</x:v>
      </x:c>
      <x:c r="AC272" s="10" t="str"/>
      <x:c r="AD272" t="str">
        <x:f>IF(AND(U272="Completed",T272="Paid",ISERROR(SEARCH("INVALID",AC272)),ISERROR(SEARCH("REVIEW",AC272))),"Include","Exclude")</x:f>
        <x:v>Include</x:v>
      </x:c>
      <x:c r="AE272" t="str">
        <x:f>IF(T272="Refunded","Refunded","")</x:f>
      </x:c>
    </x:row>
    <x:row r="273">
      <x:c r="A273" t="str">
        <x:v>ORD-2024-10272</x:v>
      </x:c>
      <x:c r="B273" s="5" t="n">
        <x:v>45647</x:v>
      </x:c>
      <x:c r="C273" s="5" t="n">
        <x:v>45651</x:v>
      </x:c>
      <x:c r="D273" t="str">
        <x:v>CUST-8009</x:v>
      </x:c>
      <x:c r="E273" t="str">
        <x:v>Aditi Sen</x:v>
      </x:c>
      <x:c r="F273" t="str">
        <x:v>Consumer</x:v>
      </x:c>
      <x:c r="G273" t="str">
        <x:v>South</x:v>
      </x:c>
      <x:c r="H273" t="str">
        <x:v>Telangana</x:v>
      </x:c>
      <x:c r="I273" t="str">
        <x:v>Hyderabad</x:v>
      </x:c>
      <x:c r="J273" t="str">
        <x:v>Office Supplies</x:v>
      </x:c>
      <x:c r="K273" t="str">
        <x:v>Binders</x:v>
      </x:c>
      <x:c r="L273" t="str">
        <x:v>Max Binders 927</x:v>
      </x:c>
      <x:c r="M273" t="str">
        <x:v>Standard Class</x:v>
      </x:c>
      <x:c r="N273" t="n">
        <x:v>7</x:v>
      </x:c>
      <x:c r="O273" s="7" t="n">
        <x:v>1667.75</x:v>
      </x:c>
      <x:c r="P273" s="6" t="n">
        <x:v>0</x:v>
      </x:c>
      <x:c r="Q273" s="7" t="n">
        <x:v>11674.25</x:v>
      </x:c>
      <x:c r="R273" s="7" t="n">
        <x:v>9621.19</x:v>
      </x:c>
      <x:c r="S273" s="7" t="n">
        <x:v>2053.06</x:v>
      </x:c>
      <x:c r="T273" t="str">
        <x:v>Failed</x:v>
      </x:c>
      <x:c r="U273" t="str">
        <x:v>Cancelled</x:v>
      </x:c>
      <x:c r="V273" s="6" t="n">
        <x:f>IF(ISBLANK(P273),IF(AND(ISNUMBER(N273),N273&gt;0,ISNUMBER(O273),O273&gt;=0,ISNUMBER(Q273),Q273&gt;=0,ISNUMBER(R273),R273&gt;=0,ISNUMBER(S273)),0,""),P273)</x:f>
        <x:v>0</x:v>
      </x:c>
      <x:c r="W273" s="7" t="n">
        <x:f>IF(ISBLANK(V273),"",N273*O273*(1-V273))</x:f>
        <x:v>11674.25</x:v>
      </x:c>
      <x:c r="X273" s="7" t="n">
        <x:f>IF(OR(ISBLANK(W273),ISBLANK(R273)),"",W273-R273)</x:f>
        <x:v>2053.0599999999995</x:v>
      </x:c>
      <x:c r="Y273" s="8" t="n">
        <x:f>IF(OR(ISBLANK(W273),W273=0),"",X273/W273)</x:f>
        <x:v>0.17586226095894808</x:v>
      </x:c>
      <x:c r="Z273" s="9" t="n">
        <x:f>IF(OR(ISBLANK(B273),ISBLANK(C273)),"",C273-B273)</x:f>
        <x:v>4</x:v>
      </x:c>
      <x:c r="AA273" t="str">
        <x:f>IF(ISBLANK(B273),"",TEXT(B273,"mmm"))</x:f>
        <x:v>Dec</x:v>
      </x:c>
      <x:c r="AB273" s="9" t="n">
        <x:f>IF(ISBLANK(B273),"",YEAR(B273))</x:f>
        <x:v>2024</x:v>
      </x:c>
      <x:c r="AC273" s="10" t="str">
        <x:v>EXCLUDE: Cancelled order; EXCLUDE: Failed payment</x:v>
      </x:c>
      <x:c r="AD273" t="str">
        <x:f>IF(AND(U273="Completed",T273="Paid",ISERROR(SEARCH("INVALID",AC273)),ISERROR(SEARCH("REVIEW",AC273))),"Include","Exclude")</x:f>
        <x:v>Exclude</x:v>
      </x:c>
      <x:c r="AE273" t="str">
        <x:f>IF(T273="Refunded","Refunded","")</x:f>
      </x:c>
    </x:row>
    <x:row r="274">
      <x:c r="A274" t="str">
        <x:v>ORD-2024-10273</x:v>
      </x:c>
      <x:c r="B274" s="5" t="n">
        <x:v>45522</x:v>
      </x:c>
      <x:c r="C274" s="5" t="n">
        <x:v>45528</x:v>
      </x:c>
      <x:c r="D274" t="str">
        <x:v>CUST-7389</x:v>
      </x:c>
      <x:c r="E274" t="str">
        <x:v>Arjun Bose</x:v>
      </x:c>
      <x:c r="F274" t="str">
        <x:v>Consumer</x:v>
      </x:c>
      <x:c r="G274" t="str">
        <x:v>South</x:v>
      </x:c>
      <x:c r="H274" t="str">
        <x:v>Andhra Pradesh</x:v>
      </x:c>
      <x:c r="I274" t="str">
        <x:v>Vijayawada</x:v>
      </x:c>
      <x:c r="J274" t="str">
        <x:v>Furniture</x:v>
      </x:c>
      <x:c r="K274" t="str">
        <x:v>Chairs</x:v>
      </x:c>
      <x:c r="L274" t="str">
        <x:v>Eco Chairs 314</x:v>
      </x:c>
      <x:c r="M274" t="str">
        <x:v>First Class</x:v>
      </x:c>
      <x:c r="N274" t="n">
        <x:v>7</x:v>
      </x:c>
      <x:c r="O274" s="7" t="n">
        <x:v>557.21</x:v>
      </x:c>
      <x:c r="P274" s="6" t="n">
        <x:v>0.1</x:v>
      </x:c>
      <x:c r="Q274" s="7" t="n">
        <x:v>3510.42</x:v>
      </x:c>
      <x:c r="R274" s="7" t="n">
        <x:v>2191.5</x:v>
      </x:c>
      <x:c r="S274" s="7" t="n">
        <x:v>1213.48</x:v>
      </x:c>
      <x:c r="T274" t="str">
        <x:v>Paid</x:v>
      </x:c>
      <x:c r="U274" t="str">
        <x:v>Completed</x:v>
      </x:c>
      <x:c r="V274" s="6" t="n">
        <x:f>IF(ISBLANK(P274),IF(AND(ISNUMBER(N274),N274&gt;0,ISNUMBER(O274),O274&gt;=0,ISNUMBER(Q274),Q274&gt;=0,ISNUMBER(R274),R274&gt;=0,ISNUMBER(S274)),0,""),P274)</x:f>
        <x:v>0.1</x:v>
      </x:c>
      <x:c r="W274" s="7" t="n">
        <x:f>IF(ISBLANK(V274),"",N274*O274*(1-V274))</x:f>
        <x:v>3510.4230000000002</x:v>
      </x:c>
      <x:c r="X274" s="7" t="n">
        <x:f>IF(OR(ISBLANK(W274),ISBLANK(R274)),"",W274-R274)</x:f>
        <x:v>1318.9230000000002</x:v>
      </x:c>
      <x:c r="Y274" s="8" t="n">
        <x:f>IF(OR(ISBLANK(W274),W274=0),"",X274/W274)</x:f>
        <x:v>0.37571625983535323</x:v>
      </x:c>
      <x:c r="Z274" s="9" t="n">
        <x:f>IF(OR(ISBLANK(B274),ISBLANK(C274)),"",C274-B274)</x:f>
        <x:v>6</x:v>
      </x:c>
      <x:c r="AA274" t="str">
        <x:f>IF(ISBLANK(B274),"",TEXT(B274,"mmm"))</x:f>
        <x:v>Aug</x:v>
      </x:c>
      <x:c r="AB274" s="9" t="n">
        <x:f>IF(ISBLANK(B274),"",YEAR(B274))</x:f>
        <x:v>2024</x:v>
      </x:c>
      <x:c r="AC274" s="10" t="str">
        <x:v>REVIEW: Conflicting duplicate order_id</x:v>
      </x:c>
      <x:c r="AD274" t="str">
        <x:f>IF(AND(U274="Completed",T274="Paid",ISERROR(SEARCH("INVALID",AC274)),ISERROR(SEARCH("REVIEW",AC274))),"Include","Exclude")</x:f>
        <x:v>Exclude</x:v>
      </x:c>
      <x:c r="AE274" t="str">
        <x:f>IF(T274="Refunded","Refunded","")</x:f>
      </x:c>
    </x:row>
    <x:row r="275">
      <x:c r="A275" t="str">
        <x:v>ORD-2025-10274</x:v>
      </x:c>
      <x:c r="B275" s="5" t="n">
        <x:v>45701</x:v>
      </x:c>
      <x:c r="C275" s="5" t="n">
        <x:v>45701</x:v>
      </x:c>
      <x:c r="D275" t="str">
        <x:v>CUST-8249</x:v>
      </x:c>
      <x:c r="E275" t="str">
        <x:v>Isha Nair</x:v>
      </x:c>
      <x:c r="F275" t="str">
        <x:v>Consumer</x:v>
      </x:c>
      <x:c r="G275" t="str">
        <x:v>East</x:v>
      </x:c>
      <x:c r="H275" t="str">
        <x:v>Bihar</x:v>
      </x:c>
      <x:c r="I275" t="str">
        <x:v>Patna</x:v>
      </x:c>
      <x:c r="J275" t="str">
        <x:v>Office Supplies</x:v>
      </x:c>
      <x:c r="K275" t="str">
        <x:v>Paper</x:v>
      </x:c>
      <x:c r="L275" t="str">
        <x:v>Basic Paper 657</x:v>
      </x:c>
      <x:c r="M275" t="str">
        <x:v>Second Class</x:v>
      </x:c>
      <x:c r="N275" t="n">
        <x:v>9</x:v>
      </x:c>
      <x:c r="O275" s="7" t="n">
        <x:v>2521.63</x:v>
      </x:c>
      <x:c r="P275" s="6" t="n">
        <x:v>0</x:v>
      </x:c>
      <x:c r="Q275" s="7" t="n">
        <x:v>22694.67</x:v>
      </x:c>
      <x:c r="R275" s="7" t="n">
        <x:v>15405.36</x:v>
      </x:c>
      <x:c r="S275" s="7" t="n">
        <x:v>7289.31</x:v>
      </x:c>
      <x:c r="T275" t="str">
        <x:v>Paid</x:v>
      </x:c>
      <x:c r="U275" t="str">
        <x:v>Returned</x:v>
      </x:c>
      <x:c r="V275" s="6" t="n">
        <x:f>IF(ISBLANK(P275),IF(AND(ISNUMBER(N275),N275&gt;0,ISNUMBER(O275),O275&gt;=0,ISNUMBER(Q275),Q275&gt;=0,ISNUMBER(R275),R275&gt;=0,ISNUMBER(S275)),0,""),P275)</x:f>
        <x:v>0</x:v>
      </x:c>
      <x:c r="W275" s="7" t="n">
        <x:f>IF(ISBLANK(V275),"",N275*O275*(1-V275))</x:f>
        <x:v>22694.670000000002</x:v>
      </x:c>
      <x:c r="X275" s="7" t="n">
        <x:f>IF(OR(ISBLANK(W275),ISBLANK(R275)),"",W275-R275)</x:f>
        <x:v>7289.310000000001</x:v>
      </x:c>
      <x:c r="Y275" s="8" t="n">
        <x:f>IF(OR(ISBLANK(W275),W275=0),"",X275/W275)</x:f>
        <x:v>0.32119039404406413</x:v>
      </x:c>
      <x:c r="Z275" s="9" t="n">
        <x:f>IF(OR(ISBLANK(B275),ISBLANK(C275)),"",C275-B275)</x:f>
        <x:v>0</x:v>
      </x:c>
      <x:c r="AA275" t="str">
        <x:f>IF(ISBLANK(B275),"",TEXT(B275,"mmm"))</x:f>
        <x:v>Feb</x:v>
      </x:c>
      <x:c r="AB275" s="9" t="n">
        <x:f>IF(ISBLANK(B275),"",YEAR(B275))</x:f>
        <x:v>2025</x:v>
      </x:c>
      <x:c r="AC275" s="10" t="str"/>
      <x:c r="AD275" t="str">
        <x:f>IF(AND(U275="Completed",T275="Paid",ISERROR(SEARCH("INVALID",AC275)),ISERROR(SEARCH("REVIEW",AC275))),"Include","Exclude")</x:f>
        <x:v>Exclude</x:v>
      </x:c>
      <x:c r="AE275" t="str">
        <x:f>IF(T275="Refunded","Refunded","")</x:f>
      </x:c>
    </x:row>
    <x:row r="276">
      <x:c r="A276" t="str">
        <x:v>ORD-2024-10275</x:v>
      </x:c>
      <x:c r="B276" s="5" t="n">
        <x:v>45389</x:v>
      </x:c>
      <x:c r="C276" s="5" t="n">
        <x:v>45396</x:v>
      </x:c>
      <x:c r="D276" t="str">
        <x:v>CUST-4202</x:v>
      </x:c>
      <x:c r="E276" t="str">
        <x:v>Rohan Mehta</x:v>
      </x:c>
      <x:c r="F276" t="str">
        <x:v>Consumer</x:v>
      </x:c>
      <x:c r="G276" t="str">
        <x:v>South</x:v>
      </x:c>
      <x:c r="H276" t="str">
        <x:v>Kerala</x:v>
      </x:c>
      <x:c r="I276" t="str">
        <x:v>Kochi</x:v>
      </x:c>
      <x:c r="J276" t="str">
        <x:v>Technology</x:v>
      </x:c>
      <x:c r="K276" t="str">
        <x:v>Copiers</x:v>
      </x:c>
      <x:c r="L276" t="str">
        <x:v>Pro Copiers 406</x:v>
      </x:c>
      <x:c r="M276" t="str">
        <x:v>Standard Class</x:v>
      </x:c>
      <x:c r="N276" t="n">
        <x:v>6</x:v>
      </x:c>
      <x:c r="O276" s="7" t="n">
        <x:v>4246.71</x:v>
      </x:c>
      <x:c r="P276" s="6" t="n">
        <x:v>0.15</x:v>
      </x:c>
      <x:c r="Q276" s="7" t="n">
        <x:v>21658.22</x:v>
      </x:c>
      <x:c r="R276" s="7" t="n">
        <x:v>15490.69</x:v>
      </x:c>
      <x:c r="S276" s="7" t="n">
        <x:v>6167.53</x:v>
      </x:c>
      <x:c r="T276" t="str">
        <x:v>Failed</x:v>
      </x:c>
      <x:c r="U276" t="str">
        <x:v>Returned</x:v>
      </x:c>
      <x:c r="V276" s="6" t="n">
        <x:f>IF(ISBLANK(P276),IF(AND(ISNUMBER(N276),N276&gt;0,ISNUMBER(O276),O276&gt;=0,ISNUMBER(Q276),Q276&gt;=0,ISNUMBER(R276),R276&gt;=0,ISNUMBER(S276)),0,""),P276)</x:f>
        <x:v>0.15</x:v>
      </x:c>
      <x:c r="W276" s="7" t="n">
        <x:f>IF(ISBLANK(V276),"",N276*O276*(1-V276))</x:f>
        <x:v>21658.221</x:v>
      </x:c>
      <x:c r="X276" s="7" t="n">
        <x:f>IF(OR(ISBLANK(W276),ISBLANK(R276)),"",W276-R276)</x:f>
        <x:v>6167.531000000001</x:v>
      </x:c>
      <x:c r="Y276" s="8" t="n">
        <x:f>IF(OR(ISBLANK(W276),W276=0),"",X276/W276)</x:f>
        <x:v>0.2847662788185604</x:v>
      </x:c>
      <x:c r="Z276" s="9" t="n">
        <x:f>IF(OR(ISBLANK(B276),ISBLANK(C276)),"",C276-B276)</x:f>
        <x:v>7</x:v>
      </x:c>
      <x:c r="AA276" t="str">
        <x:f>IF(ISBLANK(B276),"",TEXT(B276,"mmm"))</x:f>
        <x:v>Apr</x:v>
      </x:c>
      <x:c r="AB276" s="9" t="n">
        <x:f>IF(ISBLANK(B276),"",YEAR(B276))</x:f>
        <x:v>2024</x:v>
      </x:c>
      <x:c r="AC276" s="10" t="str">
        <x:v>EXCLUDE: Failed payment</x:v>
      </x:c>
      <x:c r="AD276" t="str">
        <x:f>IF(AND(U276="Completed",T276="Paid",ISERROR(SEARCH("INVALID",AC276)),ISERROR(SEARCH("REVIEW",AC276))),"Include","Exclude")</x:f>
        <x:v>Exclude</x:v>
      </x:c>
      <x:c r="AE276" t="str">
        <x:f>IF(T276="Refunded","Refunded","")</x:f>
      </x:c>
    </x:row>
    <x:row r="277">
      <x:c r="A277" t="str">
        <x:v>ORD-2024-10276</x:v>
      </x:c>
      <x:c r="B277" s="5" t="n">
        <x:v>45337</x:v>
      </x:c>
      <x:c r="C277" s="5" t="n">
        <x:v>45344</x:v>
      </x:c>
      <x:c r="D277" t="str">
        <x:v>CUST-2875</x:v>
      </x:c>
      <x:c r="E277" t="str">
        <x:v>Priya Menon</x:v>
      </x:c>
      <x:c r="F277" t="str">
        <x:v>Small Business</x:v>
      </x:c>
      <x:c r="G277" t="str">
        <x:v>East</x:v>
      </x:c>
      <x:c r="H277" t="str">
        <x:v>West Bengal</x:v>
      </x:c>
      <x:c r="I277" t="str">
        <x:v>Kolkata</x:v>
      </x:c>
      <x:c r="J277" t="str">
        <x:v>Furniture</x:v>
      </x:c>
      <x:c r="K277" t="str">
        <x:v>Furnishings</x:v>
      </x:c>
      <x:c r="L277" t="str">
        <x:v>Eco Furnishings 678</x:v>
      </x:c>
      <x:c r="M277" t="str">
        <x:v>Same Day</x:v>
      </x:c>
      <x:c r="N277" t="n">
        <x:v>1</x:v>
      </x:c>
      <x:c r="O277" s="7" t="n">
        <x:v>980.51</x:v>
      </x:c>
      <x:c r="P277" s="6" t="n">
        <x:v>0</x:v>
      </x:c>
      <x:c r="Q277" s="7" t="n">
        <x:v>980.51</x:v>
      </x:c>
      <x:c r="R277" s="7" t="n">
        <x:v>660.92</x:v>
      </x:c>
      <x:c r="S277" s="7" t="n">
        <x:v>319.59</x:v>
      </x:c>
      <x:c r="T277" t="str">
        <x:v>Paid</x:v>
      </x:c>
      <x:c r="U277" t="str">
        <x:v>Completed</x:v>
      </x:c>
      <x:c r="V277" s="6" t="n">
        <x:f>IF(ISBLANK(P277),IF(AND(ISNUMBER(N277),N277&gt;0,ISNUMBER(O277),O277&gt;=0,ISNUMBER(Q277),Q277&gt;=0,ISNUMBER(R277),R277&gt;=0,ISNUMBER(S277)),0,""),P277)</x:f>
        <x:v>0</x:v>
      </x:c>
      <x:c r="W277" s="7" t="n">
        <x:f>IF(ISBLANK(V277),"",N277*O277*(1-V277))</x:f>
        <x:v>980.51</x:v>
      </x:c>
      <x:c r="X277" s="7" t="n">
        <x:f>IF(OR(ISBLANK(W277),ISBLANK(R277)),"",W277-R277)</x:f>
        <x:v>319.59000000000003</x:v>
      </x:c>
      <x:c r="Y277" s="8" t="n">
        <x:f>IF(OR(ISBLANK(W277),W277=0),"",X277/W277)</x:f>
        <x:v>0.32594262169687205</x:v>
      </x:c>
      <x:c r="Z277" s="9" t="n">
        <x:f>IF(OR(ISBLANK(B277),ISBLANK(C277)),"",C277-B277)</x:f>
        <x:v>7</x:v>
      </x:c>
      <x:c r="AA277" t="str">
        <x:f>IF(ISBLANK(B277),"",TEXT(B277,"mmm"))</x:f>
        <x:v>Feb</x:v>
      </x:c>
      <x:c r="AB277" s="9" t="n">
        <x:f>IF(ISBLANK(B277),"",YEAR(B277))</x:f>
        <x:v>2024</x:v>
      </x:c>
      <x:c r="AC277" s="10" t="str"/>
      <x:c r="AD277" t="str">
        <x:f>IF(AND(U277="Completed",T277="Paid",ISERROR(SEARCH("INVALID",AC277)),ISERROR(SEARCH("REVIEW",AC277))),"Include","Exclude")</x:f>
        <x:v>Include</x:v>
      </x:c>
      <x:c r="AE277" t="str">
        <x:f>IF(T277="Refunded","Refunded","")</x:f>
      </x:c>
    </x:row>
    <x:row r="278">
      <x:c r="A278" t="str">
        <x:v>ORD-2024-10277</x:v>
      </x:c>
      <x:c r="B278" s="5" t="n">
        <x:v>45313</x:v>
      </x:c>
      <x:c r="C278" s="5" t="n">
        <x:v>45314</x:v>
      </x:c>
      <x:c r="D278" t="str">
        <x:v>CUST-7039</x:v>
      </x:c>
      <x:c r="E278" t="str">
        <x:v>Aarav Sharma</x:v>
      </x:c>
      <x:c r="F278" t="str">
        <x:v>Small Business</x:v>
      </x:c>
      <x:c r="G278" t="str">
        <x:v>Unknown</x:v>
      </x:c>
      <x:c r="H278" t="str">
        <x:v>Assam</x:v>
      </x:c>
      <x:c r="I278" t="str">
        <x:v>Guwahati</x:v>
      </x:c>
      <x:c r="J278" t="str">
        <x:v>Furniture</x:v>
      </x:c>
      <x:c r="K278" t="str">
        <x:v>Chairs</x:v>
      </x:c>
      <x:c r="L278" t="str">
        <x:v>Basic Chairs 141</x:v>
      </x:c>
      <x:c r="M278" t="str">
        <x:v>Second Class</x:v>
      </x:c>
      <x:c r="N278" t="n">
        <x:v>6</x:v>
      </x:c>
      <x:c r="O278" s="7" t="n">
        <x:v>3391.53</x:v>
      </x:c>
      <x:c r="P278" s="6" t="n">
        <x:v>-0.14</x:v>
      </x:c>
      <x:c r="Q278" s="7" t="n">
        <x:v>15261.89</x:v>
      </x:c>
      <x:c r="R278" s="7" t="n">
        <x:v>8413.53</x:v>
      </x:c>
      <x:c r="S278" s="7" t="n">
        <x:v>6848.36</x:v>
      </x:c>
      <x:c r="T278" t="str">
        <x:v>Paid</x:v>
      </x:c>
      <x:c r="U278" t="str">
        <x:v>Completed</x:v>
      </x:c>
      <x:c r="V278" s="6" t="n">
        <x:f>IF(ISBLANK(P278),IF(AND(ISNUMBER(N278),N278&gt;0,ISNUMBER(O278),O278&gt;=0,ISNUMBER(Q278),Q278&gt;=0,ISNUMBER(R278),R278&gt;=0,ISNUMBER(S278)),0,""),P278)</x:f>
        <x:v>-0.14</x:v>
      </x:c>
      <x:c r="W278" s="7" t="n">
        <x:f>IF(ISBLANK(V278),"",N278*O278*(1-V278))</x:f>
        <x:v>23198.065200000005</x:v>
      </x:c>
      <x:c r="X278" s="7" t="n">
        <x:f>IF(OR(ISBLANK(W278),ISBLANK(R278)),"",W278-R278)</x:f>
        <x:v>14784.535200000004</x:v>
      </x:c>
      <x:c r="Y278" s="8" t="n">
        <x:f>IF(OR(ISBLANK(W278),W278=0),"",X278/W278)</x:f>
        <x:v>0.637317598365919</x:v>
      </x:c>
      <x:c r="Z278" s="9" t="n">
        <x:f>IF(OR(ISBLANK(B278),ISBLANK(C278)),"",C278-B278)</x:f>
        <x:v>1</x:v>
      </x:c>
      <x:c r="AA278" t="str">
        <x:f>IF(ISBLANK(B278),"",TEXT(B278,"mmm"))</x:f>
        <x:v>Jan</x:v>
      </x:c>
      <x:c r="AB278" s="9" t="n">
        <x:f>IF(ISBLANK(B278),"",YEAR(B278))</x:f>
        <x:v>2024</x:v>
      </x:c>
      <x:c r="AC278" s="10" t="str">
        <x:v>FLAG: Missing region filled as Unknown; INVALID: Negative discount</x:v>
      </x:c>
      <x:c r="AD278" t="str">
        <x:f>IF(AND(U278="Completed",T278="Paid",ISERROR(SEARCH("INVALID",AC278)),ISERROR(SEARCH("REVIEW",AC278))),"Include","Exclude")</x:f>
        <x:v>Exclude</x:v>
      </x:c>
      <x:c r="AE278" t="str">
        <x:f>IF(T278="Refunded","Refunded","")</x:f>
      </x:c>
    </x:row>
    <x:row r="279">
      <x:c r="A279" t="str">
        <x:v>ORD-2025-10278</x:v>
      </x:c>
      <x:c r="B279" s="5" t="n">
        <x:v>45812</x:v>
      </x:c>
      <x:c r="C279" s="5" t="n">
        <x:v>45812</x:v>
      </x:c>
      <x:c r="D279" t="str">
        <x:v>CUST-2819</x:v>
      </x:c>
      <x:c r="E279" t="str">
        <x:v>Isha Nair</x:v>
      </x:c>
      <x:c r="F279" t="str">
        <x:v>Corporate</x:v>
      </x:c>
      <x:c r="G279" t="str">
        <x:v>North</x:v>
      </x:c>
      <x:c r="H279" t="str">
        <x:v>Haryana</x:v>
      </x:c>
      <x:c r="I279" t="str">
        <x:v>Gurugram</x:v>
      </x:c>
      <x:c r="J279" t="str">
        <x:v>Technology</x:v>
      </x:c>
      <x:c r="K279" t="str">
        <x:v>Accessories</x:v>
      </x:c>
      <x:c r="L279" t="str">
        <x:v>Elite Accessories 291</x:v>
      </x:c>
      <x:c r="M279" t="str">
        <x:v>Second Class</x:v>
      </x:c>
      <x:c r="N279" t="n">
        <x:v>1</x:v>
      </x:c>
      <x:c r="O279" s="7" t="n">
        <x:v>2133.73</x:v>
      </x:c>
      <x:c r="P279" s="6" t="n">
        <x:v>0.15</x:v>
      </x:c>
      <x:c r="Q279" s="7" t="n">
        <x:v>2008.39</x:v>
      </x:c>
      <x:c r="R279" s="7" t="n">
        <x:v>1002.57</x:v>
      </x:c>
      <x:c r="S279" s="7" t="n">
        <x:v>811.1</x:v>
      </x:c>
      <x:c r="T279" t="str">
        <x:v>Pending</x:v>
      </x:c>
      <x:c r="U279" t="str">
        <x:v>Cancelled</x:v>
      </x:c>
      <x:c r="V279" s="6" t="n">
        <x:f>IF(ISBLANK(P279),IF(AND(ISNUMBER(N279),N279&gt;0,ISNUMBER(O279),O279&gt;=0,ISNUMBER(Q279),Q279&gt;=0,ISNUMBER(R279),R279&gt;=0,ISNUMBER(S279)),0,""),P279)</x:f>
        <x:v>0.15</x:v>
      </x:c>
      <x:c r="W279" s="7" t="n">
        <x:f>IF(ISBLANK(V279),"",N279*O279*(1-V279))</x:f>
        <x:v>1813.6705</x:v>
      </x:c>
      <x:c r="X279" s="7" t="n">
        <x:f>IF(OR(ISBLANK(W279),ISBLANK(R279)),"",W279-R279)</x:f>
        <x:v>811.1004999999999</x:v>
      </x:c>
      <x:c r="Y279" s="8" t="n">
        <x:f>IF(OR(ISBLANK(W279),W279=0),"",X279/W279)</x:f>
        <x:v>0.4472149158295291</x:v>
      </x:c>
      <x:c r="Z279" s="9" t="n">
        <x:f>IF(OR(ISBLANK(B279),ISBLANK(C279)),"",C279-B279)</x:f>
        <x:v>0</x:v>
      </x:c>
      <x:c r="AA279" t="str">
        <x:f>IF(ISBLANK(B279),"",TEXT(B279,"mmm"))</x:f>
        <x:v>Jun</x:v>
      </x:c>
      <x:c r="AB279" s="9" t="n">
        <x:f>IF(ISBLANK(B279),"",YEAR(B279))</x:f>
        <x:v>2025</x:v>
      </x:c>
      <x:c r="AC279" s="10" t="str">
        <x:v>EXCLUDE: Cancelled order</x:v>
      </x:c>
      <x:c r="AD279" t="str">
        <x:f>IF(AND(U279="Completed",T279="Paid",ISERROR(SEARCH("INVALID",AC279)),ISERROR(SEARCH("REVIEW",AC279))),"Include","Exclude")</x:f>
        <x:v>Exclude</x:v>
      </x:c>
      <x:c r="AE279" t="str">
        <x:f>IF(T279="Refunded","Refunded","")</x:f>
      </x:c>
    </x:row>
    <x:row r="280">
      <x:c r="A280" t="str">
        <x:v>ORD-2025-10279</x:v>
      </x:c>
      <x:c r="B280" s="5" t="n">
        <x:v>45723</x:v>
      </x:c>
      <x:c r="C280" s="5" t="n">
        <x:v>45730</x:v>
      </x:c>
      <x:c r="D280" t="str">
        <x:v>CUST-8242</x:v>
      </x:c>
      <x:c r="E280" t="str">
        <x:v>Priya Menon</x:v>
      </x:c>
      <x:c r="F280" t="str">
        <x:v>Small Business</x:v>
      </x:c>
      <x:c r="G280" t="str">
        <x:v>North</x:v>
      </x:c>
      <x:c r="H280" t="str">
        <x:v>Delhi</x:v>
      </x:c>
      <x:c r="I280" t="str">
        <x:v>New Delhi</x:v>
      </x:c>
      <x:c r="J280" t="str">
        <x:v>Technology</x:v>
      </x:c>
      <x:c r="K280" t="str">
        <x:v>Accessories</x:v>
      </x:c>
      <x:c r="L280" t="str">
        <x:v>Pro Accessories 207</x:v>
      </x:c>
      <x:c r="M280" t="str">
        <x:v>Same Day</x:v>
      </x:c>
      <x:c r="N280" t="n">
        <x:v>1</x:v>
      </x:c>
      <x:c r="O280" s="7" t="n">
        <x:v>3979.64</x:v>
      </x:c>
      <x:c r="P280" s="6" t="n">
        <x:v>0.05</x:v>
      </x:c>
      <x:c r="Q280" s="7" t="n">
        <x:v>3780.66</x:v>
      </x:c>
      <x:c r="R280" s="7" t="n">
        <x:v>2148.31</x:v>
      </x:c>
      <x:c r="S280" s="7" t="n">
        <x:v>1632.35</x:v>
      </x:c>
      <x:c r="T280" t="str">
        <x:v>Paid</x:v>
      </x:c>
      <x:c r="U280" t="str">
        <x:v>Returned</x:v>
      </x:c>
      <x:c r="V280" s="6" t="n">
        <x:f>IF(ISBLANK(P280),IF(AND(ISNUMBER(N280),N280&gt;0,ISNUMBER(O280),O280&gt;=0,ISNUMBER(Q280),Q280&gt;=0,ISNUMBER(R280),R280&gt;=0,ISNUMBER(S280)),0,""),P280)</x:f>
        <x:v>0.05</x:v>
      </x:c>
      <x:c r="W280" s="7" t="n">
        <x:f>IF(ISBLANK(V280),"",N280*O280*(1-V280))</x:f>
        <x:v>3780.658</x:v>
      </x:c>
      <x:c r="X280" s="7" t="n">
        <x:f>IF(OR(ISBLANK(W280),ISBLANK(R280)),"",W280-R280)</x:f>
        <x:v>1632.348</x:v>
      </x:c>
      <x:c r="Y280" s="8" t="n">
        <x:f>IF(OR(ISBLANK(W280),W280=0),"",X280/W280)</x:f>
        <x:v>0.43176293650470365</x:v>
      </x:c>
      <x:c r="Z280" s="9" t="n">
        <x:f>IF(OR(ISBLANK(B280),ISBLANK(C280)),"",C280-B280)</x:f>
        <x:v>7</x:v>
      </x:c>
      <x:c r="AA280" t="str">
        <x:f>IF(ISBLANK(B280),"",TEXT(B280,"mmm"))</x:f>
        <x:v>Mar</x:v>
      </x:c>
      <x:c r="AB280" s="9" t="n">
        <x:f>IF(ISBLANK(B280),"",YEAR(B280))</x:f>
        <x:v>2025</x:v>
      </x:c>
      <x:c r="AC280" s="10" t="str"/>
      <x:c r="AD280" t="str">
        <x:f>IF(AND(U280="Completed",T280="Paid",ISERROR(SEARCH("INVALID",AC280)),ISERROR(SEARCH("REVIEW",AC280))),"Include","Exclude")</x:f>
        <x:v>Exclude</x:v>
      </x:c>
      <x:c r="AE280" t="str">
        <x:f>IF(T280="Refunded","Refunded","")</x:f>
      </x:c>
    </x:row>
    <x:row r="281">
      <x:c r="A281" t="str">
        <x:v>ORD-2024-10280</x:v>
      </x:c>
      <x:c r="B281" s="5" t="n">
        <x:v>45391</x:v>
      </x:c>
      <x:c r="C281" s="5" t="n">
        <x:v>45392</x:v>
      </x:c>
      <x:c r="D281" t="str">
        <x:v>CUST-4571</x:v>
      </x:c>
      <x:c r="E281" t="str">
        <x:v>Rohan Mehta</x:v>
      </x:c>
      <x:c r="F281" t="str">
        <x:v>Small Business</x:v>
      </x:c>
      <x:c r="G281" t="str">
        <x:v>West</x:v>
      </x:c>
      <x:c r="H281" t="str">
        <x:v>Maharashtra</x:v>
      </x:c>
      <x:c r="I281" t="str">
        <x:v>Mumbai</x:v>
      </x:c>
      <x:c r="J281" t="str">
        <x:v>Office Supplies</x:v>
      </x:c>
      <x:c r="K281" t="str">
        <x:v>Storage</x:v>
      </x:c>
      <x:c r="L281" t="str">
        <x:v>Max Storage 564</x:v>
      </x:c>
      <x:c r="M281" t="str">
        <x:v>First Class</x:v>
      </x:c>
      <x:c r="N281" t="n">
        <x:v>1</x:v>
      </x:c>
      <x:c r="O281" s="7" t="n">
        <x:v>4359.12</x:v>
      </x:c>
      <x:c r="P281" s="6" t="n">
        <x:v>0.05</x:v>
      </x:c>
      <x:c r="Q281" s="7" t="n">
        <x:v>4141.16</x:v>
      </x:c>
      <x:c r="R281" s="7" t="n">
        <x:v>2754.17</x:v>
      </x:c>
      <x:c r="S281" s="7" t="n">
        <x:v>1386.99</x:v>
      </x:c>
      <x:c r="T281" t="str">
        <x:v>Paid</x:v>
      </x:c>
      <x:c r="U281" t="str">
        <x:v>Completed</x:v>
      </x:c>
      <x:c r="V281" s="6" t="n">
        <x:f>IF(ISBLANK(P281),IF(AND(ISNUMBER(N281),N281&gt;0,ISNUMBER(O281),O281&gt;=0,ISNUMBER(Q281),Q281&gt;=0,ISNUMBER(R281),R281&gt;=0,ISNUMBER(S281)),0,""),P281)</x:f>
        <x:v>0.05</x:v>
      </x:c>
      <x:c r="W281" s="7" t="n">
        <x:f>IF(ISBLANK(V281),"",N281*O281*(1-V281))</x:f>
        <x:v>4141.164</x:v>
      </x:c>
      <x:c r="X281" s="7" t="n">
        <x:f>IF(OR(ISBLANK(W281),ISBLANK(R281)),"",W281-R281)</x:f>
        <x:v>1386.9939999999997</x:v>
      </x:c>
      <x:c r="Y281" s="8" t="n">
        <x:f>IF(OR(ISBLANK(W281),W281=0),"",X281/W281)</x:f>
        <x:v>0.33492853700070796</x:v>
      </x:c>
      <x:c r="Z281" s="9" t="n">
        <x:f>IF(OR(ISBLANK(B281),ISBLANK(C281)),"",C281-B281)</x:f>
        <x:v>1</x:v>
      </x:c>
      <x:c r="AA281" t="str">
        <x:f>IF(ISBLANK(B281),"",TEXT(B281,"mmm"))</x:f>
        <x:v>Apr</x:v>
      </x:c>
      <x:c r="AB281" s="9" t="n">
        <x:f>IF(ISBLANK(B281),"",YEAR(B281))</x:f>
        <x:v>2024</x:v>
      </x:c>
      <x:c r="AC281" s="10" t="str"/>
      <x:c r="AD281" t="str">
        <x:f>IF(AND(U281="Completed",T281="Paid",ISERROR(SEARCH("INVALID",AC281)),ISERROR(SEARCH("REVIEW",AC281))),"Include","Exclude")</x:f>
        <x:v>Include</x:v>
      </x:c>
      <x:c r="AE281" t="str">
        <x:f>IF(T281="Refunded","Refunded","")</x:f>
      </x:c>
    </x:row>
    <x:row r="282">
      <x:c r="A282" t="str">
        <x:v>ORD-2024-10281</x:v>
      </x:c>
      <x:c r="B282" s="5" t="n">
        <x:v>45649</x:v>
      </x:c>
      <x:c r="C282" s="5" t="n">
        <x:v>45652</x:v>
      </x:c>
      <x:c r="D282" t="str">
        <x:v>CUST-4098</x:v>
      </x:c>
      <x:c r="E282" t="str">
        <x:v>Aditi Sen</x:v>
      </x:c>
      <x:c r="F282" t="str">
        <x:v>Consumer</x:v>
      </x:c>
      <x:c r="G282" t="str">
        <x:v>South</x:v>
      </x:c>
      <x:c r="H282" t="str">
        <x:v>Karnataka</x:v>
      </x:c>
      <x:c r="I282" t="str">
        <x:v>Bengaluru</x:v>
      </x:c>
      <x:c r="J282" t="str">
        <x:v>Technology</x:v>
      </x:c>
      <x:c r="K282" t="str">
        <x:v>Copiers</x:v>
      </x:c>
      <x:c r="L282" t="str">
        <x:v>Prime Copiers 961</x:v>
      </x:c>
      <x:c r="M282" t="str">
        <x:v>Standard Class</x:v>
      </x:c>
      <x:c r="N282" t="n">
        <x:v>9</x:v>
      </x:c>
      <x:c r="O282" s="7" t="n">
        <x:v>993.67</x:v>
      </x:c>
      <x:c r="P282" s="6" t="n">
        <x:v>0</x:v>
      </x:c>
      <x:c r="Q282" s="7" t="n">
        <x:v>8943.03</x:v>
      </x:c>
      <x:c r="R282" s="7" t="n">
        <x:v>5165.38</x:v>
      </x:c>
      <x:c r="S282" s="7" t="n">
        <x:v>3777.65</x:v>
      </x:c>
      <x:c r="T282" t="str">
        <x:v>Paid</x:v>
      </x:c>
      <x:c r="U282" t="str">
        <x:v>Completed</x:v>
      </x:c>
      <x:c r="V282" s="6" t="n">
        <x:f>IF(ISBLANK(P282),IF(AND(ISNUMBER(N282),N282&gt;0,ISNUMBER(O282),O282&gt;=0,ISNUMBER(Q282),Q282&gt;=0,ISNUMBER(R282),R282&gt;=0,ISNUMBER(S282)),0,""),P282)</x:f>
        <x:v>0</x:v>
      </x:c>
      <x:c r="W282" s="7" t="n">
        <x:f>IF(ISBLANK(V282),"",N282*O282*(1-V282))</x:f>
        <x:v>8943.029999999999</x:v>
      </x:c>
      <x:c r="X282" s="7" t="n">
        <x:f>IF(OR(ISBLANK(W282),ISBLANK(R282)),"",W282-R282)</x:f>
        <x:v>3777.6499999999987</x:v>
      </x:c>
      <x:c r="Y282" s="8" t="n">
        <x:f>IF(OR(ISBLANK(W282),W282=0),"",X282/W282)</x:f>
        <x:v>0.42241276167026154</x:v>
      </x:c>
      <x:c r="Z282" s="9" t="n">
        <x:f>IF(OR(ISBLANK(B282),ISBLANK(C282)),"",C282-B282)</x:f>
        <x:v>3</x:v>
      </x:c>
      <x:c r="AA282" t="str">
        <x:f>IF(ISBLANK(B282),"",TEXT(B282,"mmm"))</x:f>
        <x:v>Dec</x:v>
      </x:c>
      <x:c r="AB282" s="9" t="n">
        <x:f>IF(ISBLANK(B282),"",YEAR(B282))</x:f>
        <x:v>2024</x:v>
      </x:c>
      <x:c r="AC282" s="10" t="str"/>
      <x:c r="AD282" t="str">
        <x:f>IF(AND(U282="Completed",T282="Paid",ISERROR(SEARCH("INVALID",AC282)),ISERROR(SEARCH("REVIEW",AC282))),"Include","Exclude")</x:f>
        <x:v>Include</x:v>
      </x:c>
      <x:c r="AE282" t="str">
        <x:f>IF(T282="Refunded","Refunded","")</x:f>
      </x:c>
    </x:row>
    <x:row r="283">
      <x:c r="A283" t="str">
        <x:v>ORD-2025-10282</x:v>
      </x:c>
      <x:c r="B283" s="5" t="n">
        <x:v>45863</x:v>
      </x:c>
      <x:c r="C283" s="5" t="n">
        <x:v>45865</x:v>
      </x:c>
      <x:c r="D283" t="str">
        <x:v>CUST-2052</x:v>
      </x:c>
      <x:c r="E283" t="str">
        <x:v>Kabir Singh</x:v>
      </x:c>
      <x:c r="F283" t="str">
        <x:v>Consumer</x:v>
      </x:c>
      <x:c r="G283" t="str">
        <x:v>East</x:v>
      </x:c>
      <x:c r="H283" t="str">
        <x:v>Jharkhand</x:v>
      </x:c>
      <x:c r="I283" t="str">
        <x:v>Ranchi</x:v>
      </x:c>
      <x:c r="J283" t="str">
        <x:v>Office Supplies</x:v>
      </x:c>
      <x:c r="K283" t="str">
        <x:v>Binders</x:v>
      </x:c>
      <x:c r="L283" t="str">
        <x:v>Basic Binders 637</x:v>
      </x:c>
      <x:c r="M283" t="str">
        <x:v>Second Class</x:v>
      </x:c>
      <x:c r="N283" t="n">
        <x:v>6</x:v>
      </x:c>
      <x:c r="O283" s="7" t="n">
        <x:v>3438.38</x:v>
      </x:c>
      <x:c r="P283" s="6" t="n">
        <x:v>0.2</x:v>
      </x:c>
      <x:c r="Q283" s="7" t="n">
        <x:v>16504.22</x:v>
      </x:c>
      <x:c r="R283" s="7" t="n">
        <x:v>11262.71</x:v>
      </x:c>
      <x:c r="S283" s="7" t="n">
        <x:v>5241.51</x:v>
      </x:c>
      <x:c r="T283" t="str">
        <x:v>Paid</x:v>
      </x:c>
      <x:c r="U283" t="str">
        <x:v>Completed</x:v>
      </x:c>
      <x:c r="V283" s="6" t="n">
        <x:f>IF(ISBLANK(P283),IF(AND(ISNUMBER(N283),N283&gt;0,ISNUMBER(O283),O283&gt;=0,ISNUMBER(Q283),Q283&gt;=0,ISNUMBER(R283),R283&gt;=0,ISNUMBER(S283)),0,""),P283)</x:f>
        <x:v>0.2</x:v>
      </x:c>
      <x:c r="W283" s="7" t="n">
        <x:f>IF(ISBLANK(V283),"",N283*O283*(1-V283))</x:f>
        <x:v>16504.224</x:v>
      </x:c>
      <x:c r="X283" s="7" t="n">
        <x:f>IF(OR(ISBLANK(W283),ISBLANK(R283)),"",W283-R283)</x:f>
        <x:v>5241.513999999999</x:v>
      </x:c>
      <x:c r="Y283" s="8" t="n">
        <x:f>IF(OR(ISBLANK(W283),W283=0),"",X283/W283)</x:f>
        <x:v>0.3175862130809664</x:v>
      </x:c>
      <x:c r="Z283" s="9" t="n">
        <x:f>IF(OR(ISBLANK(B283),ISBLANK(C283)),"",C283-B283)</x:f>
        <x:v>2</x:v>
      </x:c>
      <x:c r="AA283" t="str">
        <x:f>IF(ISBLANK(B283),"",TEXT(B283,"mmm"))</x:f>
        <x:v>Jul</x:v>
      </x:c>
      <x:c r="AB283" s="9" t="n">
        <x:f>IF(ISBLANK(B283),"",YEAR(B283))</x:f>
        <x:v>2025</x:v>
      </x:c>
      <x:c r="AC283" s="10" t="str"/>
      <x:c r="AD283" t="str">
        <x:f>IF(AND(U283="Completed",T283="Paid",ISERROR(SEARCH("INVALID",AC283)),ISERROR(SEARCH("REVIEW",AC283))),"Include","Exclude")</x:f>
        <x:v>Include</x:v>
      </x:c>
      <x:c r="AE283" t="str">
        <x:f>IF(T283="Refunded","Refunded","")</x:f>
      </x:c>
    </x:row>
    <x:row r="284">
      <x:c r="A284" t="str">
        <x:v>ORD-2024-10283</x:v>
      </x:c>
      <x:c r="B284" s="5" t="n">
        <x:v>45566</x:v>
      </x:c>
      <x:c r="C284" s="5" t="n">
        <x:v>45567</x:v>
      </x:c>
      <x:c r="D284" t="str">
        <x:v>CUST-9445</x:v>
      </x:c>
      <x:c r="E284" t="str">
        <x:v>Karan Malhotra</x:v>
      </x:c>
      <x:c r="F284" t="str">
        <x:v>Home Office</x:v>
      </x:c>
      <x:c r="G284" t="str">
        <x:v>East</x:v>
      </x:c>
      <x:c r="H284" t="str">
        <x:v>Assam</x:v>
      </x:c>
      <x:c r="I284" t="str">
        <x:v>Guwahati</x:v>
      </x:c>
      <x:c r="J284" t="str">
        <x:v>Furniture</x:v>
      </x:c>
      <x:c r="K284" t="str">
        <x:v>Tables</x:v>
      </x:c>
      <x:c r="L284" t="str">
        <x:v>Classic Tables 811</x:v>
      </x:c>
      <x:c r="M284" t="str">
        <x:v>Second Class</x:v>
      </x:c>
      <x:c r="N284" t="n">
        <x:v>2</x:v>
      </x:c>
      <x:c r="O284" s="7" t="n">
        <x:v>2298</x:v>
      </x:c>
      <x:c r="P284" s="6" t="n">
        <x:v>0</x:v>
      </x:c>
      <x:c r="Q284" s="7" t="n">
        <x:v>4596</x:v>
      </x:c>
      <x:c r="R284" s="7" t="n">
        <x:v>3220.33</x:v>
      </x:c>
      <x:c r="S284" s="7" t="n">
        <x:v>1375.67</x:v>
      </x:c>
      <x:c r="T284" t="str">
        <x:v>Paid</x:v>
      </x:c>
      <x:c r="U284" t="str">
        <x:v>Completed</x:v>
      </x:c>
      <x:c r="V284" s="6" t="n">
        <x:f>IF(ISBLANK(P284),IF(AND(ISNUMBER(N284),N284&gt;0,ISNUMBER(O284),O284&gt;=0,ISNUMBER(Q284),Q284&gt;=0,ISNUMBER(R284),R284&gt;=0,ISNUMBER(S284)),0,""),P284)</x:f>
        <x:v>0</x:v>
      </x:c>
      <x:c r="W284" s="7" t="n">
        <x:f>IF(ISBLANK(V284),"",N284*O284*(1-V284))</x:f>
        <x:v>4596</x:v>
      </x:c>
      <x:c r="X284" s="7" t="n">
        <x:f>IF(OR(ISBLANK(W284),ISBLANK(R284)),"",W284-R284)</x:f>
        <x:v>1375.67</x:v>
      </x:c>
      <x:c r="Y284" s="8" t="n">
        <x:f>IF(OR(ISBLANK(W284),W284=0),"",X284/W284)</x:f>
        <x:v>0.2993189730200174</x:v>
      </x:c>
      <x:c r="Z284" s="9" t="n">
        <x:f>IF(OR(ISBLANK(B284),ISBLANK(C284)),"",C284-B284)</x:f>
        <x:v>1</x:v>
      </x:c>
      <x:c r="AA284" t="str">
        <x:f>IF(ISBLANK(B284),"",TEXT(B284,"mmm"))</x:f>
        <x:v>Oct</x:v>
      </x:c>
      <x:c r="AB284" s="9" t="n">
        <x:f>IF(ISBLANK(B284),"",YEAR(B284))</x:f>
        <x:v>2024</x:v>
      </x:c>
      <x:c r="AC284" s="10" t="str"/>
      <x:c r="AD284" t="str">
        <x:f>IF(AND(U284="Completed",T284="Paid",ISERROR(SEARCH("INVALID",AC284)),ISERROR(SEARCH("REVIEW",AC284))),"Include","Exclude")</x:f>
        <x:v>Include</x:v>
      </x:c>
      <x:c r="AE284" t="str">
        <x:f>IF(T284="Refunded","Refunded","")</x:f>
      </x:c>
    </x:row>
    <x:row r="285">
      <x:c r="A285" t="str">
        <x:v>ORD-2025-10284</x:v>
      </x:c>
      <x:c r="B285" s="5" t="n">
        <x:v>45729</x:v>
      </x:c>
      <x:c r="C285" s="5" t="n">
        <x:v>45736</x:v>
      </x:c>
      <x:c r="D285" t="str">
        <x:v>CUST-6568</x:v>
      </x:c>
      <x:c r="E285" t="str">
        <x:v>Vikram Iyer</x:v>
      </x:c>
      <x:c r="F285" t="str">
        <x:v>Consumer</x:v>
      </x:c>
      <x:c r="G285" t="str">
        <x:v>West</x:v>
      </x:c>
      <x:c r="H285" t="str">
        <x:v>Maharashtra</x:v>
      </x:c>
      <x:c r="I285" t="str">
        <x:v>Mumbai</x:v>
      </x:c>
      <x:c r="J285" t="str">
        <x:v>Furniture</x:v>
      </x:c>
      <x:c r="K285" t="str">
        <x:v>Furnishings</x:v>
      </x:c>
      <x:c r="L285" t="str">
        <x:v>Classic Furnishings 819</x:v>
      </x:c>
      <x:c r="M285" t="str">
        <x:v>First Class</x:v>
      </x:c>
      <x:c r="N285" t="n">
        <x:v>1</x:v>
      </x:c>
      <x:c r="O285" s="7" t="n">
        <x:v>1814.01</x:v>
      </x:c>
      <x:c r="P285" s="6" t="n">
        <x:v>0</x:v>
      </x:c>
      <x:c r="Q285" s="7" t="n">
        <x:v>1814.01</x:v>
      </x:c>
      <x:c r="R285" s="7" t="n">
        <x:v>1033.47</x:v>
      </x:c>
      <x:c r="S285" s="7" t="n">
        <x:v>780.54</x:v>
      </x:c>
      <x:c r="T285" t="str">
        <x:v>Paid</x:v>
      </x:c>
      <x:c r="U285" t="str">
        <x:v>Completed</x:v>
      </x:c>
      <x:c r="V285" s="6" t="n">
        <x:f>IF(ISBLANK(P285),IF(AND(ISNUMBER(N285),N285&gt;0,ISNUMBER(O285),O285&gt;=0,ISNUMBER(Q285),Q285&gt;=0,ISNUMBER(R285),R285&gt;=0,ISNUMBER(S285)),0,""),P285)</x:f>
        <x:v>0</x:v>
      </x:c>
      <x:c r="W285" s="7" t="n">
        <x:f>IF(ISBLANK(V285),"",N285*O285*(1-V285))</x:f>
        <x:v>1814.01</x:v>
      </x:c>
      <x:c r="X285" s="7" t="n">
        <x:f>IF(OR(ISBLANK(W285),ISBLANK(R285)),"",W285-R285)</x:f>
        <x:v>780.54</x:v>
      </x:c>
      <x:c r="Y285" s="8" t="n">
        <x:f>IF(OR(ISBLANK(W285),W285=0),"",X285/W285)</x:f>
        <x:v>0.4302842872972034</x:v>
      </x:c>
      <x:c r="Z285" s="9" t="n">
        <x:f>IF(OR(ISBLANK(B285),ISBLANK(C285)),"",C285-B285)</x:f>
        <x:v>7</x:v>
      </x:c>
      <x:c r="AA285" t="str">
        <x:f>IF(ISBLANK(B285),"",TEXT(B285,"mmm"))</x:f>
        <x:v>Mar</x:v>
      </x:c>
      <x:c r="AB285" s="9" t="n">
        <x:f>IF(ISBLANK(B285),"",YEAR(B285))</x:f>
        <x:v>2025</x:v>
      </x:c>
      <x:c r="AC285" s="10" t="str"/>
      <x:c r="AD285" t="str">
        <x:f>IF(AND(U285="Completed",T285="Paid",ISERROR(SEARCH("INVALID",AC285)),ISERROR(SEARCH("REVIEW",AC285))),"Include","Exclude")</x:f>
        <x:v>Include</x:v>
      </x:c>
      <x:c r="AE285" t="str">
        <x:f>IF(T285="Refunded","Refunded","")</x:f>
      </x:c>
    </x:row>
    <x:row r="286">
      <x:c r="A286" t="str">
        <x:v>ORD-2024-10285</x:v>
      </x:c>
      <x:c r="B286" s="5" t="n">
        <x:v>45634</x:v>
      </x:c>
      <x:c r="C286" s="5" t="n">
        <x:v>45640</x:v>
      </x:c>
      <x:c r="D286" t="str">
        <x:v>CUST-2076</x:v>
      </x:c>
      <x:c r="E286" t="str">
        <x:v>Karan Malhotra</x:v>
      </x:c>
      <x:c r="F286" t="str">
        <x:v>Consumer</x:v>
      </x:c>
      <x:c r="G286" t="str">
        <x:v>East</x:v>
      </x:c>
      <x:c r="H286" t="str">
        <x:v>Odisha</x:v>
      </x:c>
      <x:c r="I286" t="str">
        <x:v>Bhubaneswar</x:v>
      </x:c>
      <x:c r="J286" t="str">
        <x:v>Furniture</x:v>
      </x:c>
      <x:c r="K286" t="str">
        <x:v>Tables</x:v>
      </x:c>
      <x:c r="L286" t="str">
        <x:v>Prime Tables 542</x:v>
      </x:c>
      <x:c r="M286" t="str">
        <x:v>Same Day</x:v>
      </x:c>
      <x:c r="N286" t="n">
        <x:v>3</x:v>
      </x:c>
      <x:c r="O286" s="7" t="n">
        <x:v>1576.92</x:v>
      </x:c>
      <x:c r="P286" s="6" t="n">
        <x:v>0</x:v>
      </x:c>
      <x:c r="Q286" s="7" t="n">
        <x:v>4730.76</x:v>
      </x:c>
      <x:c r="R286" s="7" t="n">
        <x:v>3139.73</x:v>
      </x:c>
      <x:c r="S286" s="7" t="n">
        <x:v>1591.03</x:v>
      </x:c>
      <x:c r="T286" t="str">
        <x:v>Paid</x:v>
      </x:c>
      <x:c r="U286" t="str">
        <x:v>Returned</x:v>
      </x:c>
      <x:c r="V286" s="6" t="n">
        <x:f>IF(ISBLANK(P286),IF(AND(ISNUMBER(N286),N286&gt;0,ISNUMBER(O286),O286&gt;=0,ISNUMBER(Q286),Q286&gt;=0,ISNUMBER(R286),R286&gt;=0,ISNUMBER(S286)),0,""),P286)</x:f>
        <x:v>0</x:v>
      </x:c>
      <x:c r="W286" s="7" t="n">
        <x:f>IF(ISBLANK(V286),"",N286*O286*(1-V286))</x:f>
        <x:v>4730.76</x:v>
      </x:c>
      <x:c r="X286" s="7" t="n">
        <x:f>IF(OR(ISBLANK(W286),ISBLANK(R286)),"",W286-R286)</x:f>
        <x:v>1591.0300000000002</x:v>
      </x:c>
      <x:c r="Y286" s="8" t="n">
        <x:f>IF(OR(ISBLANK(W286),W286=0),"",X286/W286)</x:f>
        <x:v>0.33631594077907145</x:v>
      </x:c>
      <x:c r="Z286" s="9" t="n">
        <x:f>IF(OR(ISBLANK(B286),ISBLANK(C286)),"",C286-B286)</x:f>
        <x:v>6</x:v>
      </x:c>
      <x:c r="AA286" t="str">
        <x:f>IF(ISBLANK(B286),"",TEXT(B286,"mmm"))</x:f>
        <x:v>Dec</x:v>
      </x:c>
      <x:c r="AB286" s="9" t="n">
        <x:f>IF(ISBLANK(B286),"",YEAR(B286))</x:f>
        <x:v>2024</x:v>
      </x:c>
      <x:c r="AC286" s="10" t="str"/>
      <x:c r="AD286" t="str">
        <x:f>IF(AND(U286="Completed",T286="Paid",ISERROR(SEARCH("INVALID",AC286)),ISERROR(SEARCH("REVIEW",AC286))),"Include","Exclude")</x:f>
        <x:v>Exclude</x:v>
      </x:c>
      <x:c r="AE286" t="str">
        <x:f>IF(T286="Refunded","Refunded","")</x:f>
      </x:c>
    </x:row>
    <x:row r="287">
      <x:c r="A287" t="str">
        <x:v>ORD-2025-10286</x:v>
      </x:c>
      <x:c r="B287" s="5" t="n">
        <x:v>45884</x:v>
      </x:c>
      <x:c r="C287" s="5" t="n">
        <x:v>45889</x:v>
      </x:c>
      <x:c r="D287" t="str">
        <x:v>CUST-5610</x:v>
      </x:c>
      <x:c r="E287" t="str">
        <x:v>Neha Gupta</x:v>
      </x:c>
      <x:c r="F287" t="str">
        <x:v>Home Office</x:v>
      </x:c>
      <x:c r="G287" t="str">
        <x:v>North</x:v>
      </x:c>
      <x:c r="H287" t="str">
        <x:v>Rajasthan</x:v>
      </x:c>
      <x:c r="I287" t="str">
        <x:v>Jaipur</x:v>
      </x:c>
      <x:c r="J287" t="str">
        <x:v>Office Supplies</x:v>
      </x:c>
      <x:c r="K287" t="str">
        <x:v>Storage</x:v>
      </x:c>
      <x:c r="L287" t="str">
        <x:v>Basic Storage 771</x:v>
      </x:c>
      <x:c r="M287" t="str">
        <x:v>Standard Class</x:v>
      </x:c>
      <x:c r="N287" t="n">
        <x:v>9</x:v>
      </x:c>
      <x:c r="O287" s="7" t="n">
        <x:v>4081.77</x:v>
      </x:c>
      <x:c r="P287" s="6" t="n">
        <x:v>0</x:v>
      </x:c>
      <x:c r="Q287" s="7" t="n">
        <x:v>36735.93</x:v>
      </x:c>
      <x:c r="R287" s="7" t="n">
        <x:v>30820.84</x:v>
      </x:c>
      <x:c r="S287" s="7" t="n">
        <x:v>5915.09</x:v>
      </x:c>
      <x:c r="T287" t="str">
        <x:v>Paid</x:v>
      </x:c>
      <x:c r="U287" t="str">
        <x:v>Completed</x:v>
      </x:c>
      <x:c r="V287" s="6" t="n">
        <x:f>IF(ISBLANK(P287),IF(AND(ISNUMBER(N287),N287&gt;0,ISNUMBER(O287),O287&gt;=0,ISNUMBER(Q287),Q287&gt;=0,ISNUMBER(R287),R287&gt;=0,ISNUMBER(S287)),0,""),P287)</x:f>
        <x:v>0</x:v>
      </x:c>
      <x:c r="W287" s="7" t="n">
        <x:f>IF(ISBLANK(V287),"",N287*O287*(1-V287))</x:f>
        <x:v>36735.93</x:v>
      </x:c>
      <x:c r="X287" s="7" t="n">
        <x:f>IF(OR(ISBLANK(W287),ISBLANK(R287)),"",W287-R287)</x:f>
        <x:v>5915.09</x:v>
      </x:c>
      <x:c r="Y287" s="8" t="n">
        <x:f>IF(OR(ISBLANK(W287),W287=0),"",X287/W287)</x:f>
        <x:v>0.16101647624001897</x:v>
      </x:c>
      <x:c r="Z287" s="9" t="n">
        <x:f>IF(OR(ISBLANK(B287),ISBLANK(C287)),"",C287-B287)</x:f>
        <x:v>5</x:v>
      </x:c>
      <x:c r="AA287" t="str">
        <x:f>IF(ISBLANK(B287),"",TEXT(B287,"mmm"))</x:f>
        <x:v>Aug</x:v>
      </x:c>
      <x:c r="AB287" s="9" t="n">
        <x:f>IF(ISBLANK(B287),"",YEAR(B287))</x:f>
        <x:v>2025</x:v>
      </x:c>
      <x:c r="AC287" s="10" t="str"/>
      <x:c r="AD287" t="str">
        <x:f>IF(AND(U287="Completed",T287="Paid",ISERROR(SEARCH("INVALID",AC287)),ISERROR(SEARCH("REVIEW",AC287))),"Include","Exclude")</x:f>
        <x:v>Include</x:v>
      </x:c>
      <x:c r="AE287" t="str">
        <x:f>IF(T287="Refunded","Refunded","")</x:f>
      </x:c>
    </x:row>
    <x:row r="288">
      <x:c r="A288" t="str">
        <x:v>ORD-2024-10287</x:v>
      </x:c>
      <x:c r="B288" s="5" t="n">
        <x:v>45350</x:v>
      </x:c>
      <x:c r="C288" s="5" t="n">
        <x:v>45353</x:v>
      </x:c>
      <x:c r="D288" t="str">
        <x:v>CUST-5823</x:v>
      </x:c>
      <x:c r="E288" t="str">
        <x:v>Priya Menon</x:v>
      </x:c>
      <x:c r="F288" t="str">
        <x:v>Small Business</x:v>
      </x:c>
      <x:c r="G288" t="str">
        <x:v>North</x:v>
      </x:c>
      <x:c r="H288" t="str">
        <x:v>Delhi</x:v>
      </x:c>
      <x:c r="I288" t="str">
        <x:v>New Delhi</x:v>
      </x:c>
      <x:c r="J288" t="str">
        <x:v>Furniture</x:v>
      </x:c>
      <x:c r="K288" t="str">
        <x:v>Furnishings</x:v>
      </x:c>
      <x:c r="L288" t="str">
        <x:v>Pro Furnishings 848</x:v>
      </x:c>
      <x:c r="M288" t="str">
        <x:v>First Class</x:v>
      </x:c>
      <x:c r="N288" t="n">
        <x:v>7</x:v>
      </x:c>
      <x:c r="O288" s="7" t="n">
        <x:v>701.8</x:v>
      </x:c>
      <x:c r="P288" s="6" t="n">
        <x:v>0.1</x:v>
      </x:c>
      <x:c r="Q288" s="7" t="n">
        <x:v>4421.34</x:v>
      </x:c>
      <x:c r="R288" s="7" t="n">
        <x:v>2489.98</x:v>
      </x:c>
      <x:c r="S288" s="7" t="n">
        <x:v>1931.36</x:v>
      </x:c>
      <x:c r="T288" t="str">
        <x:v>Pending</x:v>
      </x:c>
      <x:c r="U288" t="str">
        <x:v>Returned</x:v>
      </x:c>
      <x:c r="V288" s="6" t="n">
        <x:f>IF(ISBLANK(P288),IF(AND(ISNUMBER(N288),N288&gt;0,ISNUMBER(O288),O288&gt;=0,ISNUMBER(Q288),Q288&gt;=0,ISNUMBER(R288),R288&gt;=0,ISNUMBER(S288)),0,""),P288)</x:f>
        <x:v>0.1</x:v>
      </x:c>
      <x:c r="W288" s="7" t="n">
        <x:f>IF(ISBLANK(V288),"",N288*O288*(1-V288))</x:f>
        <x:v>4421.339999999999</x:v>
      </x:c>
      <x:c r="X288" s="7" t="n">
        <x:f>IF(OR(ISBLANK(W288),ISBLANK(R288)),"",W288-R288)</x:f>
        <x:v>1931.3599999999992</x:v>
      </x:c>
      <x:c r="Y288" s="8" t="n">
        <x:f>IF(OR(ISBLANK(W288),W288=0),"",X288/W288)</x:f>
        <x:v>0.43682684435035524</x:v>
      </x:c>
      <x:c r="Z288" s="9" t="n">
        <x:f>IF(OR(ISBLANK(B288),ISBLANK(C288)),"",C288-B288)</x:f>
        <x:v>3</x:v>
      </x:c>
      <x:c r="AA288" t="str">
        <x:f>IF(ISBLANK(B288),"",TEXT(B288,"mmm"))</x:f>
        <x:v>Feb</x:v>
      </x:c>
      <x:c r="AB288" s="9" t="n">
        <x:f>IF(ISBLANK(B288),"",YEAR(B288))</x:f>
        <x:v>2024</x:v>
      </x:c>
      <x:c r="AC288" s="10" t="str"/>
      <x:c r="AD288" t="str">
        <x:f>IF(AND(U288="Completed",T288="Paid",ISERROR(SEARCH("INVALID",AC288)),ISERROR(SEARCH("REVIEW",AC288))),"Include","Exclude")</x:f>
        <x:v>Exclude</x:v>
      </x:c>
      <x:c r="AE288" t="str">
        <x:f>IF(T288="Refunded","Refunded","")</x:f>
      </x:c>
    </x:row>
    <x:row r="289">
      <x:c r="A289" t="str">
        <x:v>ORD-2024-10288</x:v>
      </x:c>
      <x:c r="B289" s="5" t="n">
        <x:v>45540</x:v>
      </x:c>
      <x:c r="C289" s="5" t="n">
        <x:v>45542</x:v>
      </x:c>
      <x:c r="D289" t="str">
        <x:v>CUST-7095</x:v>
      </x:c>
      <x:c r="E289" t="str">
        <x:v>Neha Gupta</x:v>
      </x:c>
      <x:c r="F289" t="str">
        <x:v>Small Business</x:v>
      </x:c>
      <x:c r="G289" t="str">
        <x:v>South</x:v>
      </x:c>
      <x:c r="H289" t="str">
        <x:v>Tamil Nadu</x:v>
      </x:c>
      <x:c r="I289" t="str">
        <x:v>Chennai</x:v>
      </x:c>
      <x:c r="J289" t="str">
        <x:v>Technology</x:v>
      </x:c>
      <x:c r="K289" t="str">
        <x:v>Copiers</x:v>
      </x:c>
      <x:c r="L289" t="str">
        <x:v>Prime Copiers 924</x:v>
      </x:c>
      <x:c r="M289" t="str">
        <x:v>Standard Class</x:v>
      </x:c>
      <x:c r="N289" t="n">
        <x:v>3</x:v>
      </x:c>
      <x:c r="O289" s="7" t="n">
        <x:v>2555.66</x:v>
      </x:c>
      <x:c r="P289" s="6" t="n">
        <x:v>0.15</x:v>
      </x:c>
      <x:c r="Q289" s="7" t="n">
        <x:v>6516.93</x:v>
      </x:c>
      <x:c r="R289" s="7" t="n">
        <x:v>4511.54</x:v>
      </x:c>
      <x:c r="S289" s="7" t="n">
        <x:v>2005.39</x:v>
      </x:c>
      <x:c r="T289" t="str">
        <x:v>Paid</x:v>
      </x:c>
      <x:c r="U289" t="str">
        <x:v>Cancelled</x:v>
      </x:c>
      <x:c r="V289" s="6" t="n">
        <x:f>IF(ISBLANK(P289),IF(AND(ISNUMBER(N289),N289&gt;0,ISNUMBER(O289),O289&gt;=0,ISNUMBER(Q289),Q289&gt;=0,ISNUMBER(R289),R289&gt;=0,ISNUMBER(S289)),0,""),P289)</x:f>
        <x:v>0.15</x:v>
      </x:c>
      <x:c r="W289" s="7" t="n">
        <x:f>IF(ISBLANK(V289),"",N289*O289*(1-V289))</x:f>
        <x:v>6516.932999999999</x:v>
      </x:c>
      <x:c r="X289" s="7" t="n">
        <x:f>IF(OR(ISBLANK(W289),ISBLANK(R289)),"",W289-R289)</x:f>
        <x:v>2005.3929999999991</x:v>
      </x:c>
      <x:c r="Y289" s="8" t="n">
        <x:f>IF(OR(ISBLANK(W289),W289=0),"",X289/W289)</x:f>
        <x:v>0.3077203647789534</x:v>
      </x:c>
      <x:c r="Z289" s="9" t="n">
        <x:f>IF(OR(ISBLANK(B289),ISBLANK(C289)),"",C289-B289)</x:f>
        <x:v>2</x:v>
      </x:c>
      <x:c r="AA289" t="str">
        <x:f>IF(ISBLANK(B289),"",TEXT(B289,"mmm"))</x:f>
        <x:v>Sep</x:v>
      </x:c>
      <x:c r="AB289" s="9" t="n">
        <x:f>IF(ISBLANK(B289),"",YEAR(B289))</x:f>
        <x:v>2024</x:v>
      </x:c>
      <x:c r="AC289" s="10" t="str">
        <x:v>EXCLUDE: Cancelled order</x:v>
      </x:c>
      <x:c r="AD289" t="str">
        <x:f>IF(AND(U289="Completed",T289="Paid",ISERROR(SEARCH("INVALID",AC289)),ISERROR(SEARCH("REVIEW",AC289))),"Include","Exclude")</x:f>
        <x:v>Exclude</x:v>
      </x:c>
      <x:c r="AE289" t="str">
        <x:f>IF(T289="Refunded","Refunded","")</x:f>
      </x:c>
    </x:row>
    <x:row r="290">
      <x:c r="A290" t="str">
        <x:v>ORD-2024-10289</x:v>
      </x:c>
      <x:c r="B290" s="5" t="n">
        <x:v>45467</x:v>
      </x:c>
      <x:c r="C290" s="5" t="n">
        <x:v>45467</x:v>
      </x:c>
      <x:c r="D290" t="str">
        <x:v>CUST-4805</x:v>
      </x:c>
      <x:c r="E290" t="str">
        <x:v>Rohan Mehta</x:v>
      </x:c>
      <x:c r="F290" t="str">
        <x:v>Small Business</x:v>
      </x:c>
      <x:c r="G290" t="str">
        <x:v>East</x:v>
      </x:c>
      <x:c r="H290" t="str">
        <x:v>Bihar</x:v>
      </x:c>
      <x:c r="I290" t="str">
        <x:v>Patna</x:v>
      </x:c>
      <x:c r="J290" t="str">
        <x:v>Office Supplies</x:v>
      </x:c>
      <x:c r="K290" t="str">
        <x:v>Binders</x:v>
      </x:c>
      <x:c r="L290" t="str">
        <x:v>Classic Binders 721</x:v>
      </x:c>
      <x:c r="M290" t="str">
        <x:v>Same Day</x:v>
      </x:c>
      <x:c r="N290" t="n">
        <x:v>2</x:v>
      </x:c>
      <x:c r="O290" s="7" t="n">
        <x:v>4359.9</x:v>
      </x:c>
      <x:c r="P290" s="6" t="n">
        <x:v>0.15</x:v>
      </x:c>
      <x:c r="Q290" s="7" t="n">
        <x:v>7411.83</x:v>
      </x:c>
      <x:c r="R290" s="7" t="n">
        <x:v>4904.63</x:v>
      </x:c>
      <x:c r="S290" s="7" t="n">
        <x:v>2507.2</x:v>
      </x:c>
      <x:c r="T290" t="str">
        <x:v>Paid</x:v>
      </x:c>
      <x:c r="U290" t="str">
        <x:v>Completed</x:v>
      </x:c>
      <x:c r="V290" s="6" t="n">
        <x:f>IF(ISBLANK(P290),IF(AND(ISNUMBER(N290),N290&gt;0,ISNUMBER(O290),O290&gt;=0,ISNUMBER(Q290),Q290&gt;=0,ISNUMBER(R290),R290&gt;=0,ISNUMBER(S290)),0,""),P290)</x:f>
        <x:v>0.15</x:v>
      </x:c>
      <x:c r="W290" s="7" t="n">
        <x:f>IF(ISBLANK(V290),"",N290*O290*(1-V290))</x:f>
        <x:v>7411.829999999999</x:v>
      </x:c>
      <x:c r="X290" s="7" t="n">
        <x:f>IF(OR(ISBLANK(W290),ISBLANK(R290)),"",W290-R290)</x:f>
        <x:v>2507.199999999999</x:v>
      </x:c>
      <x:c r="Y290" s="8" t="n">
        <x:f>IF(OR(ISBLANK(W290),W290=0),"",X290/W290)</x:f>
        <x:v>0.3382700358750807</x:v>
      </x:c>
      <x:c r="Z290" s="9" t="n">
        <x:f>IF(OR(ISBLANK(B290),ISBLANK(C290)),"",C290-B290)</x:f>
        <x:v>0</x:v>
      </x:c>
      <x:c r="AA290" t="str">
        <x:f>IF(ISBLANK(B290),"",TEXT(B290,"mmm"))</x:f>
        <x:v>Jun</x:v>
      </x:c>
      <x:c r="AB290" s="9" t="n">
        <x:f>IF(ISBLANK(B290),"",YEAR(B290))</x:f>
        <x:v>2024</x:v>
      </x:c>
      <x:c r="AC290" s="10" t="str"/>
      <x:c r="AD290" t="str">
        <x:f>IF(AND(U290="Completed",T290="Paid",ISERROR(SEARCH("INVALID",AC290)),ISERROR(SEARCH("REVIEW",AC290))),"Include","Exclude")</x:f>
        <x:v>Include</x:v>
      </x:c>
      <x:c r="AE290" t="str">
        <x:f>IF(T290="Refunded","Refunded","")</x:f>
      </x:c>
    </x:row>
    <x:row r="291">
      <x:c r="A291" t="str">
        <x:v>ORD-2025-10290</x:v>
      </x:c>
      <x:c r="B291" s="5" t="n">
        <x:v>45827</x:v>
      </x:c>
      <x:c r="C291" s="5" t="n">
        <x:v>45835</x:v>
      </x:c>
      <x:c r="D291" t="str">
        <x:v>CUST-9114</x:v>
      </x:c>
      <x:c r="E291" t="str">
        <x:v>Karan Malhotra</x:v>
      </x:c>
      <x:c r="F291" t="str">
        <x:v>Home Office</x:v>
      </x:c>
      <x:c r="G291" t="str">
        <x:v>South</x:v>
      </x:c>
      <x:c r="H291" t="str">
        <x:v>Tamil Nadu</x:v>
      </x:c>
      <x:c r="I291" t="str">
        <x:v>Chennai</x:v>
      </x:c>
      <x:c r="J291" t="str">
        <x:v>Furniture</x:v>
      </x:c>
      <x:c r="K291" t="str">
        <x:v>Bookcases</x:v>
      </x:c>
      <x:c r="L291" t="str">
        <x:v>Basic Bookcases 823</x:v>
      </x:c>
      <x:c r="M291" t="str">
        <x:v>First Class</x:v>
      </x:c>
      <x:c r="N291" t="n">
        <x:v>2</x:v>
      </x:c>
      <x:c r="O291" s="7" t="n">
        <x:v>4346.69</x:v>
      </x:c>
      <x:c r="P291" s="6" t="n">
        <x:v>0.05</x:v>
      </x:c>
      <x:c r="Q291" s="7" t="n">
        <x:v>8258.71</x:v>
      </x:c>
      <x:c r="R291" s="7" t="n">
        <x:v>7018.97</x:v>
      </x:c>
      <x:c r="S291" s="7" t="n">
        <x:v>1239.74</x:v>
      </x:c>
      <x:c r="T291" t="str">
        <x:v>Paid</x:v>
      </x:c>
      <x:c r="U291" t="str">
        <x:v>Completed</x:v>
      </x:c>
      <x:c r="V291" s="6" t="n">
        <x:f>IF(ISBLANK(P291),IF(AND(ISNUMBER(N291),N291&gt;0,ISNUMBER(O291),O291&gt;=0,ISNUMBER(Q291),Q291&gt;=0,ISNUMBER(R291),R291&gt;=0,ISNUMBER(S291)),0,""),P291)</x:f>
        <x:v>0.05</x:v>
      </x:c>
      <x:c r="W291" s="7" t="n">
        <x:f>IF(ISBLANK(V291),"",N291*O291*(1-V291))</x:f>
        <x:v>8258.711</x:v>
      </x:c>
      <x:c r="X291" s="7" t="n">
        <x:f>IF(OR(ISBLANK(W291),ISBLANK(R291)),"",W291-R291)</x:f>
        <x:v>1239.740999999999</x:v>
      </x:c>
      <x:c r="Y291" s="8" t="n">
        <x:f>IF(OR(ISBLANK(W291),W291=0),"",X291/W291)</x:f>
        <x:v>0.15011313508851432</x:v>
      </x:c>
      <x:c r="Z291" s="9" t="n">
        <x:f>IF(OR(ISBLANK(B291),ISBLANK(C291)),"",C291-B291)</x:f>
        <x:v>8</x:v>
      </x:c>
      <x:c r="AA291" t="str">
        <x:f>IF(ISBLANK(B291),"",TEXT(B291,"mmm"))</x:f>
        <x:v>Jun</x:v>
      </x:c>
      <x:c r="AB291" s="9" t="n">
        <x:f>IF(ISBLANK(B291),"",YEAR(B291))</x:f>
        <x:v>2025</x:v>
      </x:c>
      <x:c r="AC291" s="10" t="str"/>
      <x:c r="AD291" t="str">
        <x:f>IF(AND(U291="Completed",T291="Paid",ISERROR(SEARCH("INVALID",AC291)),ISERROR(SEARCH("REVIEW",AC291))),"Include","Exclude")</x:f>
        <x:v>Include</x:v>
      </x:c>
      <x:c r="AE291" t="str">
        <x:f>IF(T291="Refunded","Refunded","")</x:f>
      </x:c>
    </x:row>
    <x:row r="292">
      <x:c r="A292" t="str">
        <x:v>ORD-2025-10291</x:v>
      </x:c>
      <x:c r="B292" s="5" t="n">
        <x:v>45891</x:v>
      </x:c>
      <x:c r="C292" s="5" t="n">
        <x:v>45895</x:v>
      </x:c>
      <x:c r="D292" t="str">
        <x:v>CUST-8557</x:v>
      </x:c>
      <x:c r="E292" t="str">
        <x:v>Diya Patel</x:v>
      </x:c>
      <x:c r="F292" t="str">
        <x:v>Home Office</x:v>
      </x:c>
      <x:c r="G292" t="str">
        <x:v>East</x:v>
      </x:c>
      <x:c r="H292" t="str">
        <x:v>Jharkhand</x:v>
      </x:c>
      <x:c r="I292" t="str">
        <x:v>Ranchi</x:v>
      </x:c>
      <x:c r="J292" t="str">
        <x:v>Furniture</x:v>
      </x:c>
      <x:c r="K292" t="str">
        <x:v>Tables</x:v>
      </x:c>
      <x:c r="L292" t="str">
        <x:v>Classic Tables 178</x:v>
      </x:c>
      <x:c r="M292" t="str">
        <x:v>Standard Class</x:v>
      </x:c>
      <x:c r="N292" t="n">
        <x:v>1</x:v>
      </x:c>
      <x:c r="O292" s="7" t="n">
        <x:v>1842.63</x:v>
      </x:c>
      <x:c r="P292" s="6" t="n">
        <x:v>0.1</x:v>
      </x:c>
      <x:c r="Q292" s="7" t="n">
        <x:v>1658.37</x:v>
      </x:c>
      <x:c r="R292" s="7" t="n">
        <x:v>971.12</x:v>
      </x:c>
      <x:c r="S292" s="7" t="n">
        <x:v>687.25</x:v>
      </x:c>
      <x:c r="T292" t="str">
        <x:v>Paid</x:v>
      </x:c>
      <x:c r="U292" t="str">
        <x:v>Completed</x:v>
      </x:c>
      <x:c r="V292" s="6" t="n">
        <x:f>IF(ISBLANK(P292),IF(AND(ISNUMBER(N292),N292&gt;0,ISNUMBER(O292),O292&gt;=0,ISNUMBER(Q292),Q292&gt;=0,ISNUMBER(R292),R292&gt;=0,ISNUMBER(S292)),0,""),P292)</x:f>
        <x:v>0.1</x:v>
      </x:c>
      <x:c r="W292" s="7" t="n">
        <x:f>IF(ISBLANK(V292),"",N292*O292*(1-V292))</x:f>
        <x:v>1658.3670000000002</x:v>
      </x:c>
      <x:c r="X292" s="7" t="n">
        <x:f>IF(OR(ISBLANK(W292),ISBLANK(R292)),"",W292-R292)</x:f>
        <x:v>687.2470000000002</x:v>
      </x:c>
      <x:c r="Y292" s="8" t="n">
        <x:f>IF(OR(ISBLANK(W292),W292=0),"",X292/W292)</x:f>
        <x:v>0.4144118883214633</x:v>
      </x:c>
      <x:c r="Z292" s="9" t="n">
        <x:f>IF(OR(ISBLANK(B292),ISBLANK(C292)),"",C292-B292)</x:f>
        <x:v>4</x:v>
      </x:c>
      <x:c r="AA292" t="str">
        <x:f>IF(ISBLANK(B292),"",TEXT(B292,"mmm"))</x:f>
        <x:v>Aug</x:v>
      </x:c>
      <x:c r="AB292" s="9" t="n">
        <x:f>IF(ISBLANK(B292),"",YEAR(B292))</x:f>
        <x:v>2025</x:v>
      </x:c>
      <x:c r="AC292" s="10" t="str"/>
      <x:c r="AD292" t="str">
        <x:f>IF(AND(U292="Completed",T292="Paid",ISERROR(SEARCH("INVALID",AC292)),ISERROR(SEARCH("REVIEW",AC292))),"Include","Exclude")</x:f>
        <x:v>Include</x:v>
      </x:c>
      <x:c r="AE292" t="str">
        <x:f>IF(T292="Refunded","Refunded","")</x:f>
      </x:c>
    </x:row>
    <x:row r="293">
      <x:c r="A293" t="str">
        <x:v>ORD-2024-10292</x:v>
      </x:c>
      <x:c r="B293" s="5" t="n">
        <x:v>45387</x:v>
      </x:c>
      <x:c r="C293" s="5" t="n">
        <x:v>45392</x:v>
      </x:c>
      <x:c r="D293" t="str">
        <x:v>CUST-2860</x:v>
      </x:c>
      <x:c r="E293" t="str">
        <x:v>Priya Menon</x:v>
      </x:c>
      <x:c r="F293" t="str">
        <x:v>Home Office</x:v>
      </x:c>
      <x:c r="G293" t="str">
        <x:v>North</x:v>
      </x:c>
      <x:c r="H293" t="str">
        <x:v>Rajasthan</x:v>
      </x:c>
      <x:c r="I293" t="str">
        <x:v>Jaipur</x:v>
      </x:c>
      <x:c r="J293" t="str">
        <x:v>Office Supplies</x:v>
      </x:c>
      <x:c r="K293" t="str">
        <x:v>Binders</x:v>
      </x:c>
      <x:c r="L293" t="str">
        <x:v>Eco Binders 153</x:v>
      </x:c>
      <x:c r="M293" t="str">
        <x:v>Standard Class</x:v>
      </x:c>
      <x:c r="N293" t="n">
        <x:v>4</x:v>
      </x:c>
      <x:c r="O293" s="7" t="n">
        <x:v>3228.66</x:v>
      </x:c>
      <x:c r="P293" s="6" t="n">
        <x:v>0.25</x:v>
      </x:c>
      <x:c r="Q293" s="7" t="n">
        <x:v>9685.98</x:v>
      </x:c>
      <x:c r="R293" s="7" t="n">
        <x:v>7730.04</x:v>
      </x:c>
      <x:c r="S293" s="7" t="n">
        <x:v>1955.94</x:v>
      </x:c>
      <x:c r="T293" t="str">
        <x:v>Paid</x:v>
      </x:c>
      <x:c r="U293" t="str">
        <x:v>Completed</x:v>
      </x:c>
      <x:c r="V293" s="6" t="n">
        <x:f>IF(ISBLANK(P293),IF(AND(ISNUMBER(N293),N293&gt;0,ISNUMBER(O293),O293&gt;=0,ISNUMBER(Q293),Q293&gt;=0,ISNUMBER(R293),R293&gt;=0,ISNUMBER(S293)),0,""),P293)</x:f>
        <x:v>0.25</x:v>
      </x:c>
      <x:c r="W293" s="7" t="n">
        <x:f>IF(ISBLANK(V293),"",N293*O293*(1-V293))</x:f>
        <x:v>9685.98</x:v>
      </x:c>
      <x:c r="X293" s="7" t="n">
        <x:f>IF(OR(ISBLANK(W293),ISBLANK(R293)),"",W293-R293)</x:f>
        <x:v>1955.9399999999996</x:v>
      </x:c>
      <x:c r="Y293" s="8" t="n">
        <x:f>IF(OR(ISBLANK(W293),W293=0),"",X293/W293)</x:f>
        <x:v>0.20193516815025425</x:v>
      </x:c>
      <x:c r="Z293" s="9" t="n">
        <x:f>IF(OR(ISBLANK(B293),ISBLANK(C293)),"",C293-B293)</x:f>
        <x:v>5</x:v>
      </x:c>
      <x:c r="AA293" t="str">
        <x:f>IF(ISBLANK(B293),"",TEXT(B293,"mmm"))</x:f>
        <x:v>Apr</x:v>
      </x:c>
      <x:c r="AB293" s="9" t="n">
        <x:f>IF(ISBLANK(B293),"",YEAR(B293))</x:f>
        <x:v>2024</x:v>
      </x:c>
      <x:c r="AC293" s="10" t="str"/>
      <x:c r="AD293" t="str">
        <x:f>IF(AND(U293="Completed",T293="Paid",ISERROR(SEARCH("INVALID",AC293)),ISERROR(SEARCH("REVIEW",AC293))),"Include","Exclude")</x:f>
        <x:v>Include</x:v>
      </x:c>
      <x:c r="AE293" t="str">
        <x:f>IF(T293="Refunded","Refunded","")</x:f>
      </x:c>
    </x:row>
    <x:row r="294">
      <x:c r="A294" t="str">
        <x:v>ORD-2025-10293</x:v>
      </x:c>
      <x:c r="B294" s="5" t="n">
        <x:v>45716</x:v>
      </x:c>
      <x:c r="C294" s="5" t="n">
        <x:v>45719</x:v>
      </x:c>
      <x:c r="D294" t="str">
        <x:v>CUST-7837</x:v>
      </x:c>
      <x:c r="E294" t="str">
        <x:v>Kabir Singh</x:v>
      </x:c>
      <x:c r="F294" t="str">
        <x:v>Home Office</x:v>
      </x:c>
      <x:c r="G294" t="str">
        <x:v>North</x:v>
      </x:c>
      <x:c r="H294" t="str">
        <x:v>Haryana</x:v>
      </x:c>
      <x:c r="I294" t="str">
        <x:v>Gurugram</x:v>
      </x:c>
      <x:c r="J294" t="str">
        <x:v>Office Supplies</x:v>
      </x:c>
      <x:c r="K294" t="str">
        <x:v>Art</x:v>
      </x:c>
      <x:c r="L294" t="str">
        <x:v>Classic Art 183</x:v>
      </x:c>
      <x:c r="M294" t="str">
        <x:v>Same Day</x:v>
      </x:c>
      <x:c r="N294" t="n">
        <x:v>9</x:v>
      </x:c>
      <x:c r="O294" s="7" t="n">
        <x:v>3748.95</x:v>
      </x:c>
      <x:c r="P294" s="6" t="n">
        <x:v>0</x:v>
      </x:c>
      <x:c r="Q294" s="7" t="n">
        <x:v>33740.55</x:v>
      </x:c>
      <x:c r="R294" s="7" t="n">
        <x:v>24621.89</x:v>
      </x:c>
      <x:c r="S294" s="7" t="n">
        <x:v>9118.66</x:v>
      </x:c>
      <x:c r="T294" t="str">
        <x:v>Pending</x:v>
      </x:c>
      <x:c r="U294" t="str">
        <x:v>Cancelled</x:v>
      </x:c>
      <x:c r="V294" s="6" t="n">
        <x:f>IF(ISBLANK(P294),IF(AND(ISNUMBER(N294),N294&gt;0,ISNUMBER(O294),O294&gt;=0,ISNUMBER(Q294),Q294&gt;=0,ISNUMBER(R294),R294&gt;=0,ISNUMBER(S294)),0,""),P294)</x:f>
        <x:v>0</x:v>
      </x:c>
      <x:c r="W294" s="7" t="n">
        <x:f>IF(ISBLANK(V294),"",N294*O294*(1-V294))</x:f>
        <x:v>33740.549999999996</x:v>
      </x:c>
      <x:c r="X294" s="7" t="n">
        <x:f>IF(OR(ISBLANK(W294),ISBLANK(R294)),"",W294-R294)</x:f>
        <x:v>9118.659999999996</x:v>
      </x:c>
      <x:c r="Y294" s="8" t="n">
        <x:f>IF(OR(ISBLANK(W294),W294=0),"",X294/W294)</x:f>
        <x:v>0.2702581908119458</x:v>
      </x:c>
      <x:c r="Z294" s="9" t="n">
        <x:f>IF(OR(ISBLANK(B294),ISBLANK(C294)),"",C294-B294)</x:f>
        <x:v>3</x:v>
      </x:c>
      <x:c r="AA294" t="str">
        <x:f>IF(ISBLANK(B294),"",TEXT(B294,"mmm"))</x:f>
        <x:v>Feb</x:v>
      </x:c>
      <x:c r="AB294" s="9" t="n">
        <x:f>IF(ISBLANK(B294),"",YEAR(B294))</x:f>
        <x:v>2025</x:v>
      </x:c>
      <x:c r="AC294" s="10" t="str">
        <x:v>EXCLUDE: Cancelled order</x:v>
      </x:c>
      <x:c r="AD294" t="str">
        <x:f>IF(AND(U294="Completed",T294="Paid",ISERROR(SEARCH("INVALID",AC294)),ISERROR(SEARCH("REVIEW",AC294))),"Include","Exclude")</x:f>
        <x:v>Exclude</x:v>
      </x:c>
      <x:c r="AE294" t="str">
        <x:f>IF(T294="Refunded","Refunded","")</x:f>
      </x:c>
    </x:row>
    <x:row r="295">
      <x:c r="A295" t="str">
        <x:v>ORD-2024-10294</x:v>
      </x:c>
      <x:c r="B295" s="5" t="n">
        <x:v>45358</x:v>
      </x:c>
      <x:c r="C295" s="5" t="n">
        <x:v>45362</x:v>
      </x:c>
      <x:c r="D295" t="str">
        <x:v>CUST-7010</x:v>
      </x:c>
      <x:c r="E295" t="str">
        <x:v>Arjun Bose</x:v>
      </x:c>
      <x:c r="F295" t="str">
        <x:v>Home Office</x:v>
      </x:c>
      <x:c r="G295" t="str">
        <x:v>South</x:v>
      </x:c>
      <x:c r="H295" t="str">
        <x:v>Telangana</x:v>
      </x:c>
      <x:c r="I295" t="str">
        <x:v>Hyderabad</x:v>
      </x:c>
      <x:c r="J295" t="str">
        <x:v>Technology</x:v>
      </x:c>
      <x:c r="K295" t="str">
        <x:v>Phones</x:v>
      </x:c>
      <x:c r="L295" t="str">
        <x:v>Pro Phones 455</x:v>
      </x:c>
      <x:c r="M295" t="str">
        <x:v>First Class</x:v>
      </x:c>
      <x:c r="N295" t="n">
        <x:v>2</x:v>
      </x:c>
      <x:c r="O295" s="7" t="n">
        <x:v>4401.51</x:v>
      </x:c>
      <x:c r="P295" s="6" t="n">
        <x:v>0.65</x:v>
      </x:c>
      <x:c r="Q295" s="7" t="n">
        <x:v>8362.87</x:v>
      </x:c>
      <x:c r="R295" s="7" t="n">
        <x:v>6541.04</x:v>
      </x:c>
      <x:c r="S295" s="7" t="n">
        <x:v>1821.83</x:v>
      </x:c>
      <x:c r="T295" t="str">
        <x:v>Paid</x:v>
      </x:c>
      <x:c r="U295" t="str">
        <x:v>Completed</x:v>
      </x:c>
      <x:c r="V295" s="6" t="n">
        <x:f>IF(ISBLANK(P295),IF(AND(ISNUMBER(N295),N295&gt;0,ISNUMBER(O295),O295&gt;=0,ISNUMBER(Q295),Q295&gt;=0,ISNUMBER(R295),R295&gt;=0,ISNUMBER(S295)),0,""),P295)</x:f>
        <x:v>0.65</x:v>
      </x:c>
      <x:c r="W295" s="7" t="n">
        <x:f>IF(ISBLANK(V295),"",N295*O295*(1-V295))</x:f>
        <x:v>3081.057</x:v>
      </x:c>
      <x:c r="X295" s="7" t="n">
        <x:f>IF(OR(ISBLANK(W295),ISBLANK(R295)),"",W295-R295)</x:f>
        <x:v>-3459.983</x:v>
      </x:c>
      <x:c r="Y295" s="8" t="n">
        <x:f>IF(OR(ISBLANK(W295),W295=0),"",X295/W295)</x:f>
        <x:v>-1.1229857156164267</x:v>
      </x:c>
      <x:c r="Z295" s="9" t="n">
        <x:f>IF(OR(ISBLANK(B295),ISBLANK(C295)),"",C295-B295)</x:f>
        <x:v>4</x:v>
      </x:c>
      <x:c r="AA295" t="str">
        <x:f>IF(ISBLANK(B295),"",TEXT(B295,"mmm"))</x:f>
        <x:v>Mar</x:v>
      </x:c>
      <x:c r="AB295" s="9" t="n">
        <x:f>IF(ISBLANK(B295),"",YEAR(B295))</x:f>
        <x:v>2024</x:v>
      </x:c>
      <x:c r="AC295" s="10" t="str">
        <x:v>INVALID: Discount above allowed range</x:v>
      </x:c>
      <x:c r="AD295" t="str">
        <x:f>IF(AND(U295="Completed",T295="Paid",ISERROR(SEARCH("INVALID",AC295)),ISERROR(SEARCH("REVIEW",AC295))),"Include","Exclude")</x:f>
        <x:v>Exclude</x:v>
      </x:c>
      <x:c r="AE295" t="str">
        <x:f>IF(T295="Refunded","Refunded","")</x:f>
      </x:c>
    </x:row>
    <x:row r="296">
      <x:c r="A296" t="str">
        <x:v>ORD-2025-10295</x:v>
      </x:c>
      <x:c r="B296" s="5" t="n">
        <x:v>45854</x:v>
      </x:c>
      <x:c r="C296" s="5" t="n">
        <x:v>45860</x:v>
      </x:c>
      <x:c r="D296" t="str">
        <x:v>CUST-4755</x:v>
      </x:c>
      <x:c r="E296" t="str">
        <x:v>Priya Menon</x:v>
      </x:c>
      <x:c r="F296" t="str">
        <x:v>Consumer</x:v>
      </x:c>
      <x:c r="G296" t="str">
        <x:v>East</x:v>
      </x:c>
      <x:c r="H296" t="str">
        <x:v>Odisha</x:v>
      </x:c>
      <x:c r="I296" t="str">
        <x:v>Bhubaneswar</x:v>
      </x:c>
      <x:c r="J296" t="str">
        <x:v>Technology</x:v>
      </x:c>
      <x:c r="K296" t="str">
        <x:v>Phones</x:v>
      </x:c>
      <x:c r="L296" t="str">
        <x:v>Basic Phones 326</x:v>
      </x:c>
      <x:c r="M296" t="str">
        <x:v>Second Class</x:v>
      </x:c>
      <x:c r="N296" t="n">
        <x:v>6</x:v>
      </x:c>
      <x:c r="O296" s="7" t="n">
        <x:v>4159.33</x:v>
      </x:c>
      <x:c r="P296" s="6" t="n">
        <x:v>0.25</x:v>
      </x:c>
      <x:c r="Q296" s="7" t="n">
        <x:v>18716.99</x:v>
      </x:c>
      <x:c r="R296" s="7" t="n">
        <x:v>12282.43</x:v>
      </x:c>
      <x:c r="S296" s="7" t="n">
        <x:v>6434.56</x:v>
      </x:c>
      <x:c r="T296" t="str">
        <x:v>Paid</x:v>
      </x:c>
      <x:c r="U296" t="str">
        <x:v>Returned</x:v>
      </x:c>
      <x:c r="V296" s="6" t="n">
        <x:f>IF(ISBLANK(P296),IF(AND(ISNUMBER(N296),N296&gt;0,ISNUMBER(O296),O296&gt;=0,ISNUMBER(Q296),Q296&gt;=0,ISNUMBER(R296),R296&gt;=0,ISNUMBER(S296)),0,""),P296)</x:f>
        <x:v>0.25</x:v>
      </x:c>
      <x:c r="W296" s="7" t="n">
        <x:f>IF(ISBLANK(V296),"",N296*O296*(1-V296))</x:f>
        <x:v>18716.985</x:v>
      </x:c>
      <x:c r="X296" s="7" t="n">
        <x:f>IF(OR(ISBLANK(W296),ISBLANK(R296)),"",W296-R296)</x:f>
        <x:v>6434.555</x:v>
      </x:c>
      <x:c r="Y296" s="8" t="n">
        <x:f>IF(OR(ISBLANK(W296),W296=0),"",X296/W296)</x:f>
        <x:v>0.3437815973031981</x:v>
      </x:c>
      <x:c r="Z296" s="9" t="n">
        <x:f>IF(OR(ISBLANK(B296),ISBLANK(C296)),"",C296-B296)</x:f>
        <x:v>6</x:v>
      </x:c>
      <x:c r="AA296" t="str">
        <x:f>IF(ISBLANK(B296),"",TEXT(B296,"mmm"))</x:f>
        <x:v>Jul</x:v>
      </x:c>
      <x:c r="AB296" s="9" t="n">
        <x:f>IF(ISBLANK(B296),"",YEAR(B296))</x:f>
        <x:v>2025</x:v>
      </x:c>
      <x:c r="AC296" s="10" t="str"/>
      <x:c r="AD296" t="str">
        <x:f>IF(AND(U296="Completed",T296="Paid",ISERROR(SEARCH("INVALID",AC296)),ISERROR(SEARCH("REVIEW",AC296))),"Include","Exclude")</x:f>
        <x:v>Exclude</x:v>
      </x:c>
      <x:c r="AE296" t="str">
        <x:f>IF(T296="Refunded","Refunded","")</x:f>
      </x:c>
    </x:row>
    <x:row r="297">
      <x:c r="A297" t="str">
        <x:v>ORD-2025-10296</x:v>
      </x:c>
      <x:c r="B297" s="5" t="n">
        <x:v>45833</x:v>
      </x:c>
      <x:c r="C297" s="5" t="n">
        <x:v>45836</x:v>
      </x:c>
      <x:c r="D297" t="str">
        <x:v>CUST-6778</x:v>
      </x:c>
      <x:c r="E297" t="str">
        <x:v>Aditi Sen</x:v>
      </x:c>
      <x:c r="F297" t="str">
        <x:v>Small Business</x:v>
      </x:c>
      <x:c r="G297" t="str">
        <x:v>East</x:v>
      </x:c>
      <x:c r="H297" t="str">
        <x:v>Assam</x:v>
      </x:c>
      <x:c r="I297" t="str">
        <x:v>Guwahati</x:v>
      </x:c>
      <x:c r="J297" t="str">
        <x:v>Office Supplies</x:v>
      </x:c>
      <x:c r="K297" t="str">
        <x:v>Binders</x:v>
      </x:c>
      <x:c r="L297" t="str">
        <x:v>Max Binders 587</x:v>
      </x:c>
      <x:c r="M297" t="str">
        <x:v>Standard Class</x:v>
      </x:c>
      <x:c r="N297" t="n">
        <x:v>3</x:v>
      </x:c>
      <x:c r="O297" s="7" t="n">
        <x:v>3476.05</x:v>
      </x:c>
      <x:c r="P297" s="6" t="n">
        <x:v>0.1</x:v>
      </x:c>
      <x:c r="Q297" s="7" t="n">
        <x:v>9385.34</x:v>
      </x:c>
      <x:c r="R297" s="7" t="n">
        <x:v>5828.54</x:v>
      </x:c>
      <x:c r="S297" s="7" t="n">
        <x:v>3556.8</x:v>
      </x:c>
      <x:c r="T297" t="str">
        <x:v>Paid</x:v>
      </x:c>
      <x:c r="U297" t="str">
        <x:v>Completed</x:v>
      </x:c>
      <x:c r="V297" s="6" t="n">
        <x:f>IF(ISBLANK(P297),IF(AND(ISNUMBER(N297),N297&gt;0,ISNUMBER(O297),O297&gt;=0,ISNUMBER(Q297),Q297&gt;=0,ISNUMBER(R297),R297&gt;=0,ISNUMBER(S297)),0,""),P297)</x:f>
        <x:v>0.1</x:v>
      </x:c>
      <x:c r="W297" s="7" t="n">
        <x:f>IF(ISBLANK(V297),"",N297*O297*(1-V297))</x:f>
        <x:v>9385.335000000001</x:v>
      </x:c>
      <x:c r="X297" s="7" t="n">
        <x:f>IF(OR(ISBLANK(W297),ISBLANK(R297)),"",W297-R297)</x:f>
        <x:v>3556.795000000001</x:v>
      </x:c>
      <x:c r="Y297" s="8" t="n">
        <x:f>IF(OR(ISBLANK(W297),W297=0),"",X297/W297)</x:f>
        <x:v>0.3789736860751375</x:v>
      </x:c>
      <x:c r="Z297" s="9" t="n">
        <x:f>IF(OR(ISBLANK(B297),ISBLANK(C297)),"",C297-B297)</x:f>
        <x:v>3</x:v>
      </x:c>
      <x:c r="AA297" t="str">
        <x:f>IF(ISBLANK(B297),"",TEXT(B297,"mmm"))</x:f>
        <x:v>Jun</x:v>
      </x:c>
      <x:c r="AB297" s="9" t="n">
        <x:f>IF(ISBLANK(B297),"",YEAR(B297))</x:f>
        <x:v>2025</x:v>
      </x:c>
      <x:c r="AC297" s="10" t="str"/>
      <x:c r="AD297" t="str">
        <x:f>IF(AND(U297="Completed",T297="Paid",ISERROR(SEARCH("INVALID",AC297)),ISERROR(SEARCH("REVIEW",AC297))),"Include","Exclude")</x:f>
        <x:v>Include</x:v>
      </x:c>
      <x:c r="AE297" t="str">
        <x:f>IF(T297="Refunded","Refunded","")</x:f>
      </x:c>
    </x:row>
    <x:row r="298">
      <x:c r="A298" t="str">
        <x:v>ORD-2025-10297</x:v>
      </x:c>
      <x:c r="B298" s="5" t="n">
        <x:v>45801</x:v>
      </x:c>
      <x:c r="C298" s="5" t="n">
        <x:v>45803</x:v>
      </x:c>
      <x:c r="D298" t="str">
        <x:v>CUST-7629</x:v>
      </x:c>
      <x:c r="E298" t="str">
        <x:v>Aditi Sen</x:v>
      </x:c>
      <x:c r="F298" t="str">
        <x:v>Home Office</x:v>
      </x:c>
      <x:c r="G298" t="str">
        <x:v>North</x:v>
      </x:c>
      <x:c r="H298" t="str">
        <x:v>Haryana</x:v>
      </x:c>
      <x:c r="I298" t="str">
        <x:v>Gurugram</x:v>
      </x:c>
      <x:c r="J298" t="str">
        <x:v>Furniture</x:v>
      </x:c>
      <x:c r="K298" t="str">
        <x:v>Furnishings</x:v>
      </x:c>
      <x:c r="L298" t="str">
        <x:v>Basic Furnishings 617</x:v>
      </x:c>
      <x:c r="M298" t="str">
        <x:v>Same Day</x:v>
      </x:c>
      <x:c r="N298" t="n">
        <x:v>6</x:v>
      </x:c>
      <x:c r="O298" s="7" t="n">
        <x:v>3495.41</x:v>
      </x:c>
      <x:c r="P298" s="6" t="n">
        <x:v>0.15</x:v>
      </x:c>
      <x:c r="Q298" s="7" t="n">
        <x:v>17826.59</x:v>
      </x:c>
      <x:c r="R298" s="7" t="n">
        <x:v>10855.35</x:v>
      </x:c>
      <x:c r="S298" s="7" t="n">
        <x:v>6971.24</x:v>
      </x:c>
      <x:c r="T298" t="str">
        <x:v>Paid</x:v>
      </x:c>
      <x:c r="U298" t="str">
        <x:v>Completed</x:v>
      </x:c>
      <x:c r="V298" s="6" t="n">
        <x:f>IF(ISBLANK(P298),IF(AND(ISNUMBER(N298),N298&gt;0,ISNUMBER(O298),O298&gt;=0,ISNUMBER(Q298),Q298&gt;=0,ISNUMBER(R298),R298&gt;=0,ISNUMBER(S298)),0,""),P298)</x:f>
        <x:v>0.15</x:v>
      </x:c>
      <x:c r="W298" s="7" t="n">
        <x:f>IF(ISBLANK(V298),"",N298*O298*(1-V298))</x:f>
        <x:v>17826.591</x:v>
      </x:c>
      <x:c r="X298" s="7" t="n">
        <x:f>IF(OR(ISBLANK(W298),ISBLANK(R298)),"",W298-R298)</x:f>
        <x:v>6971.241</x:v>
      </x:c>
      <x:c r="Y298" s="8" t="n">
        <x:f>IF(OR(ISBLANK(W298),W298=0),"",X298/W298)</x:f>
        <x:v>0.39105855965394615</x:v>
      </x:c>
      <x:c r="Z298" s="9" t="n">
        <x:f>IF(OR(ISBLANK(B298),ISBLANK(C298)),"",C298-B298)</x:f>
        <x:v>2</x:v>
      </x:c>
      <x:c r="AA298" t="str">
        <x:f>IF(ISBLANK(B298),"",TEXT(B298,"mmm"))</x:f>
        <x:v>May</x:v>
      </x:c>
      <x:c r="AB298" s="9" t="n">
        <x:f>IF(ISBLANK(B298),"",YEAR(B298))</x:f>
        <x:v>2025</x:v>
      </x:c>
      <x:c r="AC298" s="10" t="str"/>
      <x:c r="AD298" t="str">
        <x:f>IF(AND(U298="Completed",T298="Paid",ISERROR(SEARCH("INVALID",AC298)),ISERROR(SEARCH("REVIEW",AC298))),"Include","Exclude")</x:f>
        <x:v>Include</x:v>
      </x:c>
      <x:c r="AE298" t="str">
        <x:f>IF(T298="Refunded","Refunded","")</x:f>
      </x:c>
    </x:row>
    <x:row r="299">
      <x:c r="A299" t="str">
        <x:v>ORD-2024-10298</x:v>
      </x:c>
      <x:c r="B299" s="5" t="n">
        <x:v>45594</x:v>
      </x:c>
      <x:c r="C299" s="5" t="n">
        <x:v>45602</x:v>
      </x:c>
      <x:c r="D299" t="str">
        <x:v>CUST-6724</x:v>
      </x:c>
      <x:c r="E299" t="str">
        <x:v>Sneha Kapoor</x:v>
      </x:c>
      <x:c r="F299" t="str">
        <x:v>Corporate</x:v>
      </x:c>
      <x:c r="G299" t="str">
        <x:v>South</x:v>
      </x:c>
      <x:c r="H299" t="str">
        <x:v>Tamil Nadu</x:v>
      </x:c>
      <x:c r="I299" t="str">
        <x:v>Chennai</x:v>
      </x:c>
      <x:c r="J299" t="str">
        <x:v>Technology</x:v>
      </x:c>
      <x:c r="K299" t="str">
        <x:v>Copiers</x:v>
      </x:c>
      <x:c r="L299" t="str">
        <x:v>Prime Copiers 669</x:v>
      </x:c>
      <x:c r="M299" t="str">
        <x:v>Same Day</x:v>
      </x:c>
      <x:c r="N299" t="n">
        <x:v>6</x:v>
      </x:c>
      <x:c r="O299" s="7" t="n">
        <x:v>1169.92</x:v>
      </x:c>
      <x:c r="P299" s="6" t="n">
        <x:v>0.15</x:v>
      </x:c>
      <x:c r="Q299" s="7" t="n">
        <x:v>5966.59</x:v>
      </x:c>
      <x:c r="R299" s="7" t="n">
        <x:v>3994.72</x:v>
      </x:c>
      <x:c r="S299" s="7" t="n">
        <x:v>1971.87</x:v>
      </x:c>
      <x:c r="T299" t="str">
        <x:v>Paid</x:v>
      </x:c>
      <x:c r="U299" t="str">
        <x:v>Completed</x:v>
      </x:c>
      <x:c r="V299" s="6" t="n">
        <x:f>IF(ISBLANK(P299),IF(AND(ISNUMBER(N299),N299&gt;0,ISNUMBER(O299),O299&gt;=0,ISNUMBER(Q299),Q299&gt;=0,ISNUMBER(R299),R299&gt;=0,ISNUMBER(S299)),0,""),P299)</x:f>
        <x:v>0.15</x:v>
      </x:c>
      <x:c r="W299" s="7" t="n">
        <x:f>IF(ISBLANK(V299),"",N299*O299*(1-V299))</x:f>
        <x:v>5966.592000000001</x:v>
      </x:c>
      <x:c r="X299" s="7" t="n">
        <x:f>IF(OR(ISBLANK(W299),ISBLANK(R299)),"",W299-R299)</x:f>
        <x:v>1971.8720000000008</x:v>
      </x:c>
      <x:c r="Y299" s="8" t="n">
        <x:f>IF(OR(ISBLANK(W299),W299=0),"",X299/W299)</x:f>
        <x:v>0.3304854764662978</x:v>
      </x:c>
      <x:c r="Z299" s="9" t="n">
        <x:f>IF(OR(ISBLANK(B299),ISBLANK(C299)),"",C299-B299)</x:f>
        <x:v>8</x:v>
      </x:c>
      <x:c r="AA299" t="str">
        <x:f>IF(ISBLANK(B299),"",TEXT(B299,"mmm"))</x:f>
        <x:v>Oct</x:v>
      </x:c>
      <x:c r="AB299" s="9" t="n">
        <x:f>IF(ISBLANK(B299),"",YEAR(B299))</x:f>
        <x:v>2024</x:v>
      </x:c>
      <x:c r="AC299" s="10" t="str"/>
      <x:c r="AD299" t="str">
        <x:f>IF(AND(U299="Completed",T299="Paid",ISERROR(SEARCH("INVALID",AC299)),ISERROR(SEARCH("REVIEW",AC299))),"Include","Exclude")</x:f>
        <x:v>Include</x:v>
      </x:c>
      <x:c r="AE299" t="str">
        <x:f>IF(T299="Refunded","Refunded","")</x:f>
      </x:c>
    </x:row>
    <x:row r="300">
      <x:c r="A300" t="str">
        <x:v>ORD-2025-10299</x:v>
      </x:c>
      <x:c r="B300" s="5" t="n">
        <x:v>45680</x:v>
      </x:c>
      <x:c r="C300" s="5" t="n">
        <x:v>45683</x:v>
      </x:c>
      <x:c r="D300" t="str">
        <x:v>CUST-2141</x:v>
      </x:c>
      <x:c r="E300" t="str">
        <x:v>Isha Nair</x:v>
      </x:c>
      <x:c r="F300" t="str">
        <x:v>Consumer</x:v>
      </x:c>
      <x:c r="G300" t="str">
        <x:v>South</x:v>
      </x:c>
      <x:c r="H300" t="str">
        <x:v>Kerala</x:v>
      </x:c>
      <x:c r="I300" t="str">
        <x:v>Kochi</x:v>
      </x:c>
      <x:c r="J300" t="str">
        <x:v>Technology</x:v>
      </x:c>
      <x:c r="K300" t="str">
        <x:v>Copiers</x:v>
      </x:c>
      <x:c r="L300" t="str">
        <x:v>Eco Copiers 894</x:v>
      </x:c>
      <x:c r="M300" t="str">
        <x:v>First Class</x:v>
      </x:c>
      <x:c r="N300" t="n">
        <x:v>7</x:v>
      </x:c>
      <x:c r="O300" s="7" t="n">
        <x:v>348.49</x:v>
      </x:c>
      <x:c r="P300" s="6" t="n">
        <x:v>0.2</x:v>
      </x:c>
      <x:c r="Q300" s="7" t="n">
        <x:v>1951.54</x:v>
      </x:c>
      <x:c r="R300" s="7" t="n">
        <x:v>1609.95</x:v>
      </x:c>
      <x:c r="S300" s="7" t="n">
        <x:v>341.59</x:v>
      </x:c>
      <x:c r="T300" t="str">
        <x:v>Failed</x:v>
      </x:c>
      <x:c r="U300" t="str">
        <x:v>Returned</x:v>
      </x:c>
      <x:c r="V300" s="6" t="n">
        <x:f>IF(ISBLANK(P300),IF(AND(ISNUMBER(N300),N300&gt;0,ISNUMBER(O300),O300&gt;=0,ISNUMBER(Q300),Q300&gt;=0,ISNUMBER(R300),R300&gt;=0,ISNUMBER(S300)),0,""),P300)</x:f>
        <x:v>0.2</x:v>
      </x:c>
      <x:c r="W300" s="7" t="n">
        <x:f>IF(ISBLANK(V300),"",N300*O300*(1-V300))</x:f>
        <x:v>1951.5440000000003</x:v>
      </x:c>
      <x:c r="X300" s="7" t="n">
        <x:f>IF(OR(ISBLANK(W300),ISBLANK(R300)),"",W300-R300)</x:f>
        <x:v>341.5940000000003</x:v>
      </x:c>
      <x:c r="Y300" s="8" t="n">
        <x:f>IF(OR(ISBLANK(W300),W300=0),"",X300/W300)</x:f>
        <x:v>0.1750378162111642</x:v>
      </x:c>
      <x:c r="Z300" s="9" t="n">
        <x:f>IF(OR(ISBLANK(B300),ISBLANK(C300)),"",C300-B300)</x:f>
        <x:v>3</x:v>
      </x:c>
      <x:c r="AA300" t="str">
        <x:f>IF(ISBLANK(B300),"",TEXT(B300,"mmm"))</x:f>
        <x:v>Jan</x:v>
      </x:c>
      <x:c r="AB300" s="9" t="n">
        <x:f>IF(ISBLANK(B300),"",YEAR(B300))</x:f>
        <x:v>2025</x:v>
      </x:c>
      <x:c r="AC300" s="10" t="str">
        <x:v>EXCLUDE: Failed payment</x:v>
      </x:c>
      <x:c r="AD300" t="str">
        <x:f>IF(AND(U300="Completed",T300="Paid",ISERROR(SEARCH("INVALID",AC300)),ISERROR(SEARCH("REVIEW",AC300))),"Include","Exclude")</x:f>
        <x:v>Exclude</x:v>
      </x:c>
      <x:c r="AE300" t="str">
        <x:f>IF(T300="Refunded","Refunded","")</x:f>
      </x:c>
    </x:row>
    <x:row r="301">
      <x:c r="A301" t="str">
        <x:v>ORD-2024-10300</x:v>
      </x:c>
      <x:c r="B301" s="5" t="n">
        <x:v>45602</x:v>
      </x:c>
      <x:c r="C301" s="5" t="n">
        <x:v>45608</x:v>
      </x:c>
      <x:c r="D301" t="str">
        <x:v>CUST-7264</x:v>
      </x:c>
      <x:c r="E301" t="str">
        <x:v>Rahul Verma</x:v>
      </x:c>
      <x:c r="F301" t="str">
        <x:v>Small Business</x:v>
      </x:c>
      <x:c r="G301" t="str">
        <x:v>West</x:v>
      </x:c>
      <x:c r="H301" t="str">
        <x:v>Gujarat</x:v>
      </x:c>
      <x:c r="I301" t="str">
        <x:v>Ahmedabad</x:v>
      </x:c>
      <x:c r="J301" t="str">
        <x:v>Technology</x:v>
      </x:c>
      <x:c r="K301" t="str">
        <x:v>Accessories</x:v>
      </x:c>
      <x:c r="L301" t="str">
        <x:v>Max Accessories 145</x:v>
      </x:c>
      <x:c r="M301" t="str">
        <x:v>Standard Class</x:v>
      </x:c>
      <x:c r="N301" t="n">
        <x:v>7</x:v>
      </x:c>
      <x:c r="O301" s="7" t="n">
        <x:v>1719.05</x:v>
      </x:c>
      <x:c r="P301" s="6" t="n">
        <x:v>0.1</x:v>
      </x:c>
      <x:c r="Q301" s="7" t="n">
        <x:v>10830.02</x:v>
      </x:c>
      <x:c r="R301" s="7" t="n">
        <x:v>7055.31</x:v>
      </x:c>
      <x:c r="S301" s="7" t="n">
        <x:v>3774.71</x:v>
      </x:c>
      <x:c r="T301" t="str">
        <x:v>Paid</x:v>
      </x:c>
      <x:c r="U301" t="str">
        <x:v>Completed</x:v>
      </x:c>
      <x:c r="V301" s="6" t="n">
        <x:f>IF(ISBLANK(P301),IF(AND(ISNUMBER(N301),N301&gt;0,ISNUMBER(O301),O301&gt;=0,ISNUMBER(Q301),Q301&gt;=0,ISNUMBER(R301),R301&gt;=0,ISNUMBER(S301)),0,""),P301)</x:f>
        <x:v>0.1</x:v>
      </x:c>
      <x:c r="W301" s="7" t="n">
        <x:f>IF(ISBLANK(V301),"",N301*O301*(1-V301))</x:f>
        <x:v>10830.015000000001</x:v>
      </x:c>
      <x:c r="X301" s="7" t="n">
        <x:f>IF(OR(ISBLANK(W301),ISBLANK(R301)),"",W301-R301)</x:f>
        <x:v>3774.705000000001</x:v>
      </x:c>
      <x:c r="Y301" s="8" t="n">
        <x:f>IF(OR(ISBLANK(W301),W301=0),"",X301/W301)</x:f>
        <x:v>0.34854106850267524</x:v>
      </x:c>
      <x:c r="Z301" s="9" t="n">
        <x:f>IF(OR(ISBLANK(B301),ISBLANK(C301)),"",C301-B301)</x:f>
        <x:v>6</x:v>
      </x:c>
      <x:c r="AA301" t="str">
        <x:f>IF(ISBLANK(B301),"",TEXT(B301,"mmm"))</x:f>
        <x:v>Nov</x:v>
      </x:c>
      <x:c r="AB301" s="9" t="n">
        <x:f>IF(ISBLANK(B301),"",YEAR(B301))</x:f>
        <x:v>2024</x:v>
      </x:c>
      <x:c r="AC301" s="10" t="str"/>
      <x:c r="AD301" t="str">
        <x:f>IF(AND(U301="Completed",T301="Paid",ISERROR(SEARCH("INVALID",AC301)),ISERROR(SEARCH("REVIEW",AC301))),"Include","Exclude")</x:f>
        <x:v>Include</x:v>
      </x:c>
      <x:c r="AE301" t="str">
        <x:f>IF(T301="Refunded","Refunded","")</x:f>
      </x:c>
    </x:row>
    <x:row r="302">
      <x:c r="A302" t="str">
        <x:v>ORD-2024-10301</x:v>
      </x:c>
      <x:c r="B302" s="5" t="n">
        <x:v>45397</x:v>
      </x:c>
      <x:c r="C302" s="5" t="n">
        <x:v>45405</x:v>
      </x:c>
      <x:c r="D302" t="str">
        <x:v>CUST-2668</x:v>
      </x:c>
      <x:c r="E302" t="str">
        <x:v>Diya Patel</x:v>
      </x:c>
      <x:c r="F302" t="str">
        <x:v>Small Business</x:v>
      </x:c>
      <x:c r="G302" t="str">
        <x:v>North</x:v>
      </x:c>
      <x:c r="H302" t="str">
        <x:v>Punjab</x:v>
      </x:c>
      <x:c r="I302" t="str">
        <x:v>Ludhiana</x:v>
      </x:c>
      <x:c r="J302" t="str">
        <x:v>Technology</x:v>
      </x:c>
      <x:c r="K302" t="str">
        <x:v>Accessories</x:v>
      </x:c>
      <x:c r="L302" t="str">
        <x:v>Classic Accessories 126</x:v>
      </x:c>
      <x:c r="M302" t="str">
        <x:v>Second Class</x:v>
      </x:c>
      <x:c r="N302" t="n">
        <x:v>9</x:v>
      </x:c>
      <x:c r="O302" s="7" t="n">
        <x:v>3893.74</x:v>
      </x:c>
      <x:c r="P302" s="6" t="n">
        <x:v>0.1</x:v>
      </x:c>
      <x:c r="Q302" s="7" t="n">
        <x:v>31539.29</x:v>
      </x:c>
      <x:c r="R302" s="7" t="n">
        <x:v>22100.14</x:v>
      </x:c>
      <x:c r="S302" s="7" t="n">
        <x:v>9439.15</x:v>
      </x:c>
      <x:c r="T302" t="str">
        <x:v>Paid</x:v>
      </x:c>
      <x:c r="U302" t="str">
        <x:v>Completed</x:v>
      </x:c>
      <x:c r="V302" s="6" t="n">
        <x:f>IF(ISBLANK(P302),IF(AND(ISNUMBER(N302),N302&gt;0,ISNUMBER(O302),O302&gt;=0,ISNUMBER(Q302),Q302&gt;=0,ISNUMBER(R302),R302&gt;=0,ISNUMBER(S302)),0,""),P302)</x:f>
        <x:v>0.1</x:v>
      </x:c>
      <x:c r="W302" s="7" t="n">
        <x:f>IF(ISBLANK(V302),"",N302*O302*(1-V302))</x:f>
        <x:v>31539.293999999998</x:v>
      </x:c>
      <x:c r="X302" s="7" t="n">
        <x:f>IF(OR(ISBLANK(W302),ISBLANK(R302)),"",W302-R302)</x:f>
        <x:v>9439.153999999999</x:v>
      </x:c>
      <x:c r="Y302" s="8" t="n">
        <x:f>IF(OR(ISBLANK(W302),W302=0),"",X302/W302)</x:f>
        <x:v>0.29928234918638313</x:v>
      </x:c>
      <x:c r="Z302" s="9" t="n">
        <x:f>IF(OR(ISBLANK(B302),ISBLANK(C302)),"",C302-B302)</x:f>
        <x:v>8</x:v>
      </x:c>
      <x:c r="AA302" t="str">
        <x:f>IF(ISBLANK(B302),"",TEXT(B302,"mmm"))</x:f>
        <x:v>Apr</x:v>
      </x:c>
      <x:c r="AB302" s="9" t="n">
        <x:f>IF(ISBLANK(B302),"",YEAR(B302))</x:f>
        <x:v>2024</x:v>
      </x:c>
      <x:c r="AC302" s="10" t="str"/>
      <x:c r="AD302" t="str">
        <x:f>IF(AND(U302="Completed",T302="Paid",ISERROR(SEARCH("INVALID",AC302)),ISERROR(SEARCH("REVIEW",AC302))),"Include","Exclude")</x:f>
        <x:v>Include</x:v>
      </x:c>
      <x:c r="AE302" t="str">
        <x:f>IF(T302="Refunded","Refunded","")</x:f>
      </x:c>
    </x:row>
    <x:row r="303">
      <x:c r="A303" t="str">
        <x:v>ORD-2025-10302</x:v>
      </x:c>
      <x:c r="B303" s="5" t="n">
        <x:v>45805</x:v>
      </x:c>
      <x:c r="C303" s="5" t="n">
        <x:v>45809</x:v>
      </x:c>
      <x:c r="D303" t="str">
        <x:v>CUST-5599</x:v>
      </x:c>
      <x:c r="E303" t="str">
        <x:v>Isha Nair</x:v>
      </x:c>
      <x:c r="F303" t="str">
        <x:v>Home Office</x:v>
      </x:c>
      <x:c r="G303" t="str">
        <x:v>East</x:v>
      </x:c>
      <x:c r="H303" t="str">
        <x:v>Bihar</x:v>
      </x:c>
      <x:c r="I303" t="str">
        <x:v>Patna</x:v>
      </x:c>
      <x:c r="J303" t="str">
        <x:v>Technology</x:v>
      </x:c>
      <x:c r="K303" t="str">
        <x:v>Phones</x:v>
      </x:c>
      <x:c r="L303" t="str">
        <x:v>Elite Phones 202</x:v>
      </x:c>
      <x:c r="M303" t="str">
        <x:v>Same Day</x:v>
      </x:c>
      <x:c r="N303" t="n">
        <x:v>4</x:v>
      </x:c>
      <x:c r="O303" s="7" t="n">
        <x:v>1654.11</x:v>
      </x:c>
      <x:c r="P303" s="6" t="n">
        <x:v>0.05</x:v>
      </x:c>
      <x:c r="Q303" s="7" t="n">
        <x:v>6285.62</x:v>
      </x:c>
      <x:c r="R303" s="7" t="n">
        <x:v>3705.38</x:v>
      </x:c>
      <x:c r="S303" s="7" t="n">
        <x:v>2580.24</x:v>
      </x:c>
      <x:c r="T303" t="str">
        <x:v>Paid</x:v>
      </x:c>
      <x:c r="U303" t="str">
        <x:v>Completed</x:v>
      </x:c>
      <x:c r="V303" s="6" t="n">
        <x:f>IF(ISBLANK(P303),IF(AND(ISNUMBER(N303),N303&gt;0,ISNUMBER(O303),O303&gt;=0,ISNUMBER(Q303),Q303&gt;=0,ISNUMBER(R303),R303&gt;=0,ISNUMBER(S303)),0,""),P303)</x:f>
        <x:v>0.05</x:v>
      </x:c>
      <x:c r="W303" s="7" t="n">
        <x:f>IF(ISBLANK(V303),"",N303*O303*(1-V303))</x:f>
        <x:v>6285.6179999999995</x:v>
      </x:c>
      <x:c r="X303" s="7" t="n">
        <x:f>IF(OR(ISBLANK(W303),ISBLANK(R303)),"",W303-R303)</x:f>
        <x:v>2580.2379999999994</x:v>
      </x:c>
      <x:c r="Y303" s="8" t="n">
        <x:f>IF(OR(ISBLANK(W303),W303=0),"",X303/W303)</x:f>
        <x:v>0.41049869718458865</x:v>
      </x:c>
      <x:c r="Z303" s="9" t="n">
        <x:f>IF(OR(ISBLANK(B303),ISBLANK(C303)),"",C303-B303)</x:f>
        <x:v>4</x:v>
      </x:c>
      <x:c r="AA303" t="str">
        <x:f>IF(ISBLANK(B303),"",TEXT(B303,"mmm"))</x:f>
        <x:v>May</x:v>
      </x:c>
      <x:c r="AB303" s="9" t="n">
        <x:f>IF(ISBLANK(B303),"",YEAR(B303))</x:f>
        <x:v>2025</x:v>
      </x:c>
      <x:c r="AC303" s="10" t="str"/>
      <x:c r="AD303" t="str">
        <x:f>IF(AND(U303="Completed",T303="Paid",ISERROR(SEARCH("INVALID",AC303)),ISERROR(SEARCH("REVIEW",AC303))),"Include","Exclude")</x:f>
        <x:v>Include</x:v>
      </x:c>
      <x:c r="AE303" t="str">
        <x:f>IF(T303="Refunded","Refunded","")</x:f>
      </x:c>
    </x:row>
    <x:row r="304">
      <x:c r="A304" t="str">
        <x:v>ORD-2025-10303</x:v>
      </x:c>
      <x:c r="B304" s="5" t="n">
        <x:v>45812</x:v>
      </x:c>
      <x:c r="C304" s="5" t="n">
        <x:v>45820</x:v>
      </x:c>
      <x:c r="D304" t="str">
        <x:v>CUST-1623</x:v>
      </x:c>
      <x:c r="E304" t="str">
        <x:v>Neha Gupta</x:v>
      </x:c>
      <x:c r="F304" t="str">
        <x:v>Consumer</x:v>
      </x:c>
      <x:c r="G304" t="str">
        <x:v>West</x:v>
      </x:c>
      <x:c r="H304" t="str">
        <x:v>Goa</x:v>
      </x:c>
      <x:c r="I304" t="str">
        <x:v>Panaji</x:v>
      </x:c>
      <x:c r="J304" t="str">
        <x:v>Office Supplies</x:v>
      </x:c>
      <x:c r="K304" t="str">
        <x:v>Storage</x:v>
      </x:c>
      <x:c r="L304" t="str">
        <x:v>Elite Storage 535</x:v>
      </x:c>
      <x:c r="M304" t="str">
        <x:v>Same Day</x:v>
      </x:c>
      <x:c r="N304" t="n">
        <x:v>2</x:v>
      </x:c>
      <x:c r="O304" s="7" t="n">
        <x:v>2703.28</x:v>
      </x:c>
      <x:c r="P304" s="6" t="n">
        <x:v>0.25</x:v>
      </x:c>
      <x:c r="Q304" s="7" t="n">
        <x:v>4054.92</x:v>
      </x:c>
      <x:c r="R304" s="7" t="n">
        <x:v>2424.83</x:v>
      </x:c>
      <x:c r="S304" s="7" t="n">
        <x:v>1630.09</x:v>
      </x:c>
      <x:c r="T304" t="str">
        <x:v>Paid</x:v>
      </x:c>
      <x:c r="U304" t="str">
        <x:v>Completed</x:v>
      </x:c>
      <x:c r="V304" s="6" t="n">
        <x:f>IF(ISBLANK(P304),IF(AND(ISNUMBER(N304),N304&gt;0,ISNUMBER(O304),O304&gt;=0,ISNUMBER(Q304),Q304&gt;=0,ISNUMBER(R304),R304&gt;=0,ISNUMBER(S304)),0,""),P304)</x:f>
        <x:v>0.25</x:v>
      </x:c>
      <x:c r="W304" s="7" t="n">
        <x:f>IF(ISBLANK(V304),"",N304*O304*(1-V304))</x:f>
        <x:v>4054.92</x:v>
      </x:c>
      <x:c r="X304" s="7" t="n">
        <x:f>IF(OR(ISBLANK(W304),ISBLANK(R304)),"",W304-R304)</x:f>
        <x:v>1630.0900000000001</x:v>
      </x:c>
      <x:c r="Y304" s="8" t="n">
        <x:f>IF(OR(ISBLANK(W304),W304=0),"",X304/W304)</x:f>
        <x:v>0.40200299882611745</x:v>
      </x:c>
      <x:c r="Z304" s="9" t="n">
        <x:f>IF(OR(ISBLANK(B304),ISBLANK(C304)),"",C304-B304)</x:f>
        <x:v>8</x:v>
      </x:c>
      <x:c r="AA304" t="str">
        <x:f>IF(ISBLANK(B304),"",TEXT(B304,"mmm"))</x:f>
        <x:v>Jun</x:v>
      </x:c>
      <x:c r="AB304" s="9" t="n">
        <x:f>IF(ISBLANK(B304),"",YEAR(B304))</x:f>
        <x:v>2025</x:v>
      </x:c>
      <x:c r="AC304" s="10" t="str"/>
      <x:c r="AD304" t="str">
        <x:f>IF(AND(U304="Completed",T304="Paid",ISERROR(SEARCH("INVALID",AC304)),ISERROR(SEARCH("REVIEW",AC304))),"Include","Exclude")</x:f>
        <x:v>Include</x:v>
      </x:c>
      <x:c r="AE304" t="str">
        <x:f>IF(T304="Refunded","Refunded","")</x:f>
      </x:c>
    </x:row>
    <x:row r="305">
      <x:c r="A305" t="str">
        <x:v>ORD-2024-10304</x:v>
      </x:c>
      <x:c r="B305" s="5" t="n">
        <x:v>45466</x:v>
      </x:c>
      <x:c r="C305" s="5" t="n">
        <x:v>45471</x:v>
      </x:c>
      <x:c r="D305" t="str">
        <x:v>CUST-9035</x:v>
      </x:c>
      <x:c r="E305" t="str">
        <x:v>Diya Patel</x:v>
      </x:c>
      <x:c r="F305" t="str">
        <x:v>Home Office</x:v>
      </x:c>
      <x:c r="G305" t="str">
        <x:v>West</x:v>
      </x:c>
      <x:c r="H305" t="str">
        <x:v>Gujarat</x:v>
      </x:c>
      <x:c r="I305" t="str">
        <x:v>Ahmedabad</x:v>
      </x:c>
      <x:c r="J305" t="str">
        <x:v>Furniture</x:v>
      </x:c>
      <x:c r="K305" t="str">
        <x:v>Chairs</x:v>
      </x:c>
      <x:c r="L305" t="str">
        <x:v>Elite Chairs 107</x:v>
      </x:c>
      <x:c r="M305" t="str">
        <x:v>Standard Class</x:v>
      </x:c>
      <x:c r="N305" t="n">
        <x:v>2</x:v>
      </x:c>
      <x:c r="O305" s="7" t="n">
        <x:v>1313.14</x:v>
      </x:c>
      <x:c r="P305" s="6" t="n">
        <x:v>0.1</x:v>
      </x:c>
      <x:c r="Q305" s="7" t="n">
        <x:v>2363.65</x:v>
      </x:c>
      <x:c r="R305" s="7" t="n">
        <x:v>1876.1</x:v>
      </x:c>
      <x:c r="S305" s="7" t="n">
        <x:v>487.55</x:v>
      </x:c>
      <x:c r="T305" t="str">
        <x:v>Pending</x:v>
      </x:c>
      <x:c r="U305" t="str">
        <x:v>Returned</x:v>
      </x:c>
      <x:c r="V305" s="6" t="n">
        <x:f>IF(ISBLANK(P305),IF(AND(ISNUMBER(N305),N305&gt;0,ISNUMBER(O305),O305&gt;=0,ISNUMBER(Q305),Q305&gt;=0,ISNUMBER(R305),R305&gt;=0,ISNUMBER(S305)),0,""),P305)</x:f>
        <x:v>0.1</x:v>
      </x:c>
      <x:c r="W305" s="7" t="n">
        <x:f>IF(ISBLANK(V305),"",N305*O305*(1-V305))</x:f>
        <x:v>2363.652</x:v>
      </x:c>
      <x:c r="X305" s="7" t="n">
        <x:f>IF(OR(ISBLANK(W305),ISBLANK(R305)),"",W305-R305)</x:f>
        <x:v>487.55200000000013</x:v>
      </x:c>
      <x:c r="Y305" s="8" t="n">
        <x:f>IF(OR(ISBLANK(W305),W305=0),"",X305/W305)</x:f>
        <x:v>0.20627063544041174</x:v>
      </x:c>
      <x:c r="Z305" s="9" t="n">
        <x:f>IF(OR(ISBLANK(B305),ISBLANK(C305)),"",C305-B305)</x:f>
        <x:v>5</x:v>
      </x:c>
      <x:c r="AA305" t="str">
        <x:f>IF(ISBLANK(B305),"",TEXT(B305,"mmm"))</x:f>
        <x:v>Jun</x:v>
      </x:c>
      <x:c r="AB305" s="9" t="n">
        <x:f>IF(ISBLANK(B305),"",YEAR(B305))</x:f>
        <x:v>2024</x:v>
      </x:c>
      <x:c r="AC305" s="10" t="str"/>
      <x:c r="AD305" t="str">
        <x:f>IF(AND(U305="Completed",T305="Paid",ISERROR(SEARCH("INVALID",AC305)),ISERROR(SEARCH("REVIEW",AC305))),"Include","Exclude")</x:f>
        <x:v>Exclude</x:v>
      </x:c>
      <x:c r="AE305" t="str">
        <x:f>IF(T305="Refunded","Refunded","")</x:f>
      </x:c>
    </x:row>
    <x:row r="306">
      <x:c r="A306" t="str">
        <x:v>ORD-2024-10305</x:v>
      </x:c>
      <x:c r="B306" s="5" t="n">
        <x:v>45357</x:v>
      </x:c>
      <x:c r="C306" s="5" t="n">
        <x:v>45364</x:v>
      </x:c>
      <x:c r="D306" t="str">
        <x:v>CUST-6286</x:v>
      </x:c>
      <x:c r="E306" t="str">
        <x:v>Karan Malhotra</x:v>
      </x:c>
      <x:c r="F306" t="str">
        <x:v>Consumer</x:v>
      </x:c>
      <x:c r="G306" t="str">
        <x:v>North</x:v>
      </x:c>
      <x:c r="H306" t="str">
        <x:v>Punjab</x:v>
      </x:c>
      <x:c r="I306" t="str">
        <x:v>Ludhiana</x:v>
      </x:c>
      <x:c r="J306" t="str">
        <x:v>Furniture</x:v>
      </x:c>
      <x:c r="K306" t="str">
        <x:v>Furnishings</x:v>
      </x:c>
      <x:c r="L306" t="str">
        <x:v>Pro Furnishings 991</x:v>
      </x:c>
      <x:c r="M306" t="str">
        <x:v>Standard Class</x:v>
      </x:c>
      <x:c r="N306" t="n">
        <x:v>6</x:v>
      </x:c>
      <x:c r="O306" s="7" t="n">
        <x:v>2403.05</x:v>
      </x:c>
      <x:c r="P306" s="6" t="n">
        <x:v>0.1</x:v>
      </x:c>
      <x:c r="Q306" s="7" t="n">
        <x:v>12976.47</x:v>
      </x:c>
      <x:c r="R306" s="7" t="n">
        <x:v>10019.98</x:v>
      </x:c>
      <x:c r="S306" s="7" t="n">
        <x:v>2956.49</x:v>
      </x:c>
      <x:c r="T306" t="str">
        <x:v>Paid</x:v>
      </x:c>
      <x:c r="U306" t="str">
        <x:v>Completed</x:v>
      </x:c>
      <x:c r="V306" s="6" t="n">
        <x:f>IF(ISBLANK(P306),IF(AND(ISNUMBER(N306),N306&gt;0,ISNUMBER(O306),O306&gt;=0,ISNUMBER(Q306),Q306&gt;=0,ISNUMBER(R306),R306&gt;=0,ISNUMBER(S306)),0,""),P306)</x:f>
        <x:v>0.1</x:v>
      </x:c>
      <x:c r="W306" s="7" t="n">
        <x:f>IF(ISBLANK(V306),"",N306*O306*(1-V306))</x:f>
        <x:v>12976.470000000001</x:v>
      </x:c>
      <x:c r="X306" s="7" t="n">
        <x:f>IF(OR(ISBLANK(W306),ISBLANK(R306)),"",W306-R306)</x:f>
        <x:v>2956.4900000000016</x:v>
      </x:c>
      <x:c r="Y306" s="8" t="n">
        <x:f>IF(OR(ISBLANK(W306),W306=0),"",X306/W306)</x:f>
        <x:v>0.22783468847845378</x:v>
      </x:c>
      <x:c r="Z306" s="9" t="n">
        <x:f>IF(OR(ISBLANK(B306),ISBLANK(C306)),"",C306-B306)</x:f>
        <x:v>7</x:v>
      </x:c>
      <x:c r="AA306" t="str">
        <x:f>IF(ISBLANK(B306),"",TEXT(B306,"mmm"))</x:f>
        <x:v>Mar</x:v>
      </x:c>
      <x:c r="AB306" s="9" t="n">
        <x:f>IF(ISBLANK(B306),"",YEAR(B306))</x:f>
        <x:v>2024</x:v>
      </x:c>
      <x:c r="AC306" s="10" t="str"/>
      <x:c r="AD306" t="str">
        <x:f>IF(AND(U306="Completed",T306="Paid",ISERROR(SEARCH("INVALID",AC306)),ISERROR(SEARCH("REVIEW",AC306))),"Include","Exclude")</x:f>
        <x:v>Include</x:v>
      </x:c>
      <x:c r="AE306" t="str">
        <x:f>IF(T306="Refunded","Refunded","")</x:f>
      </x:c>
    </x:row>
    <x:row r="307">
      <x:c r="A307" t="str">
        <x:v>ORD-2024-10306</x:v>
      </x:c>
      <x:c r="B307" s="5" t="n">
        <x:v>45413</x:v>
      </x:c>
      <x:c r="C307" s="5" t="n">
        <x:v>45414</x:v>
      </x:c>
      <x:c r="D307" t="str">
        <x:v>CUST-7246</x:v>
      </x:c>
      <x:c r="E307" t="str">
        <x:v>Ananya Rao</x:v>
      </x:c>
      <x:c r="F307" t="str">
        <x:v>Consumer</x:v>
      </x:c>
      <x:c r="G307" t="str">
        <x:v>East</x:v>
      </x:c>
      <x:c r="H307" t="str">
        <x:v>Assam</x:v>
      </x:c>
      <x:c r="I307" t="str">
        <x:v>Guwahati</x:v>
      </x:c>
      <x:c r="J307" t="str">
        <x:v>Furniture</x:v>
      </x:c>
      <x:c r="K307" t="str">
        <x:v>Chairs</x:v>
      </x:c>
      <x:c r="L307" t="str">
        <x:v>Eco Chairs 105</x:v>
      </x:c>
      <x:c r="M307" t="str">
        <x:v>First Class</x:v>
      </x:c>
      <x:c r="N307" t="n">
        <x:v>4</x:v>
      </x:c>
      <x:c r="O307" s="7" t="n">
        <x:v>4156.06</x:v>
      </x:c>
      <x:c r="P307" s="6" t="n">
        <x:v>0.55</x:v>
      </x:c>
      <x:c r="Q307" s="7" t="n">
        <x:v>13299.39</x:v>
      </x:c>
      <x:c r="R307" s="7" t="n">
        <x:v>9851.91</x:v>
      </x:c>
      <x:c r="S307" s="7" t="n">
        <x:v>3447.48</x:v>
      </x:c>
      <x:c r="T307" t="str">
        <x:v>Paid</x:v>
      </x:c>
      <x:c r="U307" t="str">
        <x:v>Cancelled</x:v>
      </x:c>
      <x:c r="V307" s="6" t="n">
        <x:f>IF(ISBLANK(P307),IF(AND(ISNUMBER(N307),N307&gt;0,ISNUMBER(O307),O307&gt;=0,ISNUMBER(Q307),Q307&gt;=0,ISNUMBER(R307),R307&gt;=0,ISNUMBER(S307)),0,""),P307)</x:f>
        <x:v>0.55</x:v>
      </x:c>
      <x:c r="W307" s="7" t="n">
        <x:f>IF(ISBLANK(V307),"",N307*O307*(1-V307))</x:f>
        <x:v>7480.908</x:v>
      </x:c>
      <x:c r="X307" s="7" t="n">
        <x:f>IF(OR(ISBLANK(W307),ISBLANK(R307)),"",W307-R307)</x:f>
        <x:v>-2371.0019999999995</x:v>
      </x:c>
      <x:c r="Y307" s="8" t="n">
        <x:f>IF(OR(ISBLANK(W307),W307=0),"",X307/W307)</x:f>
        <x:v>-0.31694040349112695</x:v>
      </x:c>
      <x:c r="Z307" s="9" t="n">
        <x:f>IF(OR(ISBLANK(B307),ISBLANK(C307)),"",C307-B307)</x:f>
        <x:v>1</x:v>
      </x:c>
      <x:c r="AA307" t="str">
        <x:f>IF(ISBLANK(B307),"",TEXT(B307,"mmm"))</x:f>
        <x:v>May</x:v>
      </x:c>
      <x:c r="AB307" s="9" t="n">
        <x:f>IF(ISBLANK(B307),"",YEAR(B307))</x:f>
        <x:v>2024</x:v>
      </x:c>
      <x:c r="AC307" s="10" t="str">
        <x:v>INVALID: Discount above allowed range; EXCLUDE: Cancelled order</x:v>
      </x:c>
      <x:c r="AD307" t="str">
        <x:f>IF(AND(U307="Completed",T307="Paid",ISERROR(SEARCH("INVALID",AC307)),ISERROR(SEARCH("REVIEW",AC307))),"Include","Exclude")</x:f>
        <x:v>Exclude</x:v>
      </x:c>
      <x:c r="AE307" t="str">
        <x:f>IF(T307="Refunded","Refunded","")</x:f>
      </x:c>
    </x:row>
    <x:row r="308">
      <x:c r="A308" t="str">
        <x:v>ORD-2025-10307</x:v>
      </x:c>
      <x:c r="B308" s="5" t="n">
        <x:v>45708</x:v>
      </x:c>
      <x:c r="C308" s="5" t="n">
        <x:v>45711</x:v>
      </x:c>
      <x:c r="D308" t="str">
        <x:v>CUST-2589</x:v>
      </x:c>
      <x:c r="E308" t="str">
        <x:v>Aarav Sharma</x:v>
      </x:c>
      <x:c r="F308" t="str">
        <x:v>Consumer</x:v>
      </x:c>
      <x:c r="G308" t="str">
        <x:v>North</x:v>
      </x:c>
      <x:c r="H308" t="str">
        <x:v>Rajasthan</x:v>
      </x:c>
      <x:c r="I308" t="str">
        <x:v>Jaipur</x:v>
      </x:c>
      <x:c r="J308" t="str">
        <x:v>Technology</x:v>
      </x:c>
      <x:c r="K308" t="str">
        <x:v>Phones</x:v>
      </x:c>
      <x:c r="L308" t="str">
        <x:v>Pro Phones 530</x:v>
      </x:c>
      <x:c r="M308" t="str">
        <x:v>Second Class</x:v>
      </x:c>
      <x:c r="N308" t="n">
        <x:v>4</x:v>
      </x:c>
      <x:c r="O308" s="7" t="n">
        <x:v>3673.11</x:v>
      </x:c>
      <x:c r="P308" s="6" t="n">
        <x:v>0</x:v>
      </x:c>
      <x:c r="Q308" s="7" t="n">
        <x:v>14692.44</x:v>
      </x:c>
      <x:c r="R308" s="7" t="n">
        <x:v>10082.19</x:v>
      </x:c>
      <x:c r="S308" s="7" t="n">
        <x:v>4610.25</x:v>
      </x:c>
      <x:c r="T308" t="str">
        <x:v>Paid</x:v>
      </x:c>
      <x:c r="U308" t="str">
        <x:v>Completed</x:v>
      </x:c>
      <x:c r="V308" s="6" t="n">
        <x:f>IF(ISBLANK(P308),IF(AND(ISNUMBER(N308),N308&gt;0,ISNUMBER(O308),O308&gt;=0,ISNUMBER(Q308),Q308&gt;=0,ISNUMBER(R308),R308&gt;=0,ISNUMBER(S308)),0,""),P308)</x:f>
        <x:v>0</x:v>
      </x:c>
      <x:c r="W308" s="7" t="n">
        <x:f>IF(ISBLANK(V308),"",N308*O308*(1-V308))</x:f>
        <x:v>14692.44</x:v>
      </x:c>
      <x:c r="X308" s="7" t="n">
        <x:f>IF(OR(ISBLANK(W308),ISBLANK(R308)),"",W308-R308)</x:f>
        <x:v>4610.25</x:v>
      </x:c>
      <x:c r="Y308" s="8" t="n">
        <x:f>IF(OR(ISBLANK(W308),W308=0),"",X308/W308)</x:f>
        <x:v>0.31378382351740075</x:v>
      </x:c>
      <x:c r="Z308" s="9" t="n">
        <x:f>IF(OR(ISBLANK(B308),ISBLANK(C308)),"",C308-B308)</x:f>
        <x:v>3</x:v>
      </x:c>
      <x:c r="AA308" t="str">
        <x:f>IF(ISBLANK(B308),"",TEXT(B308,"mmm"))</x:f>
        <x:v>Feb</x:v>
      </x:c>
      <x:c r="AB308" s="9" t="n">
        <x:f>IF(ISBLANK(B308),"",YEAR(B308))</x:f>
        <x:v>2025</x:v>
      </x:c>
      <x:c r="AC308" s="10" t="str"/>
      <x:c r="AD308" t="str">
        <x:f>IF(AND(U308="Completed",T308="Paid",ISERROR(SEARCH("INVALID",AC308)),ISERROR(SEARCH("REVIEW",AC308))),"Include","Exclude")</x:f>
        <x:v>Include</x:v>
      </x:c>
      <x:c r="AE308" t="str">
        <x:f>IF(T308="Refunded","Refunded","")</x:f>
      </x:c>
    </x:row>
    <x:row r="309">
      <x:c r="A309" t="str">
        <x:v>ORD-2025-10308</x:v>
      </x:c>
      <x:c r="B309" s="5" t="n">
        <x:v>45850</x:v>
      </x:c>
      <x:c r="C309" s="5" t="n">
        <x:v>45857</x:v>
      </x:c>
      <x:c r="D309" t="str">
        <x:v>CUST-4153</x:v>
      </x:c>
      <x:c r="E309" t="str">
        <x:v>Ananya Rao</x:v>
      </x:c>
      <x:c r="F309" t="str">
        <x:v>Corporate</x:v>
      </x:c>
      <x:c r="G309" t="str">
        <x:v>North</x:v>
      </x:c>
      <x:c r="H309" t="str">
        <x:v>Uttar Pradesh</x:v>
      </x:c>
      <x:c r="I309" t="str">
        <x:v>Noida</x:v>
      </x:c>
      <x:c r="J309" t="str">
        <x:v>Furniture</x:v>
      </x:c>
      <x:c r="K309" t="str">
        <x:v>Tables</x:v>
      </x:c>
      <x:c r="L309" t="str">
        <x:v>Basic Tables 911</x:v>
      </x:c>
      <x:c r="M309" t="str">
        <x:v>First Class</x:v>
      </x:c>
      <x:c r="N309" t="n">
        <x:v>9</x:v>
      </x:c>
      <x:c r="O309" s="7" t="n">
        <x:v>4093.04</x:v>
      </x:c>
      <x:c r="P309" s="6" t="n">
        <x:v>0.2</x:v>
      </x:c>
      <x:c r="Q309" s="7" t="n">
        <x:v>29469.89</x:v>
      </x:c>
      <x:c r="R309" s="7" t="n">
        <x:v>18935.51</x:v>
      </x:c>
      <x:c r="S309" s="7" t="n">
        <x:v>10534.38</x:v>
      </x:c>
      <x:c r="T309" t="str">
        <x:v>Pending</x:v>
      </x:c>
      <x:c r="U309" t="str">
        <x:v>Cancelled</x:v>
      </x:c>
      <x:c r="V309" s="6" t="n">
        <x:f>IF(ISBLANK(P309),IF(AND(ISNUMBER(N309),N309&gt;0,ISNUMBER(O309),O309&gt;=0,ISNUMBER(Q309),Q309&gt;=0,ISNUMBER(R309),R309&gt;=0,ISNUMBER(S309)),0,""),P309)</x:f>
        <x:v>0.2</x:v>
      </x:c>
      <x:c r="W309" s="7" t="n">
        <x:f>IF(ISBLANK(V309),"",N309*O309*(1-V309))</x:f>
        <x:v>29469.888000000003</x:v>
      </x:c>
      <x:c r="X309" s="7" t="n">
        <x:f>IF(OR(ISBLANK(W309),ISBLANK(R309)),"",W309-R309)</x:f>
        <x:v>10534.378000000004</x:v>
      </x:c>
      <x:c r="Y309" s="8" t="n">
        <x:f>IF(OR(ISBLANK(W309),W309=0),"",X309/W309)</x:f>
        <x:v>0.3574624375905332</x:v>
      </x:c>
      <x:c r="Z309" s="9" t="n">
        <x:f>IF(OR(ISBLANK(B309),ISBLANK(C309)),"",C309-B309)</x:f>
        <x:v>7</x:v>
      </x:c>
      <x:c r="AA309" t="str">
        <x:f>IF(ISBLANK(B309),"",TEXT(B309,"mmm"))</x:f>
        <x:v>Jul</x:v>
      </x:c>
      <x:c r="AB309" s="9" t="n">
        <x:f>IF(ISBLANK(B309),"",YEAR(B309))</x:f>
        <x:v>2025</x:v>
      </x:c>
      <x:c r="AC309" s="10" t="str">
        <x:v>EXCLUDE: Cancelled order</x:v>
      </x:c>
      <x:c r="AD309" t="str">
        <x:f>IF(AND(U309="Completed",T309="Paid",ISERROR(SEARCH("INVALID",AC309)),ISERROR(SEARCH("REVIEW",AC309))),"Include","Exclude")</x:f>
        <x:v>Exclude</x:v>
      </x:c>
      <x:c r="AE309" t="str">
        <x:f>IF(T309="Refunded","Refunded","")</x:f>
      </x:c>
    </x:row>
    <x:row r="310">
      <x:c r="A310" t="str">
        <x:v>ORD-2025-10309</x:v>
      </x:c>
      <x:c r="B310" s="5" t="n">
        <x:v>45821</x:v>
      </x:c>
      <x:c r="C310" s="5" t="n">
        <x:v>45827</x:v>
      </x:c>
      <x:c r="D310" t="str">
        <x:v>CUST-6727</x:v>
      </x:c>
      <x:c r="E310" t="str">
        <x:v>Rohan Mehta</x:v>
      </x:c>
      <x:c r="F310" t="str">
        <x:v>Consumer</x:v>
      </x:c>
      <x:c r="G310" t="str">
        <x:v>North</x:v>
      </x:c>
      <x:c r="H310" t="str">
        <x:v>Rajasthan</x:v>
      </x:c>
      <x:c r="I310" t="str">
        <x:v>Jaipur</x:v>
      </x:c>
      <x:c r="J310" t="str">
        <x:v>Furniture</x:v>
      </x:c>
      <x:c r="K310" t="str">
        <x:v>Tables</x:v>
      </x:c>
      <x:c r="L310" t="str">
        <x:v>Classic Tables 224</x:v>
      </x:c>
      <x:c r="M310" t="str">
        <x:v>First Class</x:v>
      </x:c>
      <x:c r="N310" t="n">
        <x:v>4</x:v>
      </x:c>
      <x:c r="O310" s="7" t="n">
        <x:v>731.57</x:v>
      </x:c>
      <x:c r="P310" s="6" t="n">
        <x:v>0.2</x:v>
      </x:c>
      <x:c r="Q310" s="7" t="n">
        <x:v>2341.02</x:v>
      </x:c>
      <x:c r="R310" s="7" t="n">
        <x:v>1565.49</x:v>
      </x:c>
      <x:c r="S310" s="7" t="n">
        <x:v>775.53</x:v>
      </x:c>
      <x:c r="T310" t="str">
        <x:v>Paid</x:v>
      </x:c>
      <x:c r="U310" t="str">
        <x:v>Completed</x:v>
      </x:c>
      <x:c r="V310" s="6" t="n">
        <x:f>IF(ISBLANK(P310),IF(AND(ISNUMBER(N310),N310&gt;0,ISNUMBER(O310),O310&gt;=0,ISNUMBER(Q310),Q310&gt;=0,ISNUMBER(R310),R310&gt;=0,ISNUMBER(S310)),0,""),P310)</x:f>
        <x:v>0.2</x:v>
      </x:c>
      <x:c r="W310" s="7" t="n">
        <x:f>IF(ISBLANK(V310),"",N310*O310*(1-V310))</x:f>
        <x:v>2341.0240000000003</x:v>
      </x:c>
      <x:c r="X310" s="7" t="n">
        <x:f>IF(OR(ISBLANK(W310),ISBLANK(R310)),"",W310-R310)</x:f>
        <x:v>775.5340000000003</x:v>
      </x:c>
      <x:c r="Y310" s="8" t="n">
        <x:f>IF(OR(ISBLANK(W310),W310=0),"",X310/W310)</x:f>
        <x:v>0.33127981601213835</x:v>
      </x:c>
      <x:c r="Z310" s="9" t="n">
        <x:f>IF(OR(ISBLANK(B310),ISBLANK(C310)),"",C310-B310)</x:f>
        <x:v>6</x:v>
      </x:c>
      <x:c r="AA310" t="str">
        <x:f>IF(ISBLANK(B310),"",TEXT(B310,"mmm"))</x:f>
        <x:v>Jun</x:v>
      </x:c>
      <x:c r="AB310" s="9" t="n">
        <x:f>IF(ISBLANK(B310),"",YEAR(B310))</x:f>
        <x:v>2025</x:v>
      </x:c>
      <x:c r="AC310" s="10" t="str"/>
      <x:c r="AD310" t="str">
        <x:f>IF(AND(U310="Completed",T310="Paid",ISERROR(SEARCH("INVALID",AC310)),ISERROR(SEARCH("REVIEW",AC310))),"Include","Exclude")</x:f>
        <x:v>Include</x:v>
      </x:c>
      <x:c r="AE310" t="str">
        <x:f>IF(T310="Refunded","Refunded","")</x:f>
      </x:c>
    </x:row>
    <x:row r="311">
      <x:c r="A311" t="str">
        <x:v>ORD-2024-10310</x:v>
      </x:c>
      <x:c r="B311" s="5" t="n">
        <x:v>45493</x:v>
      </x:c>
      <x:c r="C311" s="5" t="n">
        <x:v>45495</x:v>
      </x:c>
      <x:c r="D311" t="str">
        <x:v>CUST-8860</x:v>
      </x:c>
      <x:c r="E311" t="str">
        <x:v>Ananya Rao</x:v>
      </x:c>
      <x:c r="F311" t="str">
        <x:v>Consumer</x:v>
      </x:c>
      <x:c r="G311" t="str">
        <x:v>South</x:v>
      </x:c>
      <x:c r="H311" t="str">
        <x:v>Tamil Nadu</x:v>
      </x:c>
      <x:c r="I311" t="str">
        <x:v>Chennai</x:v>
      </x:c>
      <x:c r="J311" t="str">
        <x:v>Furniture</x:v>
      </x:c>
      <x:c r="K311" t="str">
        <x:v>Tables</x:v>
      </x:c>
      <x:c r="L311" t="str">
        <x:v>Prime Tables 214</x:v>
      </x:c>
      <x:c r="M311" t="str">
        <x:v>First Class</x:v>
      </x:c>
      <x:c r="N311" t="n">
        <x:v>7</x:v>
      </x:c>
      <x:c r="O311" s="7" t="n">
        <x:v>2060.73</x:v>
      </x:c>
      <x:c r="P311" s="6" t="n">
        <x:v>0.1</x:v>
      </x:c>
      <x:c r="Q311" s="7" t="n">
        <x:v>12982.6</x:v>
      </x:c>
      <x:c r="R311" s="7" t="n">
        <x:v>7246.36</x:v>
      </x:c>
      <x:c r="S311" s="7" t="n">
        <x:v>5736.24</x:v>
      </x:c>
      <x:c r="T311" t="str">
        <x:v>Paid</x:v>
      </x:c>
      <x:c r="U311" t="str">
        <x:v>Cancelled</x:v>
      </x:c>
      <x:c r="V311" s="6" t="n">
        <x:f>IF(ISBLANK(P311),IF(AND(ISNUMBER(N311),N311&gt;0,ISNUMBER(O311),O311&gt;=0,ISNUMBER(Q311),Q311&gt;=0,ISNUMBER(R311),R311&gt;=0,ISNUMBER(S311)),0,""),P311)</x:f>
        <x:v>0.1</x:v>
      </x:c>
      <x:c r="W311" s="7" t="n">
        <x:f>IF(ISBLANK(V311),"",N311*O311*(1-V311))</x:f>
        <x:v>12982.599</x:v>
      </x:c>
      <x:c r="X311" s="7" t="n">
        <x:f>IF(OR(ISBLANK(W311),ISBLANK(R311)),"",W311-R311)</x:f>
        <x:v>5736.2390000000005</x:v>
      </x:c>
      <x:c r="Y311" s="8" t="n">
        <x:f>IF(OR(ISBLANK(W311),W311=0),"",X311/W311)</x:f>
        <x:v>0.441840574448922</x:v>
      </x:c>
      <x:c r="Z311" s="9" t="n">
        <x:f>IF(OR(ISBLANK(B311),ISBLANK(C311)),"",C311-B311)</x:f>
        <x:v>2</x:v>
      </x:c>
      <x:c r="AA311" t="str">
        <x:f>IF(ISBLANK(B311),"",TEXT(B311,"mmm"))</x:f>
        <x:v>Jul</x:v>
      </x:c>
      <x:c r="AB311" s="9" t="n">
        <x:f>IF(ISBLANK(B311),"",YEAR(B311))</x:f>
        <x:v>2024</x:v>
      </x:c>
      <x:c r="AC311" s="10" t="str">
        <x:v>EXCLUDE: Cancelled order</x:v>
      </x:c>
      <x:c r="AD311" t="str">
        <x:f>IF(AND(U311="Completed",T311="Paid",ISERROR(SEARCH("INVALID",AC311)),ISERROR(SEARCH("REVIEW",AC311))),"Include","Exclude")</x:f>
        <x:v>Exclude</x:v>
      </x:c>
      <x:c r="AE311" t="str">
        <x:f>IF(T311="Refunded","Refunded","")</x:f>
      </x:c>
    </x:row>
    <x:row r="312">
      <x:c r="A312" t="str">
        <x:v>ORD-2024-10311</x:v>
      </x:c>
      <x:c r="B312" s="5" t="n">
        <x:v>45477</x:v>
      </x:c>
      <x:c r="C312" s="5" t="n">
        <x:v>45481</x:v>
      </x:c>
      <x:c r="D312" t="str">
        <x:v>CUST-3784</x:v>
      </x:c>
      <x:c r="E312" t="str">
        <x:v>Rohan Mehta</x:v>
      </x:c>
      <x:c r="F312" t="str">
        <x:v>Small Business</x:v>
      </x:c>
      <x:c r="G312" t="str">
        <x:v>South</x:v>
      </x:c>
      <x:c r="H312" t="str">
        <x:v>Tamil Nadu</x:v>
      </x:c>
      <x:c r="I312" t="str">
        <x:v>Chennai</x:v>
      </x:c>
      <x:c r="J312" t="str">
        <x:v>Technology</x:v>
      </x:c>
      <x:c r="K312" t="str">
        <x:v>Machines</x:v>
      </x:c>
      <x:c r="L312" t="str">
        <x:v>Max Machines 988</x:v>
      </x:c>
      <x:c r="M312" t="str">
        <x:v>First Class</x:v>
      </x:c>
      <x:c r="N312" t="n">
        <x:v>8</x:v>
      </x:c>
      <x:c r="O312" s="7" t="n">
        <x:v>2034.25</x:v>
      </x:c>
      <x:c r="P312" s="6" t="n">
        <x:v>0</x:v>
      </x:c>
      <x:c r="Q312" s="7" t="n">
        <x:v>16274</x:v>
      </x:c>
      <x:c r="R312" s="7" t="n">
        <x:v>9424.25</x:v>
      </x:c>
      <x:c r="S312" s="7" t="n">
        <x:v>6849.75</x:v>
      </x:c>
      <x:c r="T312" t="str">
        <x:v>Paid</x:v>
      </x:c>
      <x:c r="U312" t="str">
        <x:v>Completed</x:v>
      </x:c>
      <x:c r="V312" s="6" t="n">
        <x:f>IF(ISBLANK(P312),IF(AND(ISNUMBER(N312),N312&gt;0,ISNUMBER(O312),O312&gt;=0,ISNUMBER(Q312),Q312&gt;=0,ISNUMBER(R312),R312&gt;=0,ISNUMBER(S312)),0,""),P312)</x:f>
        <x:v>0</x:v>
      </x:c>
      <x:c r="W312" s="7" t="n">
        <x:f>IF(ISBLANK(V312),"",N312*O312*(1-V312))</x:f>
        <x:v>16274</x:v>
      </x:c>
      <x:c r="X312" s="7" t="n">
        <x:f>IF(OR(ISBLANK(W312),ISBLANK(R312)),"",W312-R312)</x:f>
        <x:v>6849.75</x:v>
      </x:c>
      <x:c r="Y312" s="8" t="n">
        <x:f>IF(OR(ISBLANK(W312),W312=0),"",X312/W312)</x:f>
        <x:v>0.4209014378763672</x:v>
      </x:c>
      <x:c r="Z312" s="9" t="n">
        <x:f>IF(OR(ISBLANK(B312),ISBLANK(C312)),"",C312-B312)</x:f>
        <x:v>4</x:v>
      </x:c>
      <x:c r="AA312" t="str">
        <x:f>IF(ISBLANK(B312),"",TEXT(B312,"mmm"))</x:f>
        <x:v>Jul</x:v>
      </x:c>
      <x:c r="AB312" s="9" t="n">
        <x:f>IF(ISBLANK(B312),"",YEAR(B312))</x:f>
        <x:v>2024</x:v>
      </x:c>
      <x:c r="AC312" s="10" t="str"/>
      <x:c r="AD312" t="str">
        <x:f>IF(AND(U312="Completed",T312="Paid",ISERROR(SEARCH("INVALID",AC312)),ISERROR(SEARCH("REVIEW",AC312))),"Include","Exclude")</x:f>
        <x:v>Include</x:v>
      </x:c>
      <x:c r="AE312" t="str">
        <x:f>IF(T312="Refunded","Refunded","")</x:f>
      </x:c>
    </x:row>
    <x:row r="313">
      <x:c r="A313" t="str">
        <x:v>ORD-2024-10312</x:v>
      </x:c>
      <x:c r="B313" s="5" t="n">
        <x:v>45409</x:v>
      </x:c>
      <x:c r="C313" s="5" t="n">
        <x:v>45414</x:v>
      </x:c>
      <x:c r="D313" t="str">
        <x:v>CUST-3545</x:v>
      </x:c>
      <x:c r="E313" t="str">
        <x:v>Mira Das</x:v>
      </x:c>
      <x:c r="F313" t="str">
        <x:v>Corporate</x:v>
      </x:c>
      <x:c r="G313" t="str">
        <x:v>South</x:v>
      </x:c>
      <x:c r="H313" t="str">
        <x:v>Karnataka</x:v>
      </x:c>
      <x:c r="I313" t="str">
        <x:v>Bengaluru</x:v>
      </x:c>
      <x:c r="J313" t="str">
        <x:v>Office Supplies</x:v>
      </x:c>
      <x:c r="K313" t="str">
        <x:v>Binders</x:v>
      </x:c>
      <x:c r="L313" t="str">
        <x:v>Max Binders 425</x:v>
      </x:c>
      <x:c r="M313" t="str">
        <x:v>Second Class</x:v>
      </x:c>
      <x:c r="N313" t="n">
        <x:v>5</x:v>
      </x:c>
      <x:c r="O313" s="7" t="n">
        <x:v>554.04</x:v>
      </x:c>
      <x:c r="P313" s="6" t="n">
        <x:v>0.1</x:v>
      </x:c>
      <x:c r="Q313" s="7" t="n">
        <x:v>2493.18</x:v>
      </x:c>
      <x:c r="R313" s="7" t="n">
        <x:v>1764</x:v>
      </x:c>
      <x:c r="S313" s="7" t="n">
        <x:v>729.18</x:v>
      </x:c>
      <x:c r="T313" t="str">
        <x:v>Paid</x:v>
      </x:c>
      <x:c r="U313" t="str">
        <x:v>Completed</x:v>
      </x:c>
      <x:c r="V313" s="6" t="n">
        <x:f>IF(ISBLANK(P313),IF(AND(ISNUMBER(N313),N313&gt;0,ISNUMBER(O313),O313&gt;=0,ISNUMBER(Q313),Q313&gt;=0,ISNUMBER(R313),R313&gt;=0,ISNUMBER(S313)),0,""),P313)</x:f>
        <x:v>0.1</x:v>
      </x:c>
      <x:c r="W313" s="7" t="n">
        <x:f>IF(ISBLANK(V313),"",N313*O313*(1-V313))</x:f>
        <x:v>2493.18</x:v>
      </x:c>
      <x:c r="X313" s="7" t="n">
        <x:f>IF(OR(ISBLANK(W313),ISBLANK(R313)),"",W313-R313)</x:f>
        <x:v>729.1799999999998</x:v>
      </x:c>
      <x:c r="Y313" s="8" t="n">
        <x:f>IF(OR(ISBLANK(W313),W313=0),"",X313/W313)</x:f>
        <x:v>0.29246985777200196</x:v>
      </x:c>
      <x:c r="Z313" s="9" t="n">
        <x:f>IF(OR(ISBLANK(B313),ISBLANK(C313)),"",C313-B313)</x:f>
        <x:v>5</x:v>
      </x:c>
      <x:c r="AA313" t="str">
        <x:f>IF(ISBLANK(B313),"",TEXT(B313,"mmm"))</x:f>
        <x:v>Apr</x:v>
      </x:c>
      <x:c r="AB313" s="9" t="n">
        <x:f>IF(ISBLANK(B313),"",YEAR(B313))</x:f>
        <x:v>2024</x:v>
      </x:c>
      <x:c r="AC313" s="10" t="str"/>
      <x:c r="AD313" t="str">
        <x:f>IF(AND(U313="Completed",T313="Paid",ISERROR(SEARCH("INVALID",AC313)),ISERROR(SEARCH("REVIEW",AC313))),"Include","Exclude")</x:f>
        <x:v>Include</x:v>
      </x:c>
      <x:c r="AE313" t="str">
        <x:f>IF(T313="Refunded","Refunded","")</x:f>
      </x:c>
    </x:row>
    <x:row r="314">
      <x:c r="A314" t="str">
        <x:v>ORD-2024-10313</x:v>
      </x:c>
      <x:c r="B314" s="5" t="n">
        <x:v>45504</x:v>
      </x:c>
      <x:c r="C314" s="5" t="n">
        <x:v>45508</x:v>
      </x:c>
      <x:c r="D314" t="str">
        <x:v>CUST-4851</x:v>
      </x:c>
      <x:c r="E314" t="str">
        <x:v>Karan Malhotra</x:v>
      </x:c>
      <x:c r="F314" t="str">
        <x:v>Small Business</x:v>
      </x:c>
      <x:c r="G314" t="str">
        <x:v>East</x:v>
      </x:c>
      <x:c r="H314" t="str">
        <x:v>Assam</x:v>
      </x:c>
      <x:c r="I314" t="str">
        <x:v>Guwahati</x:v>
      </x:c>
      <x:c r="J314" t="str">
        <x:v>Technology</x:v>
      </x:c>
      <x:c r="K314" t="str">
        <x:v>Phones</x:v>
      </x:c>
      <x:c r="L314" t="str">
        <x:v>Elite Phones 679</x:v>
      </x:c>
      <x:c r="M314" t="str">
        <x:v>Standard Class</x:v>
      </x:c>
      <x:c r="N314" t="n">
        <x:v>8</x:v>
      </x:c>
      <x:c r="O314" s="7" t="n">
        <x:v>2614.74</x:v>
      </x:c>
      <x:c r="P314" s="6"/>
      <x:c r="Q314" s="7" t="n">
        <x:v>15688.44</x:v>
      </x:c>
      <x:c r="R314" s="7" t="n">
        <x:v>10047.33</x:v>
      </x:c>
      <x:c r="S314" s="7" t="n">
        <x:v>5641.11</x:v>
      </x:c>
      <x:c r="T314" t="str">
        <x:v>Paid</x:v>
      </x:c>
      <x:c r="U314" t="str">
        <x:v>Cancelled</x:v>
      </x:c>
      <x:c r="V314" s="6" t="n">
        <x:f>IF(ISBLANK(P314),IF(AND(ISNUMBER(N314),N314&gt;0,ISNUMBER(O314),O314&gt;=0,ISNUMBER(Q314),Q314&gt;=0,ISNUMBER(R314),R314&gt;=0,ISNUMBER(S314)),0,""),P314)</x:f>
        <x:v>0</x:v>
      </x:c>
      <x:c r="W314" s="7" t="n">
        <x:f>IF(ISBLANK(V314),"",N314*O314*(1-V314))</x:f>
        <x:v>20917.92</x:v>
      </x:c>
      <x:c r="X314" s="7" t="n">
        <x:f>IF(OR(ISBLANK(W314),ISBLANK(R314)),"",W314-R314)</x:f>
        <x:v>10870.589999999998</x:v>
      </x:c>
      <x:c r="Y314" s="8" t="n">
        <x:f>IF(OR(ISBLANK(W314),W314=0),"",X314/W314)</x:f>
        <x:v>0.5196783427797792</x:v>
      </x:c>
      <x:c r="Z314" s="9" t="n">
        <x:f>IF(OR(ISBLANK(B314),ISBLANK(C314)),"",C314-B314)</x:f>
        <x:v>4</x:v>
      </x:c>
      <x:c r="AA314" t="str">
        <x:f>IF(ISBLANK(B314),"",TEXT(B314,"mmm"))</x:f>
        <x:v>Jul</x:v>
      </x:c>
      <x:c r="AB314" s="9" t="n">
        <x:f>IF(ISBLANK(B314),"",YEAR(B314))</x:f>
        <x:v>2024</x:v>
      </x:c>
      <x:c r="AC314" s="10" t="str">
        <x:v>FLAG: Missing discount treated as 0; EXCLUDE: Cancelled order</x:v>
      </x:c>
      <x:c r="AD314" t="str">
        <x:f>IF(AND(U314="Completed",T314="Paid",ISERROR(SEARCH("INVALID",AC314)),ISERROR(SEARCH("REVIEW",AC314))),"Include","Exclude")</x:f>
        <x:v>Exclude</x:v>
      </x:c>
      <x:c r="AE314" t="str">
        <x:f>IF(T314="Refunded","Refunded","")</x:f>
      </x:c>
    </x:row>
    <x:row r="315">
      <x:c r="A315" t="str">
        <x:v>ORD-2025-10314</x:v>
      </x:c>
      <x:c r="B315" s="5" t="n">
        <x:v>45807</x:v>
      </x:c>
      <x:c r="C315" s="5" t="n">
        <x:v>45808</x:v>
      </x:c>
      <x:c r="D315" t="str">
        <x:v>CUST-4770</x:v>
      </x:c>
      <x:c r="E315" t="str">
        <x:v>Rahul Verma</x:v>
      </x:c>
      <x:c r="F315" t="str">
        <x:v>Corporate</x:v>
      </x:c>
      <x:c r="G315" t="str">
        <x:v>North</x:v>
      </x:c>
      <x:c r="H315" t="str">
        <x:v>Uttar Pradesh</x:v>
      </x:c>
      <x:c r="I315" t="str">
        <x:v>Noida</x:v>
      </x:c>
      <x:c r="J315" t="str">
        <x:v>Technology</x:v>
      </x:c>
      <x:c r="K315" t="str">
        <x:v>Phones</x:v>
      </x:c>
      <x:c r="L315" t="str">
        <x:v>Pro Phones 764</x:v>
      </x:c>
      <x:c r="M315" t="str">
        <x:v>First Class</x:v>
      </x:c>
      <x:c r="N315" t="n">
        <x:v>8</x:v>
      </x:c>
      <x:c r="O315" s="7" t="n">
        <x:v>2081.43</x:v>
      </x:c>
      <x:c r="P315" s="6" t="n">
        <x:v>0.25</x:v>
      </x:c>
      <x:c r="Q315" s="7" t="n">
        <x:v>12488.58</x:v>
      </x:c>
      <x:c r="R315" s="7" t="n">
        <x:v>10717.4</x:v>
      </x:c>
      <x:c r="S315" s="7" t="n">
        <x:v>1771.18</x:v>
      </x:c>
      <x:c r="T315" t="str">
        <x:v>Refunded</x:v>
      </x:c>
      <x:c r="U315" t="str">
        <x:v>Cancelled</x:v>
      </x:c>
      <x:c r="V315" s="6" t="n">
        <x:f>IF(ISBLANK(P315),IF(AND(ISNUMBER(N315),N315&gt;0,ISNUMBER(O315),O315&gt;=0,ISNUMBER(Q315),Q315&gt;=0,ISNUMBER(R315),R315&gt;=0,ISNUMBER(S315)),0,""),P315)</x:f>
        <x:v>0.25</x:v>
      </x:c>
      <x:c r="W315" s="7" t="n">
        <x:f>IF(ISBLANK(V315),"",N315*O315*(1-V315))</x:f>
        <x:v>12488.579999999998</x:v>
      </x:c>
      <x:c r="X315" s="7" t="n">
        <x:f>IF(OR(ISBLANK(W315),ISBLANK(R315)),"",W315-R315)</x:f>
        <x:v>1771.1799999999985</x:v>
      </x:c>
      <x:c r="Y315" s="8" t="n">
        <x:f>IF(OR(ISBLANK(W315),W315=0),"",X315/W315)</x:f>
        <x:v>0.14182397037933847</x:v>
      </x:c>
      <x:c r="Z315" s="9" t="n">
        <x:f>IF(OR(ISBLANK(B315),ISBLANK(C315)),"",C315-B315)</x:f>
        <x:v>1</x:v>
      </x:c>
      <x:c r="AA315" t="str">
        <x:f>IF(ISBLANK(B315),"",TEXT(B315,"mmm"))</x:f>
        <x:v>May</x:v>
      </x:c>
      <x:c r="AB315" s="9" t="n">
        <x:f>IF(ISBLANK(B315),"",YEAR(B315))</x:f>
        <x:v>2025</x:v>
      </x:c>
      <x:c r="AC315" s="10" t="str">
        <x:v>EXCLUDE: Cancelled order; REFUND: Summarize separately</x:v>
      </x:c>
      <x:c r="AD315" t="str">
        <x:f>IF(AND(U315="Completed",T315="Paid",ISERROR(SEARCH("INVALID",AC315)),ISERROR(SEARCH("REVIEW",AC315))),"Include","Exclude")</x:f>
        <x:v>Exclude</x:v>
      </x:c>
      <x:c r="AE315" t="str">
        <x:f>IF(T315="Refunded","Refunded","")</x:f>
        <x:v>Refunded</x:v>
      </x:c>
    </x:row>
    <x:row r="316">
      <x:c r="A316" t="str">
        <x:v>ORD-2025-10315</x:v>
      </x:c>
      <x:c r="B316" s="5" t="n">
        <x:v>45795</x:v>
      </x:c>
      <x:c r="C316" s="5" t="n">
        <x:v>45797</x:v>
      </x:c>
      <x:c r="D316" t="str">
        <x:v>CUST-1945</x:v>
      </x:c>
      <x:c r="E316" t="str">
        <x:v>Isha Nair</x:v>
      </x:c>
      <x:c r="F316" t="str">
        <x:v>Corporate</x:v>
      </x:c>
      <x:c r="G316" t="str">
        <x:v>West</x:v>
      </x:c>
      <x:c r="H316" t="str">
        <x:v>Madhya Pradesh</x:v>
      </x:c>
      <x:c r="I316" t="str">
        <x:v>Indore</x:v>
      </x:c>
      <x:c r="J316" t="str">
        <x:v>Office Supplies</x:v>
      </x:c>
      <x:c r="K316" t="str">
        <x:v>Labels</x:v>
      </x:c>
      <x:c r="L316" t="str">
        <x:v>Elite Labels 544</x:v>
      </x:c>
      <x:c r="M316" t="str">
        <x:v>Standard Class</x:v>
      </x:c>
      <x:c r="N316" t="n">
        <x:v>9</x:v>
      </x:c>
      <x:c r="O316" s="7" t="n">
        <x:v>847.76</x:v>
      </x:c>
      <x:c r="P316" s="6" t="n">
        <x:v>0.15</x:v>
      </x:c>
      <x:c r="Q316" s="7" t="n">
        <x:v>6485.36</x:v>
      </x:c>
      <x:c r="R316" s="7" t="n">
        <x:v>5376.17</x:v>
      </x:c>
      <x:c r="S316" s="7" t="n">
        <x:v>1109.19</x:v>
      </x:c>
      <x:c r="T316" t="str">
        <x:v>Failed</x:v>
      </x:c>
      <x:c r="U316" t="str">
        <x:v>Returned</x:v>
      </x:c>
      <x:c r="V316" s="6" t="n">
        <x:f>IF(ISBLANK(P316),IF(AND(ISNUMBER(N316),N316&gt;0,ISNUMBER(O316),O316&gt;=0,ISNUMBER(Q316),Q316&gt;=0,ISNUMBER(R316),R316&gt;=0,ISNUMBER(S316)),0,""),P316)</x:f>
        <x:v>0.15</x:v>
      </x:c>
      <x:c r="W316" s="7" t="n">
        <x:f>IF(ISBLANK(V316),"",N316*O316*(1-V316))</x:f>
        <x:v>6485.364</x:v>
      </x:c>
      <x:c r="X316" s="7" t="n">
        <x:f>IF(OR(ISBLANK(W316),ISBLANK(R316)),"",W316-R316)</x:f>
        <x:v>1109.1939999999995</x:v>
      </x:c>
      <x:c r="Y316" s="8" t="n">
        <x:f>IF(OR(ISBLANK(W316),W316=0),"",X316/W316)</x:f>
        <x:v>0.17103033846673826</x:v>
      </x:c>
      <x:c r="Z316" s="9" t="n">
        <x:f>IF(OR(ISBLANK(B316),ISBLANK(C316)),"",C316-B316)</x:f>
        <x:v>2</x:v>
      </x:c>
      <x:c r="AA316" t="str">
        <x:f>IF(ISBLANK(B316),"",TEXT(B316,"mmm"))</x:f>
        <x:v>May</x:v>
      </x:c>
      <x:c r="AB316" s="9" t="n">
        <x:f>IF(ISBLANK(B316),"",YEAR(B316))</x:f>
        <x:v>2025</x:v>
      </x:c>
      <x:c r="AC316" s="10" t="str">
        <x:v>EXCLUDE: Failed payment; REVIEW: Conflicting duplicate order_id</x:v>
      </x:c>
      <x:c r="AD316" t="str">
        <x:f>IF(AND(U316="Completed",T316="Paid",ISERROR(SEARCH("INVALID",AC316)),ISERROR(SEARCH("REVIEW",AC316))),"Include","Exclude")</x:f>
        <x:v>Exclude</x:v>
      </x:c>
      <x:c r="AE316" t="str">
        <x:f>IF(T316="Refunded","Refunded","")</x:f>
      </x:c>
    </x:row>
    <x:row r="317">
      <x:c r="A317" t="str">
        <x:v>ORD-2024-10316</x:v>
      </x:c>
      <x:c r="B317" s="5" t="n">
        <x:v>45475</x:v>
      </x:c>
      <x:c r="C317" s="5" t="n">
        <x:v>45481</x:v>
      </x:c>
      <x:c r="D317" t="str">
        <x:v>CUST-7565</x:v>
      </x:c>
      <x:c r="E317" t="str">
        <x:v>Rohan Mehta</x:v>
      </x:c>
      <x:c r="F317" t="str">
        <x:v>Consumer</x:v>
      </x:c>
      <x:c r="G317" t="str">
        <x:v>North</x:v>
      </x:c>
      <x:c r="H317" t="str">
        <x:v>Delhi</x:v>
      </x:c>
      <x:c r="I317" t="str">
        <x:v>New Delhi</x:v>
      </x:c>
      <x:c r="J317" t="str">
        <x:v>Office Supplies</x:v>
      </x:c>
      <x:c r="K317" t="str">
        <x:v>Paper</x:v>
      </x:c>
      <x:c r="L317" t="str">
        <x:v>Smart Paper 817</x:v>
      </x:c>
      <x:c r="M317" t="str">
        <x:v>Standard Class</x:v>
      </x:c>
      <x:c r="N317" t="n">
        <x:v>9</x:v>
      </x:c>
      <x:c r="O317" s="7" t="n">
        <x:v>3450.4</x:v>
      </x:c>
      <x:c r="P317" s="6" t="n">
        <x:v>0.05</x:v>
      </x:c>
      <x:c r="Q317" s="7" t="n">
        <x:v>29500.92</x:v>
      </x:c>
      <x:c r="R317" s="7" t="n">
        <x:v>17989.68</x:v>
      </x:c>
      <x:c r="S317" s="7" t="n">
        <x:v>11511.24</x:v>
      </x:c>
      <x:c r="T317" t="str">
        <x:v>Pending</x:v>
      </x:c>
      <x:c r="U317" t="str">
        <x:v>Returned</x:v>
      </x:c>
      <x:c r="V317" s="6" t="n">
        <x:f>IF(ISBLANK(P317),IF(AND(ISNUMBER(N317),N317&gt;0,ISNUMBER(O317),O317&gt;=0,ISNUMBER(Q317),Q317&gt;=0,ISNUMBER(R317),R317&gt;=0,ISNUMBER(S317)),0,""),P317)</x:f>
        <x:v>0.05</x:v>
      </x:c>
      <x:c r="W317" s="7" t="n">
        <x:f>IF(ISBLANK(V317),"",N317*O317*(1-V317))</x:f>
        <x:v>29500.920000000002</x:v>
      </x:c>
      <x:c r="X317" s="7" t="n">
        <x:f>IF(OR(ISBLANK(W317),ISBLANK(R317)),"",W317-R317)</x:f>
        <x:v>11511.240000000002</x:v>
      </x:c>
      <x:c r="Y317" s="8" t="n">
        <x:f>IF(OR(ISBLANK(W317),W317=0),"",X317/W317)</x:f>
        <x:v>0.39019935649464493</x:v>
      </x:c>
      <x:c r="Z317" s="9" t="n">
        <x:f>IF(OR(ISBLANK(B317),ISBLANK(C317)),"",C317-B317)</x:f>
        <x:v>6</x:v>
      </x:c>
      <x:c r="AA317" t="str">
        <x:f>IF(ISBLANK(B317),"",TEXT(B317,"mmm"))</x:f>
        <x:v>Jul</x:v>
      </x:c>
      <x:c r="AB317" s="9" t="n">
        <x:f>IF(ISBLANK(B317),"",YEAR(B317))</x:f>
        <x:v>2024</x:v>
      </x:c>
      <x:c r="AC317" s="10" t="str"/>
      <x:c r="AD317" t="str">
        <x:f>IF(AND(U317="Completed",T317="Paid",ISERROR(SEARCH("INVALID",AC317)),ISERROR(SEARCH("REVIEW",AC317))),"Include","Exclude")</x:f>
        <x:v>Exclude</x:v>
      </x:c>
      <x:c r="AE317" t="str">
        <x:f>IF(T317="Refunded","Refunded","")</x:f>
      </x:c>
    </x:row>
    <x:row r="318">
      <x:c r="A318" t="str">
        <x:v>ORD-2024-10317</x:v>
      </x:c>
      <x:c r="B318" s="5" t="n">
        <x:v>45338</x:v>
      </x:c>
      <x:c r="C318" s="5" t="n">
        <x:v>45340</x:v>
      </x:c>
      <x:c r="D318" t="str">
        <x:v>CUST-9913</x:v>
      </x:c>
      <x:c r="E318" t="str">
        <x:v>Karan Malhotra</x:v>
      </x:c>
      <x:c r="F318" t="str">
        <x:v>Corporate</x:v>
      </x:c>
      <x:c r="G318" t="str">
        <x:v>North</x:v>
      </x:c>
      <x:c r="H318" t="str">
        <x:v>Punjab</x:v>
      </x:c>
      <x:c r="I318" t="str">
        <x:v>Ludhiana</x:v>
      </x:c>
      <x:c r="J318" t="str">
        <x:v>Office Supplies</x:v>
      </x:c>
      <x:c r="K318" t="str">
        <x:v>Labels</x:v>
      </x:c>
      <x:c r="L318" t="str">
        <x:v>Classic Labels 466</x:v>
      </x:c>
      <x:c r="M318" t="str">
        <x:v>Standard Class</x:v>
      </x:c>
      <x:c r="N318" t="n">
        <x:v>2</x:v>
      </x:c>
      <x:c r="O318" s="7" t="n">
        <x:v>1947.53</x:v>
      </x:c>
      <x:c r="P318" s="6" t="n">
        <x:v>0.2</x:v>
      </x:c>
      <x:c r="Q318" s="7" t="n">
        <x:v>3116.05</x:v>
      </x:c>
      <x:c r="R318" s="7" t="n">
        <x:v>1956.63</x:v>
      </x:c>
      <x:c r="S318" s="7" t="n">
        <x:v>1159.42</x:v>
      </x:c>
      <x:c r="T318" t="str">
        <x:v>Paid</x:v>
      </x:c>
      <x:c r="U318" t="str">
        <x:v>Cancelled</x:v>
      </x:c>
      <x:c r="V318" s="6" t="n">
        <x:f>IF(ISBLANK(P318),IF(AND(ISNUMBER(N318),N318&gt;0,ISNUMBER(O318),O318&gt;=0,ISNUMBER(Q318),Q318&gt;=0,ISNUMBER(R318),R318&gt;=0,ISNUMBER(S318)),0,""),P318)</x:f>
        <x:v>0.2</x:v>
      </x:c>
      <x:c r="W318" s="7" t="n">
        <x:f>IF(ISBLANK(V318),"",N318*O318*(1-V318))</x:f>
        <x:v>3116.0480000000002</x:v>
      </x:c>
      <x:c r="X318" s="7" t="n">
        <x:f>IF(OR(ISBLANK(W318),ISBLANK(R318)),"",W318-R318)</x:f>
        <x:v>1159.4180000000001</x:v>
      </x:c>
      <x:c r="Y318" s="8" t="n">
        <x:f>IF(OR(ISBLANK(W318),W318=0),"",X318/W318)</x:f>
        <x:v>0.37207963420332424</x:v>
      </x:c>
      <x:c r="Z318" s="9" t="n">
        <x:f>IF(OR(ISBLANK(B318),ISBLANK(C318)),"",C318-B318)</x:f>
        <x:v>2</x:v>
      </x:c>
      <x:c r="AA318" t="str">
        <x:f>IF(ISBLANK(B318),"",TEXT(B318,"mmm"))</x:f>
        <x:v>Feb</x:v>
      </x:c>
      <x:c r="AB318" s="9" t="n">
        <x:f>IF(ISBLANK(B318),"",YEAR(B318))</x:f>
        <x:v>2024</x:v>
      </x:c>
      <x:c r="AC318" s="10" t="str">
        <x:v>EXCLUDE: Cancelled order</x:v>
      </x:c>
      <x:c r="AD318" t="str">
        <x:f>IF(AND(U318="Completed",T318="Paid",ISERROR(SEARCH("INVALID",AC318)),ISERROR(SEARCH("REVIEW",AC318))),"Include","Exclude")</x:f>
        <x:v>Exclude</x:v>
      </x:c>
      <x:c r="AE318" t="str">
        <x:f>IF(T318="Refunded","Refunded","")</x:f>
      </x:c>
    </x:row>
    <x:row r="319">
      <x:c r="A319" t="str">
        <x:v>ORD-2025-10318</x:v>
      </x:c>
      <x:c r="B319" s="5" t="n">
        <x:v>45898</x:v>
      </x:c>
      <x:c r="C319" s="5" t="n">
        <x:v>45904</x:v>
      </x:c>
      <x:c r="D319" t="str">
        <x:v>CUST-7992</x:v>
      </x:c>
      <x:c r="E319" t="str">
        <x:v>Neha Gupta</x:v>
      </x:c>
      <x:c r="F319" t="str">
        <x:v>Corporate</x:v>
      </x:c>
      <x:c r="G319" t="str">
        <x:v>South</x:v>
      </x:c>
      <x:c r="H319" t="str">
        <x:v>Kerala</x:v>
      </x:c>
      <x:c r="I319" t="str">
        <x:v>Kochi</x:v>
      </x:c>
      <x:c r="J319" t="str">
        <x:v>Furniture</x:v>
      </x:c>
      <x:c r="K319" t="str">
        <x:v>Tables</x:v>
      </x:c>
      <x:c r="L319" t="str">
        <x:v>Pro Tables 778</x:v>
      </x:c>
      <x:c r="M319" t="str">
        <x:v>First Class</x:v>
      </x:c>
      <x:c r="N319" t="n">
        <x:v>9</x:v>
      </x:c>
      <x:c r="O319" s="7" t="n">
        <x:v>2996.97</x:v>
      </x:c>
      <x:c r="P319" s="6" t="n">
        <x:v>0.15</x:v>
      </x:c>
      <x:c r="Q319" s="7" t="n">
        <x:v>22926.82</x:v>
      </x:c>
      <x:c r="R319" s="7" t="n">
        <x:v>14621.59</x:v>
      </x:c>
      <x:c r="S319" s="7" t="n">
        <x:v>8305.23</x:v>
      </x:c>
      <x:c r="T319" t="str">
        <x:v>Paid</x:v>
      </x:c>
      <x:c r="U319" t="str">
        <x:v>Completed</x:v>
      </x:c>
      <x:c r="V319" s="6" t="n">
        <x:f>IF(ISBLANK(P319),IF(AND(ISNUMBER(N319),N319&gt;0,ISNUMBER(O319),O319&gt;=0,ISNUMBER(Q319),Q319&gt;=0,ISNUMBER(R319),R319&gt;=0,ISNUMBER(S319)),0,""),P319)</x:f>
        <x:v>0.15</x:v>
      </x:c>
      <x:c r="W319" s="7" t="n">
        <x:f>IF(ISBLANK(V319),"",N319*O319*(1-V319))</x:f>
        <x:v>22926.820499999998</x:v>
      </x:c>
      <x:c r="X319" s="7" t="n">
        <x:f>IF(OR(ISBLANK(W319),ISBLANK(R319)),"",W319-R319)</x:f>
        <x:v>8305.230499999998</x:v>
      </x:c>
      <x:c r="Y319" s="8" t="n">
        <x:f>IF(OR(ISBLANK(W319),W319=0),"",X319/W319)</x:f>
        <x:v>0.36224955396671765</x:v>
      </x:c>
      <x:c r="Z319" s="9" t="n">
        <x:f>IF(OR(ISBLANK(B319),ISBLANK(C319)),"",C319-B319)</x:f>
        <x:v>6</x:v>
      </x:c>
      <x:c r="AA319" t="str">
        <x:f>IF(ISBLANK(B319),"",TEXT(B319,"mmm"))</x:f>
        <x:v>Aug</x:v>
      </x:c>
      <x:c r="AB319" s="9" t="n">
        <x:f>IF(ISBLANK(B319),"",YEAR(B319))</x:f>
        <x:v>2025</x:v>
      </x:c>
      <x:c r="AC319" s="10" t="str"/>
      <x:c r="AD319" t="str">
        <x:f>IF(AND(U319="Completed",T319="Paid",ISERROR(SEARCH("INVALID",AC319)),ISERROR(SEARCH("REVIEW",AC319))),"Include","Exclude")</x:f>
        <x:v>Include</x:v>
      </x:c>
      <x:c r="AE319" t="str">
        <x:f>IF(T319="Refunded","Refunded","")</x:f>
      </x:c>
    </x:row>
    <x:row r="320">
      <x:c r="A320" t="str">
        <x:v>ORD-2024-10319</x:v>
      </x:c>
      <x:c r="B320" s="5" t="n">
        <x:v>45407</x:v>
      </x:c>
      <x:c r="C320" s="5" t="n">
        <x:v>45412</x:v>
      </x:c>
      <x:c r="D320" t="str">
        <x:v>CUST-8877</x:v>
      </x:c>
      <x:c r="E320" t="str">
        <x:v>Mira Das</x:v>
      </x:c>
      <x:c r="F320" t="str">
        <x:v>Small Business</x:v>
      </x:c>
      <x:c r="G320" t="str">
        <x:v>South</x:v>
      </x:c>
      <x:c r="H320" t="str">
        <x:v>Karnataka</x:v>
      </x:c>
      <x:c r="I320" t="str">
        <x:v>Bengaluru</x:v>
      </x:c>
      <x:c r="J320" t="str">
        <x:v>Technology</x:v>
      </x:c>
      <x:c r="K320" t="str">
        <x:v>Phones</x:v>
      </x:c>
      <x:c r="L320" t="str">
        <x:v>Basic Phones 789</x:v>
      </x:c>
      <x:c r="M320" t="str">
        <x:v>Standard Class</x:v>
      </x:c>
      <x:c r="N320" t="n">
        <x:v>3</x:v>
      </x:c>
      <x:c r="O320" s="7" t="n">
        <x:v>4149.46</x:v>
      </x:c>
      <x:c r="P320" s="6" t="n">
        <x:v>0.1</x:v>
      </x:c>
      <x:c r="Q320" s="7" t="n">
        <x:v>11203.54</x:v>
      </x:c>
      <x:c r="R320" s="7" t="n">
        <x:v>8452.93</x:v>
      </x:c>
      <x:c r="S320" s="7" t="n">
        <x:v>2750.61</x:v>
      </x:c>
      <x:c r="T320" t="str">
        <x:v>Paid</x:v>
      </x:c>
      <x:c r="U320" t="str">
        <x:v>Completed</x:v>
      </x:c>
      <x:c r="V320" s="6" t="n">
        <x:f>IF(ISBLANK(P320),IF(AND(ISNUMBER(N320),N320&gt;0,ISNUMBER(O320),O320&gt;=0,ISNUMBER(Q320),Q320&gt;=0,ISNUMBER(R320),R320&gt;=0,ISNUMBER(S320)),0,""),P320)</x:f>
        <x:v>0.1</x:v>
      </x:c>
      <x:c r="W320" s="7" t="n">
        <x:f>IF(ISBLANK(V320),"",N320*O320*(1-V320))</x:f>
        <x:v>11203.542000000001</x:v>
      </x:c>
      <x:c r="X320" s="7" t="n">
        <x:f>IF(OR(ISBLANK(W320),ISBLANK(R320)),"",W320-R320)</x:f>
        <x:v>2750.612000000001</x:v>
      </x:c>
      <x:c r="Y320" s="8" t="n">
        <x:f>IF(OR(ISBLANK(W320),W320=0),"",X320/W320)</x:f>
        <x:v>0.24551271374713468</x:v>
      </x:c>
      <x:c r="Z320" s="9" t="n">
        <x:f>IF(OR(ISBLANK(B320),ISBLANK(C320)),"",C320-B320)</x:f>
        <x:v>5</x:v>
      </x:c>
      <x:c r="AA320" t="str">
        <x:f>IF(ISBLANK(B320),"",TEXT(B320,"mmm"))</x:f>
        <x:v>Apr</x:v>
      </x:c>
      <x:c r="AB320" s="9" t="n">
        <x:f>IF(ISBLANK(B320),"",YEAR(B320))</x:f>
        <x:v>2024</x:v>
      </x:c>
      <x:c r="AC320" s="10" t="str"/>
      <x:c r="AD320" t="str">
        <x:f>IF(AND(U320="Completed",T320="Paid",ISERROR(SEARCH("INVALID",AC320)),ISERROR(SEARCH("REVIEW",AC320))),"Include","Exclude")</x:f>
        <x:v>Include</x:v>
      </x:c>
      <x:c r="AE320" t="str">
        <x:f>IF(T320="Refunded","Refunded","")</x:f>
      </x:c>
    </x:row>
    <x:row r="321">
      <x:c r="A321" t="str">
        <x:v>ORD-2024-10320</x:v>
      </x:c>
      <x:c r="B321" s="5" t="n">
        <x:v>45525</x:v>
      </x:c>
      <x:c r="C321" s="5" t="n">
        <x:v>45529</x:v>
      </x:c>
      <x:c r="D321" t="str">
        <x:v>CUST-4589</x:v>
      </x:c>
      <x:c r="E321" t="str">
        <x:v>Diya Patel</x:v>
      </x:c>
      <x:c r="F321" t="str">
        <x:v>Consumer</x:v>
      </x:c>
      <x:c r="G321" t="str">
        <x:v>West</x:v>
      </x:c>
      <x:c r="H321" t="str">
        <x:v>Gujarat</x:v>
      </x:c>
      <x:c r="I321" t="str">
        <x:v>Ahmedabad</x:v>
      </x:c>
      <x:c r="J321" t="str">
        <x:v>Office Supplies</x:v>
      </x:c>
      <x:c r="K321" t="str">
        <x:v>Binders</x:v>
      </x:c>
      <x:c r="L321" t="str">
        <x:v>Prime Binders 554</x:v>
      </x:c>
      <x:c r="M321" t="str">
        <x:v>First Class</x:v>
      </x:c>
      <x:c r="N321" t="n">
        <x:v>1</x:v>
      </x:c>
      <x:c r="O321" s="7" t="n">
        <x:v>270.28</x:v>
      </x:c>
      <x:c r="P321" s="6" t="n">
        <x:v>0</x:v>
      </x:c>
      <x:c r="Q321" s="7" t="n">
        <x:v>270.28</x:v>
      </x:c>
      <x:c r="R321" s="7" t="n">
        <x:v>156.34</x:v>
      </x:c>
      <x:c r="S321" s="7" t="n">
        <x:v>113.94</x:v>
      </x:c>
      <x:c r="T321" t="str">
        <x:v>Paid</x:v>
      </x:c>
      <x:c r="U321" t="str">
        <x:v>Completed</x:v>
      </x:c>
      <x:c r="V321" s="6" t="n">
        <x:f>IF(ISBLANK(P321),IF(AND(ISNUMBER(N321),N321&gt;0,ISNUMBER(O321),O321&gt;=0,ISNUMBER(Q321),Q321&gt;=0,ISNUMBER(R321),R321&gt;=0,ISNUMBER(S321)),0,""),P321)</x:f>
        <x:v>0</x:v>
      </x:c>
      <x:c r="W321" s="7" t="n">
        <x:f>IF(ISBLANK(V321),"",N321*O321*(1-V321))</x:f>
        <x:v>270.28</x:v>
      </x:c>
      <x:c r="X321" s="7" t="n">
        <x:f>IF(OR(ISBLANK(W321),ISBLANK(R321)),"",W321-R321)</x:f>
        <x:v>113.93999999999997</x:v>
      </x:c>
      <x:c r="Y321" s="8" t="n">
        <x:f>IF(OR(ISBLANK(W321),W321=0),"",X321/W321)</x:f>
        <x:v>0.42156282373834536</x:v>
      </x:c>
      <x:c r="Z321" s="9" t="n">
        <x:f>IF(OR(ISBLANK(B321),ISBLANK(C321)),"",C321-B321)</x:f>
        <x:v>4</x:v>
      </x:c>
      <x:c r="AA321" t="str">
        <x:f>IF(ISBLANK(B321),"",TEXT(B321,"mmm"))</x:f>
        <x:v>Aug</x:v>
      </x:c>
      <x:c r="AB321" s="9" t="n">
        <x:f>IF(ISBLANK(B321),"",YEAR(B321))</x:f>
        <x:v>2024</x:v>
      </x:c>
      <x:c r="AC321" s="10" t="str"/>
      <x:c r="AD321" t="str">
        <x:f>IF(AND(U321="Completed",T321="Paid",ISERROR(SEARCH("INVALID",AC321)),ISERROR(SEARCH("REVIEW",AC321))),"Include","Exclude")</x:f>
        <x:v>Include</x:v>
      </x:c>
      <x:c r="AE321" t="str">
        <x:f>IF(T321="Refunded","Refunded","")</x:f>
      </x:c>
    </x:row>
    <x:row r="322">
      <x:c r="A322" t="str">
        <x:v>ORD-2024-10321</x:v>
      </x:c>
      <x:c r="B322" s="5" t="n">
        <x:v>45630</x:v>
      </x:c>
      <x:c r="C322" s="5" t="n">
        <x:v>45632</x:v>
      </x:c>
      <x:c r="D322" t="str">
        <x:v>CUST-4667</x:v>
      </x:c>
      <x:c r="E322" t="str">
        <x:v>Aarav Sharma</x:v>
      </x:c>
      <x:c r="F322" t="str">
        <x:v>Home Office</x:v>
      </x:c>
      <x:c r="G322" t="str">
        <x:v>East</x:v>
      </x:c>
      <x:c r="H322" t="str">
        <x:v>West Bengal</x:v>
      </x:c>
      <x:c r="I322" t="str">
        <x:v>Kolkata</x:v>
      </x:c>
      <x:c r="J322" t="str">
        <x:v>Office Supplies</x:v>
      </x:c>
      <x:c r="K322" t="str">
        <x:v>Art</x:v>
      </x:c>
      <x:c r="L322" t="str">
        <x:v>Classic Art 299</x:v>
      </x:c>
      <x:c r="M322" t="str">
        <x:v>Second Class</x:v>
      </x:c>
      <x:c r="N322" t="n">
        <x:v>3</x:v>
      </x:c>
      <x:c r="O322" s="7" t="n">
        <x:v>876.14</x:v>
      </x:c>
      <x:c r="P322" s="6" t="n">
        <x:v>0.7</x:v>
      </x:c>
      <x:c r="Q322" s="7" t="n">
        <x:v>2628.42</x:v>
      </x:c>
      <x:c r="R322" s="7" t="n">
        <x:v>1541.54</x:v>
      </x:c>
      <x:c r="S322" s="7" t="n">
        <x:v>1086.88</x:v>
      </x:c>
      <x:c r="T322" t="str">
        <x:v>Pending</x:v>
      </x:c>
      <x:c r="U322" t="str">
        <x:v>Returned</x:v>
      </x:c>
      <x:c r="V322" s="6" t="n">
        <x:f>IF(ISBLANK(P322),IF(AND(ISNUMBER(N322),N322&gt;0,ISNUMBER(O322),O322&gt;=0,ISNUMBER(Q322),Q322&gt;=0,ISNUMBER(R322),R322&gt;=0,ISNUMBER(S322)),0,""),P322)</x:f>
        <x:v>0.7</x:v>
      </x:c>
      <x:c r="W322" s="7" t="n">
        <x:f>IF(ISBLANK(V322),"",N322*O322*(1-V322))</x:f>
        <x:v>788.5260000000002</x:v>
      </x:c>
      <x:c r="X322" s="7" t="n">
        <x:f>IF(OR(ISBLANK(W322),ISBLANK(R322)),"",W322-R322)</x:f>
        <x:v>-753.0139999999998</x:v>
      </x:c>
      <x:c r="Y322" s="8" t="n">
        <x:f>IF(OR(ISBLANK(W322),W322=0),"",X322/W322)</x:f>
        <x:v>-0.9549640722056084</x:v>
      </x:c>
      <x:c r="Z322" s="9" t="n">
        <x:f>IF(OR(ISBLANK(B322),ISBLANK(C322)),"",C322-B322)</x:f>
        <x:v>2</x:v>
      </x:c>
      <x:c r="AA322" t="str">
        <x:f>IF(ISBLANK(B322),"",TEXT(B322,"mmm"))</x:f>
        <x:v>Dec</x:v>
      </x:c>
      <x:c r="AB322" s="9" t="n">
        <x:f>IF(ISBLANK(B322),"",YEAR(B322))</x:f>
        <x:v>2024</x:v>
      </x:c>
      <x:c r="AC322" s="10" t="str">
        <x:v>INVALID: Discount above allowed range</x:v>
      </x:c>
      <x:c r="AD322" t="str">
        <x:f>IF(AND(U322="Completed",T322="Paid",ISERROR(SEARCH("INVALID",AC322)),ISERROR(SEARCH("REVIEW",AC322))),"Include","Exclude")</x:f>
        <x:v>Exclude</x:v>
      </x:c>
      <x:c r="AE322" t="str">
        <x:f>IF(T322="Refunded","Refunded","")</x:f>
      </x:c>
    </x:row>
    <x:row r="323">
      <x:c r="A323" t="str">
        <x:v>ORD-2024-10322</x:v>
      </x:c>
      <x:c r="B323" s="5" t="n">
        <x:v>45466</x:v>
      </x:c>
      <x:c r="C323" s="5" t="n">
        <x:v>45473</x:v>
      </x:c>
      <x:c r="D323" t="str">
        <x:v>CUST-7821</x:v>
      </x:c>
      <x:c r="E323" t="str">
        <x:v>Neha Gupta</x:v>
      </x:c>
      <x:c r="F323" t="str">
        <x:v>Small Business</x:v>
      </x:c>
      <x:c r="G323" t="str">
        <x:v>West</x:v>
      </x:c>
      <x:c r="H323" t="str">
        <x:v>Goa</x:v>
      </x:c>
      <x:c r="I323" t="str">
        <x:v>Panaji</x:v>
      </x:c>
      <x:c r="J323" t="str">
        <x:v>Technology</x:v>
      </x:c>
      <x:c r="K323" t="str">
        <x:v>Accessories</x:v>
      </x:c>
      <x:c r="L323" t="str">
        <x:v>Eco Accessories 220</x:v>
      </x:c>
      <x:c r="M323" t="str">
        <x:v>Same Day</x:v>
      </x:c>
      <x:c r="N323" t="n">
        <x:v>4</x:v>
      </x:c>
      <x:c r="O323" s="7" t="n">
        <x:v>674.82</x:v>
      </x:c>
      <x:c r="P323" s="6" t="n">
        <x:v>0</x:v>
      </x:c>
      <x:c r="Q323" s="7" t="n">
        <x:v>2699.28</x:v>
      </x:c>
      <x:c r="R323" s="7" t="n">
        <x:v>1759.76</x:v>
      </x:c>
      <x:c r="S323" s="7" t="n">
        <x:v>939.52</x:v>
      </x:c>
      <x:c r="T323" t="str">
        <x:v>Failed</x:v>
      </x:c>
      <x:c r="U323" t="str">
        <x:v>Cancelled</x:v>
      </x:c>
      <x:c r="V323" s="6" t="n">
        <x:f>IF(ISBLANK(P323),IF(AND(ISNUMBER(N323),N323&gt;0,ISNUMBER(O323),O323&gt;=0,ISNUMBER(Q323),Q323&gt;=0,ISNUMBER(R323),R323&gt;=0,ISNUMBER(S323)),0,""),P323)</x:f>
        <x:v>0</x:v>
      </x:c>
      <x:c r="W323" s="7" t="n">
        <x:f>IF(ISBLANK(V323),"",N323*O323*(1-V323))</x:f>
        <x:v>2699.28</x:v>
      </x:c>
      <x:c r="X323" s="7" t="n">
        <x:f>IF(OR(ISBLANK(W323),ISBLANK(R323)),"",W323-R323)</x:f>
        <x:v>939.5200000000002</x:v>
      </x:c>
      <x:c r="Y323" s="8" t="n">
        <x:f>IF(OR(ISBLANK(W323),W323=0),"",X323/W323)</x:f>
        <x:v>0.34806318722029583</x:v>
      </x:c>
      <x:c r="Z323" s="9" t="n">
        <x:f>IF(OR(ISBLANK(B323),ISBLANK(C323)),"",C323-B323)</x:f>
        <x:v>7</x:v>
      </x:c>
      <x:c r="AA323" t="str">
        <x:f>IF(ISBLANK(B323),"",TEXT(B323,"mmm"))</x:f>
        <x:v>Jun</x:v>
      </x:c>
      <x:c r="AB323" s="9" t="n">
        <x:f>IF(ISBLANK(B323),"",YEAR(B323))</x:f>
        <x:v>2024</x:v>
      </x:c>
      <x:c r="AC323" s="10" t="str">
        <x:v>EXCLUDE: Cancelled order; EXCLUDE: Failed payment</x:v>
      </x:c>
      <x:c r="AD323" t="str">
        <x:f>IF(AND(U323="Completed",T323="Paid",ISERROR(SEARCH("INVALID",AC323)),ISERROR(SEARCH("REVIEW",AC323))),"Include","Exclude")</x:f>
        <x:v>Exclude</x:v>
      </x:c>
      <x:c r="AE323" t="str">
        <x:f>IF(T323="Refunded","Refunded","")</x:f>
      </x:c>
    </x:row>
    <x:row r="324">
      <x:c r="A324" t="str">
        <x:v>ORD-2024-10323</x:v>
      </x:c>
      <x:c r="B324" s="5" t="n">
        <x:v>45608</x:v>
      </x:c>
      <x:c r="C324" s="5" t="n">
        <x:v>45608</x:v>
      </x:c>
      <x:c r="D324" t="str">
        <x:v>CUST-8579</x:v>
      </x:c>
      <x:c r="E324" t="str">
        <x:v>Isha Nair</x:v>
      </x:c>
      <x:c r="F324" t="str">
        <x:v>Consumer</x:v>
      </x:c>
      <x:c r="G324" t="str">
        <x:v>North</x:v>
      </x:c>
      <x:c r="H324" t="str">
        <x:v>Uttar Pradesh</x:v>
      </x:c>
      <x:c r="I324" t="str">
        <x:v>Noida</x:v>
      </x:c>
      <x:c r="J324" t="str">
        <x:v>Technology</x:v>
      </x:c>
      <x:c r="K324" t="str">
        <x:v>Phones</x:v>
      </x:c>
      <x:c r="L324" t="str">
        <x:v>Max Phones 422</x:v>
      </x:c>
      <x:c r="M324" t="str">
        <x:v>Second Class</x:v>
      </x:c>
      <x:c r="N324" t="n">
        <x:v>6</x:v>
      </x:c>
      <x:c r="O324" s="7" t="n">
        <x:v>1369.48</x:v>
      </x:c>
      <x:c r="P324" s="6" t="n">
        <x:v>0.15</x:v>
      </x:c>
      <x:c r="Q324" s="7" t="n">
        <x:v>6984.35</x:v>
      </x:c>
      <x:c r="R324" s="7" t="n">
        <x:v>4023.63</x:v>
      </x:c>
      <x:c r="S324" s="7" t="n">
        <x:v>2960.72</x:v>
      </x:c>
      <x:c r="T324" t="str">
        <x:v>Paid</x:v>
      </x:c>
      <x:c r="U324" t="str">
        <x:v>Completed</x:v>
      </x:c>
      <x:c r="V324" s="6" t="n">
        <x:f>IF(ISBLANK(P324),IF(AND(ISNUMBER(N324),N324&gt;0,ISNUMBER(O324),O324&gt;=0,ISNUMBER(Q324),Q324&gt;=0,ISNUMBER(R324),R324&gt;=0,ISNUMBER(S324)),0,""),P324)</x:f>
        <x:v>0.15</x:v>
      </x:c>
      <x:c r="W324" s="7" t="n">
        <x:f>IF(ISBLANK(V324),"",N324*O324*(1-V324))</x:f>
        <x:v>6984.348000000001</x:v>
      </x:c>
      <x:c r="X324" s="7" t="n">
        <x:f>IF(OR(ISBLANK(W324),ISBLANK(R324)),"",W324-R324)</x:f>
        <x:v>2960.7180000000008</x:v>
      </x:c>
      <x:c r="Y324" s="8" t="n">
        <x:f>IF(OR(ISBLANK(W324),W324=0),"",X324/W324)</x:f>
        <x:v>0.42390757161584736</x:v>
      </x:c>
      <x:c r="Z324" s="9" t="n">
        <x:f>IF(OR(ISBLANK(B324),ISBLANK(C324)),"",C324-B324)</x:f>
        <x:v>0</x:v>
      </x:c>
      <x:c r="AA324" t="str">
        <x:f>IF(ISBLANK(B324),"",TEXT(B324,"mmm"))</x:f>
        <x:v>Nov</x:v>
      </x:c>
      <x:c r="AB324" s="9" t="n">
        <x:f>IF(ISBLANK(B324),"",YEAR(B324))</x:f>
        <x:v>2024</x:v>
      </x:c>
      <x:c r="AC324" s="10" t="str"/>
      <x:c r="AD324" t="str">
        <x:f>IF(AND(U324="Completed",T324="Paid",ISERROR(SEARCH("INVALID",AC324)),ISERROR(SEARCH("REVIEW",AC324))),"Include","Exclude")</x:f>
        <x:v>Include</x:v>
      </x:c>
      <x:c r="AE324" t="str">
        <x:f>IF(T324="Refunded","Refunded","")</x:f>
      </x:c>
    </x:row>
    <x:row r="325">
      <x:c r="A325" t="str">
        <x:v>ORD-2024-10324</x:v>
      </x:c>
      <x:c r="B325" s="5" t="n">
        <x:v>45347</x:v>
      </x:c>
      <x:c r="C325" s="5" t="n">
        <x:v>45351</x:v>
      </x:c>
      <x:c r="D325" t="str">
        <x:v>CUST-6909</x:v>
      </x:c>
      <x:c r="E325" t="str">
        <x:v>Isha Nair</x:v>
      </x:c>
      <x:c r="F325" t="str">
        <x:v>Small Business</x:v>
      </x:c>
      <x:c r="G325" t="str">
        <x:v>West</x:v>
      </x:c>
      <x:c r="H325" t="str">
        <x:v>Goa</x:v>
      </x:c>
      <x:c r="I325" t="str">
        <x:v>Panaji</x:v>
      </x:c>
      <x:c r="J325" t="str">
        <x:v>Furniture</x:v>
      </x:c>
      <x:c r="K325" t="str">
        <x:v>Furnishings</x:v>
      </x:c>
      <x:c r="L325" t="str">
        <x:v>Eco Furnishings 897</x:v>
      </x:c>
      <x:c r="M325" t="str">
        <x:v>Standard Class</x:v>
      </x:c>
      <x:c r="N325" t="n">
        <x:v>9</x:v>
      </x:c>
      <x:c r="O325" s="7" t="n">
        <x:v>1331.46</x:v>
      </x:c>
      <x:c r="P325" s="6" t="n">
        <x:v>0.15</x:v>
      </x:c>
      <x:c r="Q325" s="7" t="n">
        <x:v>10185.67</x:v>
      </x:c>
      <x:c r="R325" s="7" t="n">
        <x:v>6479.31</x:v>
      </x:c>
      <x:c r="S325" s="7" t="n">
        <x:v>3706.36</x:v>
      </x:c>
      <x:c r="T325" t="str">
        <x:v>Paid</x:v>
      </x:c>
      <x:c r="U325" t="str">
        <x:v>Completed</x:v>
      </x:c>
      <x:c r="V325" s="6" t="n">
        <x:f>IF(ISBLANK(P325),IF(AND(ISNUMBER(N325),N325&gt;0,ISNUMBER(O325),O325&gt;=0,ISNUMBER(Q325),Q325&gt;=0,ISNUMBER(R325),R325&gt;=0,ISNUMBER(S325)),0,""),P325)</x:f>
        <x:v>0.15</x:v>
      </x:c>
      <x:c r="W325" s="7" t="n">
        <x:f>IF(ISBLANK(V325),"",N325*O325*(1-V325))</x:f>
        <x:v>10185.669</x:v>
      </x:c>
      <x:c r="X325" s="7" t="n">
        <x:f>IF(OR(ISBLANK(W325),ISBLANK(R325)),"",W325-R325)</x:f>
        <x:v>3706.3589999999995</x:v>
      </x:c>
      <x:c r="Y325" s="8" t="n">
        <x:f>IF(OR(ISBLANK(W325),W325=0),"",X325/W325)</x:f>
        <x:v>0.3638797805033719</x:v>
      </x:c>
      <x:c r="Z325" s="9" t="n">
        <x:f>IF(OR(ISBLANK(B325),ISBLANK(C325)),"",C325-B325)</x:f>
        <x:v>4</x:v>
      </x:c>
      <x:c r="AA325" t="str">
        <x:f>IF(ISBLANK(B325),"",TEXT(B325,"mmm"))</x:f>
        <x:v>Feb</x:v>
      </x:c>
      <x:c r="AB325" s="9" t="n">
        <x:f>IF(ISBLANK(B325),"",YEAR(B325))</x:f>
        <x:v>2024</x:v>
      </x:c>
      <x:c r="AC325" s="10" t="str"/>
      <x:c r="AD325" t="str">
        <x:f>IF(AND(U325="Completed",T325="Paid",ISERROR(SEARCH("INVALID",AC325)),ISERROR(SEARCH("REVIEW",AC325))),"Include","Exclude")</x:f>
        <x:v>Include</x:v>
      </x:c>
      <x:c r="AE325" t="str">
        <x:f>IF(T325="Refunded","Refunded","")</x:f>
      </x:c>
    </x:row>
    <x:row r="326">
      <x:c r="A326" t="str">
        <x:v>ORD-2025-10325</x:v>
      </x:c>
      <x:c r="B326" s="5" t="n">
        <x:v>45869</x:v>
      </x:c>
      <x:c r="C326" s="5" t="n">
        <x:v>45871</x:v>
      </x:c>
      <x:c r="D326" t="str">
        <x:v>CUST-7212</x:v>
      </x:c>
      <x:c r="E326" t="str">
        <x:v>Rohan Mehta</x:v>
      </x:c>
      <x:c r="F326" t="str">
        <x:v>Home Office</x:v>
      </x:c>
      <x:c r="G326" t="str">
        <x:v>South</x:v>
      </x:c>
      <x:c r="H326" t="str">
        <x:v>Andhra Pradesh</x:v>
      </x:c>
      <x:c r="I326" t="str">
        <x:v>Vijayawada</x:v>
      </x:c>
      <x:c r="J326" t="str">
        <x:v>Office Supplies</x:v>
      </x:c>
      <x:c r="K326" t="str">
        <x:v>Labels</x:v>
      </x:c>
      <x:c r="L326" t="str">
        <x:v>Basic Labels 102</x:v>
      </x:c>
      <x:c r="M326" t="str">
        <x:v>Same Day</x:v>
      </x:c>
      <x:c r="N326" t="n">
        <x:v>1</x:v>
      </x:c>
      <x:c r="O326" s="7" t="n">
        <x:v>1947.88</x:v>
      </x:c>
      <x:c r="P326" s="6" t="n">
        <x:v>0.15</x:v>
      </x:c>
      <x:c r="Q326" s="7" t="n">
        <x:v>1655.7</x:v>
      </x:c>
      <x:c r="R326" s="7" t="n">
        <x:v>1354.8</x:v>
      </x:c>
      <x:c r="S326" s="7" t="n">
        <x:v>300.9</x:v>
      </x:c>
      <x:c r="T326" t="str">
        <x:v>Paid</x:v>
      </x:c>
      <x:c r="U326" t="str">
        <x:v>Returned</x:v>
      </x:c>
      <x:c r="V326" s="6" t="n">
        <x:f>IF(ISBLANK(P326),IF(AND(ISNUMBER(N326),N326&gt;0,ISNUMBER(O326),O326&gt;=0,ISNUMBER(Q326),Q326&gt;=0,ISNUMBER(R326),R326&gt;=0,ISNUMBER(S326)),0,""),P326)</x:f>
        <x:v>0.15</x:v>
      </x:c>
      <x:c r="W326" s="7" t="n">
        <x:f>IF(ISBLANK(V326),"",N326*O326*(1-V326))</x:f>
        <x:v>1655.698</x:v>
      </x:c>
      <x:c r="X326" s="7" t="n">
        <x:f>IF(OR(ISBLANK(W326),ISBLANK(R326)),"",W326-R326)</x:f>
        <x:v>300.89800000000014</x:v>
      </x:c>
      <x:c r="Y326" s="8" t="n">
        <x:f>IF(OR(ISBLANK(W326),W326=0),"",X326/W326)</x:f>
        <x:v>0.1817348332848141</x:v>
      </x:c>
      <x:c r="Z326" s="9" t="n">
        <x:f>IF(OR(ISBLANK(B326),ISBLANK(C326)),"",C326-B326)</x:f>
        <x:v>2</x:v>
      </x:c>
      <x:c r="AA326" t="str">
        <x:f>IF(ISBLANK(B326),"",TEXT(B326,"mmm"))</x:f>
        <x:v>Jul</x:v>
      </x:c>
      <x:c r="AB326" s="9" t="n">
        <x:f>IF(ISBLANK(B326),"",YEAR(B326))</x:f>
        <x:v>2025</x:v>
      </x:c>
      <x:c r="AC326" s="10" t="str"/>
      <x:c r="AD326" t="str">
        <x:f>IF(AND(U326="Completed",T326="Paid",ISERROR(SEARCH("INVALID",AC326)),ISERROR(SEARCH("REVIEW",AC326))),"Include","Exclude")</x:f>
        <x:v>Exclude</x:v>
      </x:c>
      <x:c r="AE326" t="str">
        <x:f>IF(T326="Refunded","Refunded","")</x:f>
      </x:c>
    </x:row>
    <x:row r="327">
      <x:c r="A327" t="str">
        <x:v>ORD-2025-10326</x:v>
      </x:c>
      <x:c r="B327" s="5" t="n">
        <x:v>45916</x:v>
      </x:c>
      <x:c r="C327" s="5" t="n">
        <x:v>45922</x:v>
      </x:c>
      <x:c r="D327" t="str">
        <x:v>CUST-7980</x:v>
      </x:c>
      <x:c r="E327" t="str">
        <x:v>Sneha Kapoor</x:v>
      </x:c>
      <x:c r="F327" t="str">
        <x:v>Home Office</x:v>
      </x:c>
      <x:c r="G327" t="str">
        <x:v>East</x:v>
      </x:c>
      <x:c r="H327" t="str">
        <x:v>West Bengal</x:v>
      </x:c>
      <x:c r="I327" t="str">
        <x:v>Kolkata</x:v>
      </x:c>
      <x:c r="J327" t="str">
        <x:v>Technology</x:v>
      </x:c>
      <x:c r="K327" t="str">
        <x:v>Copiers</x:v>
      </x:c>
      <x:c r="L327" t="str">
        <x:v>Prime Copiers 170</x:v>
      </x:c>
      <x:c r="M327" t="str">
        <x:v>Second Class</x:v>
      </x:c>
      <x:c r="N327" t="n">
        <x:v>5</x:v>
      </x:c>
      <x:c r="O327" s="7" t="n">
        <x:v>3671.2</x:v>
      </x:c>
      <x:c r="P327" s="6" t="n">
        <x:v>0.15</x:v>
      </x:c>
      <x:c r="Q327" s="7" t="n">
        <x:v>15602.6</x:v>
      </x:c>
      <x:c r="R327" s="7" t="n">
        <x:v>11908.52</x:v>
      </x:c>
      <x:c r="S327" s="7" t="n">
        <x:v>3694.08</x:v>
      </x:c>
      <x:c r="T327" t="str">
        <x:v>Paid</x:v>
      </x:c>
      <x:c r="U327" t="str">
        <x:v>Completed</x:v>
      </x:c>
      <x:c r="V327" s="6" t="n">
        <x:f>IF(ISBLANK(P327),IF(AND(ISNUMBER(N327),N327&gt;0,ISNUMBER(O327),O327&gt;=0,ISNUMBER(Q327),Q327&gt;=0,ISNUMBER(R327),R327&gt;=0,ISNUMBER(S327)),0,""),P327)</x:f>
        <x:v>0.15</x:v>
      </x:c>
      <x:c r="W327" s="7" t="n">
        <x:f>IF(ISBLANK(V327),"",N327*O327*(1-V327))</x:f>
        <x:v>15602.6</x:v>
      </x:c>
      <x:c r="X327" s="7" t="n">
        <x:f>IF(OR(ISBLANK(W327),ISBLANK(R327)),"",W327-R327)</x:f>
        <x:v>3694.08</x:v>
      </x:c>
      <x:c r="Y327" s="8" t="n">
        <x:f>IF(OR(ISBLANK(W327),W327=0),"",X327/W327)</x:f>
        <x:v>0.236760539910015</x:v>
      </x:c>
      <x:c r="Z327" s="9" t="n">
        <x:f>IF(OR(ISBLANK(B327),ISBLANK(C327)),"",C327-B327)</x:f>
        <x:v>6</x:v>
      </x:c>
      <x:c r="AA327" t="str">
        <x:f>IF(ISBLANK(B327),"",TEXT(B327,"mmm"))</x:f>
        <x:v>Sep</x:v>
      </x:c>
      <x:c r="AB327" s="9" t="n">
        <x:f>IF(ISBLANK(B327),"",YEAR(B327))</x:f>
        <x:v>2025</x:v>
      </x:c>
      <x:c r="AC327" s="10" t="str"/>
      <x:c r="AD327" t="str">
        <x:f>IF(AND(U327="Completed",T327="Paid",ISERROR(SEARCH("INVALID",AC327)),ISERROR(SEARCH("REVIEW",AC327))),"Include","Exclude")</x:f>
        <x:v>Include</x:v>
      </x:c>
      <x:c r="AE327" t="str">
        <x:f>IF(T327="Refunded","Refunded","")</x:f>
      </x:c>
    </x:row>
    <x:row r="328">
      <x:c r="A328" t="str">
        <x:v>ORD-2025-10327</x:v>
      </x:c>
      <x:c r="B328" s="5" t="n">
        <x:v>45860</x:v>
      </x:c>
      <x:c r="C328" s="5" t="n">
        <x:v>45860</x:v>
      </x:c>
      <x:c r="D328" t="str">
        <x:v>CUST-1966</x:v>
      </x:c>
      <x:c r="E328" t="str">
        <x:v>Sneha Kapoor</x:v>
      </x:c>
      <x:c r="F328" t="str">
        <x:v>Corporate</x:v>
      </x:c>
      <x:c r="G328" t="str">
        <x:v>East</x:v>
      </x:c>
      <x:c r="H328" t="str">
        <x:v>Jharkhand</x:v>
      </x:c>
      <x:c r="I328" t="str">
        <x:v>Ranchi</x:v>
      </x:c>
      <x:c r="J328" t="str">
        <x:v>Furniture</x:v>
      </x:c>
      <x:c r="K328" t="str">
        <x:v>Furnishings</x:v>
      </x:c>
      <x:c r="L328" t="str">
        <x:v>Smart Furnishings 533</x:v>
      </x:c>
      <x:c r="M328" t="str">
        <x:v>Same Day</x:v>
      </x:c>
      <x:c r="N328" t="n">
        <x:v>5</x:v>
      </x:c>
      <x:c r="O328" s="7" t="n">
        <x:v>3187.05</x:v>
      </x:c>
      <x:c r="P328" s="6" t="n">
        <x:v>0.05</x:v>
      </x:c>
      <x:c r="Q328" s="7" t="n">
        <x:v>15138.49</x:v>
      </x:c>
      <x:c r="R328" s="7" t="n">
        <x:v>11235.72</x:v>
      </x:c>
      <x:c r="S328" s="7" t="n">
        <x:v>3902.77</x:v>
      </x:c>
      <x:c r="T328" t="str">
        <x:v>Paid</x:v>
      </x:c>
      <x:c r="U328" t="str">
        <x:v>Completed</x:v>
      </x:c>
      <x:c r="V328" s="6" t="n">
        <x:f>IF(ISBLANK(P328),IF(AND(ISNUMBER(N328),N328&gt;0,ISNUMBER(O328),O328&gt;=0,ISNUMBER(Q328),Q328&gt;=0,ISNUMBER(R328),R328&gt;=0,ISNUMBER(S328)),0,""),P328)</x:f>
        <x:v>0.05</x:v>
      </x:c>
      <x:c r="W328" s="7" t="n">
        <x:f>IF(ISBLANK(V328),"",N328*O328*(1-V328))</x:f>
        <x:v>15138.4875</x:v>
      </x:c>
      <x:c r="X328" s="7" t="n">
        <x:f>IF(OR(ISBLANK(W328),ISBLANK(R328)),"",W328-R328)</x:f>
        <x:v>3902.7675</x:v>
      </x:c>
      <x:c r="Y328" s="8" t="n">
        <x:f>IF(OR(ISBLANK(W328),W328=0),"",X328/W328)</x:f>
        <x:v>0.25780432160082045</x:v>
      </x:c>
      <x:c r="Z328" s="9" t="n">
        <x:f>IF(OR(ISBLANK(B328),ISBLANK(C328)),"",C328-B328)</x:f>
        <x:v>0</x:v>
      </x:c>
      <x:c r="AA328" t="str">
        <x:f>IF(ISBLANK(B328),"",TEXT(B328,"mmm"))</x:f>
        <x:v>Jul</x:v>
      </x:c>
      <x:c r="AB328" s="9" t="n">
        <x:f>IF(ISBLANK(B328),"",YEAR(B328))</x:f>
        <x:v>2025</x:v>
      </x:c>
      <x:c r="AC328" s="10" t="str"/>
      <x:c r="AD328" t="str">
        <x:f>IF(AND(U328="Completed",T328="Paid",ISERROR(SEARCH("INVALID",AC328)),ISERROR(SEARCH("REVIEW",AC328))),"Include","Exclude")</x:f>
        <x:v>Include</x:v>
      </x:c>
      <x:c r="AE328" t="str">
        <x:f>IF(T328="Refunded","Refunded","")</x:f>
      </x:c>
    </x:row>
    <x:row r="329">
      <x:c r="A329" t="str">
        <x:v>ORD-2024-10328</x:v>
      </x:c>
      <x:c r="B329" s="5" t="n">
        <x:v>45497</x:v>
      </x:c>
      <x:c r="C329" s="5" t="n">
        <x:v>45500</x:v>
      </x:c>
      <x:c r="D329" t="str">
        <x:v>CUST-6163</x:v>
      </x:c>
      <x:c r="E329" t="str">
        <x:v>Isha Nair</x:v>
      </x:c>
      <x:c r="F329" t="str">
        <x:v>Consumer</x:v>
      </x:c>
      <x:c r="G329" t="str">
        <x:v>West</x:v>
      </x:c>
      <x:c r="H329" t="str">
        <x:v>Rajasthan</x:v>
      </x:c>
      <x:c r="I329" t="str">
        <x:v>Udaipur</x:v>
      </x:c>
      <x:c r="J329" t="str">
        <x:v>Technology</x:v>
      </x:c>
      <x:c r="K329" t="str">
        <x:v>Accessories</x:v>
      </x:c>
      <x:c r="L329" t="str">
        <x:v>Classic Accessories 489</x:v>
      </x:c>
      <x:c r="M329" t="str">
        <x:v>Second Class</x:v>
      </x:c>
      <x:c r="N329" t="n">
        <x:v>3</x:v>
      </x:c>
      <x:c r="O329" s="7" t="n">
        <x:v>1834.55</x:v>
      </x:c>
      <x:c r="P329" s="6" t="n">
        <x:v>0.2</x:v>
      </x:c>
      <x:c r="Q329" s="7" t="n">
        <x:v>4402.92</x:v>
      </x:c>
      <x:c r="R329" s="7" t="n">
        <x:v>2993.94</x:v>
      </x:c>
      <x:c r="S329" s="7" t="n">
        <x:v>1408.98</x:v>
      </x:c>
      <x:c r="T329" t="str">
        <x:v>Pending</x:v>
      </x:c>
      <x:c r="U329" t="str">
        <x:v>Cancelled</x:v>
      </x:c>
      <x:c r="V329" s="6" t="n">
        <x:f>IF(ISBLANK(P329),IF(AND(ISNUMBER(N329),N329&gt;0,ISNUMBER(O329),O329&gt;=0,ISNUMBER(Q329),Q329&gt;=0,ISNUMBER(R329),R329&gt;=0,ISNUMBER(S329)),0,""),P329)</x:f>
        <x:v>0.2</x:v>
      </x:c>
      <x:c r="W329" s="7" t="n">
        <x:f>IF(ISBLANK(V329),"",N329*O329*(1-V329))</x:f>
        <x:v>4402.92</x:v>
      </x:c>
      <x:c r="X329" s="7" t="n">
        <x:f>IF(OR(ISBLANK(W329),ISBLANK(R329)),"",W329-R329)</x:f>
        <x:v>1408.98</x:v>
      </x:c>
      <x:c r="Y329" s="8" t="n">
        <x:f>IF(OR(ISBLANK(W329),W329=0),"",X329/W329)</x:f>
        <x:v>0.32001035676323897</x:v>
      </x:c>
      <x:c r="Z329" s="9" t="n">
        <x:f>IF(OR(ISBLANK(B329),ISBLANK(C329)),"",C329-B329)</x:f>
        <x:v>3</x:v>
      </x:c>
      <x:c r="AA329" t="str">
        <x:f>IF(ISBLANK(B329),"",TEXT(B329,"mmm"))</x:f>
        <x:v>Jul</x:v>
      </x:c>
      <x:c r="AB329" s="9" t="n">
        <x:f>IF(ISBLANK(B329),"",YEAR(B329))</x:f>
        <x:v>2024</x:v>
      </x:c>
      <x:c r="AC329" s="10" t="str">
        <x:v>EXCLUDE: Cancelled order</x:v>
      </x:c>
      <x:c r="AD329" t="str">
        <x:f>IF(AND(U329="Completed",T329="Paid",ISERROR(SEARCH("INVALID",AC329)),ISERROR(SEARCH("REVIEW",AC329))),"Include","Exclude")</x:f>
        <x:v>Exclude</x:v>
      </x:c>
      <x:c r="AE329" t="str">
        <x:f>IF(T329="Refunded","Refunded","")</x:f>
      </x:c>
    </x:row>
    <x:row r="330">
      <x:c r="A330" t="str">
        <x:v>ORD-2025-10329</x:v>
      </x:c>
      <x:c r="B330" s="5" t="n">
        <x:v>45806</x:v>
      </x:c>
      <x:c r="C330" s="5" t="n">
        <x:v>45812</x:v>
      </x:c>
      <x:c r="D330" t="str">
        <x:v>CUST-7239</x:v>
      </x:c>
      <x:c r="E330" t="str">
        <x:v>Diya Patel</x:v>
      </x:c>
      <x:c r="F330" t="str">
        <x:v>Consumer</x:v>
      </x:c>
      <x:c r="G330" t="str">
        <x:v>West</x:v>
      </x:c>
      <x:c r="H330" t="str">
        <x:v>Maharashtra</x:v>
      </x:c>
      <x:c r="I330" t="str">
        <x:v>Mumbai</x:v>
      </x:c>
      <x:c r="J330" t="str">
        <x:v>Office Supplies</x:v>
      </x:c>
      <x:c r="K330" t="str">
        <x:v>Storage</x:v>
      </x:c>
      <x:c r="L330" t="str">
        <x:v>Smart Storage 439</x:v>
      </x:c>
      <x:c r="M330" t="str">
        <x:v>First Class</x:v>
      </x:c>
      <x:c r="N330" t="n">
        <x:v>6</x:v>
      </x:c>
      <x:c r="O330" s="7" t="n">
        <x:v>3100.68</x:v>
      </x:c>
      <x:c r="P330" s="6" t="n">
        <x:v>0</x:v>
      </x:c>
      <x:c r="Q330" s="7" t="n">
        <x:v>18604.08</x:v>
      </x:c>
      <x:c r="R330" s="7" t="n">
        <x:v>15834.3</x:v>
      </x:c>
      <x:c r="S330" s="7" t="n">
        <x:v>2769.78</x:v>
      </x:c>
      <x:c r="T330" t="str">
        <x:v>Paid</x:v>
      </x:c>
      <x:c r="U330" t="str">
        <x:v>Completed</x:v>
      </x:c>
      <x:c r="V330" s="6" t="n">
        <x:f>IF(ISBLANK(P330),IF(AND(ISNUMBER(N330),N330&gt;0,ISNUMBER(O330),O330&gt;=0,ISNUMBER(Q330),Q330&gt;=0,ISNUMBER(R330),R330&gt;=0,ISNUMBER(S330)),0,""),P330)</x:f>
        <x:v>0</x:v>
      </x:c>
      <x:c r="W330" s="7" t="n">
        <x:f>IF(ISBLANK(V330),"",N330*O330*(1-V330))</x:f>
        <x:v>18604.079999999998</x:v>
      </x:c>
      <x:c r="X330" s="7" t="n">
        <x:f>IF(OR(ISBLANK(W330),ISBLANK(R330)),"",W330-R330)</x:f>
        <x:v>2769.779999999999</x:v>
      </x:c>
      <x:c r="Y330" s="8" t="n">
        <x:f>IF(OR(ISBLANK(W330),W330=0),"",X330/W330)</x:f>
        <x:v>0.1488802456235406</x:v>
      </x:c>
      <x:c r="Z330" s="9" t="n">
        <x:f>IF(OR(ISBLANK(B330),ISBLANK(C330)),"",C330-B330)</x:f>
        <x:v>6</x:v>
      </x:c>
      <x:c r="AA330" t="str">
        <x:f>IF(ISBLANK(B330),"",TEXT(B330,"mmm"))</x:f>
        <x:v>May</x:v>
      </x:c>
      <x:c r="AB330" s="9" t="n">
        <x:f>IF(ISBLANK(B330),"",YEAR(B330))</x:f>
        <x:v>2025</x:v>
      </x:c>
      <x:c r="AC330" s="10" t="str"/>
      <x:c r="AD330" t="str">
        <x:f>IF(AND(U330="Completed",T330="Paid",ISERROR(SEARCH("INVALID",AC330)),ISERROR(SEARCH("REVIEW",AC330))),"Include","Exclude")</x:f>
        <x:v>Include</x:v>
      </x:c>
      <x:c r="AE330" t="str">
        <x:f>IF(T330="Refunded","Refunded","")</x:f>
      </x:c>
    </x:row>
    <x:row r="331">
      <x:c r="A331" t="str">
        <x:v>ORD-2025-10330</x:v>
      </x:c>
      <x:c r="B331" s="5" t="n">
        <x:v>45789</x:v>
      </x:c>
      <x:c r="C331" s="5" t="n">
        <x:v>45795</x:v>
      </x:c>
      <x:c r="D331" t="str">
        <x:v>CUST-9718</x:v>
      </x:c>
      <x:c r="E331" t="str">
        <x:v>Neha Gupta</x:v>
      </x:c>
      <x:c r="F331" t="str">
        <x:v>Small Business</x:v>
      </x:c>
      <x:c r="G331" t="str">
        <x:v>West</x:v>
      </x:c>
      <x:c r="H331" t="str">
        <x:v>Maharashtra</x:v>
      </x:c>
      <x:c r="I331" t="str">
        <x:v>Mumbai</x:v>
      </x:c>
      <x:c r="J331" t="str">
        <x:v>Office Supplies</x:v>
      </x:c>
      <x:c r="K331" t="str">
        <x:v>Storage</x:v>
      </x:c>
      <x:c r="L331" t="str">
        <x:v>Prime Storage 232</x:v>
      </x:c>
      <x:c r="M331" t="str">
        <x:v>Standard Class</x:v>
      </x:c>
      <x:c r="N331" t="n">
        <x:v>4</x:v>
      </x:c>
      <x:c r="O331" s="7" t="n">
        <x:v>4053.03</x:v>
      </x:c>
      <x:c r="P331" s="6" t="n">
        <x:v>0.05</x:v>
      </x:c>
      <x:c r="Q331" s="7" t="n">
        <x:v>15401.51</x:v>
      </x:c>
      <x:c r="R331" s="7" t="n">
        <x:v>8650.42</x:v>
      </x:c>
      <x:c r="S331" s="7" t="n">
        <x:v>6751.09</x:v>
      </x:c>
      <x:c r="T331" t="str">
        <x:v>Paid</x:v>
      </x:c>
      <x:c r="U331" t="str">
        <x:v>Completed</x:v>
      </x:c>
      <x:c r="V331" s="6" t="n">
        <x:f>IF(ISBLANK(P331),IF(AND(ISNUMBER(N331),N331&gt;0,ISNUMBER(O331),O331&gt;=0,ISNUMBER(Q331),Q331&gt;=0,ISNUMBER(R331),R331&gt;=0,ISNUMBER(S331)),0,""),P331)</x:f>
        <x:v>0.05</x:v>
      </x:c>
      <x:c r="W331" s="7" t="n">
        <x:f>IF(ISBLANK(V331),"",N331*O331*(1-V331))</x:f>
        <x:v>15401.514</x:v>
      </x:c>
      <x:c r="X331" s="7" t="n">
        <x:f>IF(OR(ISBLANK(W331),ISBLANK(R331)),"",W331-R331)</x:f>
        <x:v>6751.093999999999</x:v>
      </x:c>
      <x:c r="Y331" s="8" t="n">
        <x:f>IF(OR(ISBLANK(W331),W331=0),"",X331/W331)</x:f>
        <x:v>0.4383396333633174</x:v>
      </x:c>
      <x:c r="Z331" s="9" t="n">
        <x:f>IF(OR(ISBLANK(B331),ISBLANK(C331)),"",C331-B331)</x:f>
        <x:v>6</x:v>
      </x:c>
      <x:c r="AA331" t="str">
        <x:f>IF(ISBLANK(B331),"",TEXT(B331,"mmm"))</x:f>
        <x:v>May</x:v>
      </x:c>
      <x:c r="AB331" s="9" t="n">
        <x:f>IF(ISBLANK(B331),"",YEAR(B331))</x:f>
        <x:v>2025</x:v>
      </x:c>
      <x:c r="AC331" s="10" t="str"/>
      <x:c r="AD331" t="str">
        <x:f>IF(AND(U331="Completed",T331="Paid",ISERROR(SEARCH("INVALID",AC331)),ISERROR(SEARCH("REVIEW",AC331))),"Include","Exclude")</x:f>
        <x:v>Include</x:v>
      </x:c>
      <x:c r="AE331" t="str">
        <x:f>IF(T331="Refunded","Refunded","")</x:f>
      </x:c>
    </x:row>
    <x:row r="332">
      <x:c r="A332" t="str">
        <x:v>ORD-2024-10331</x:v>
      </x:c>
      <x:c r="B332" s="5" t="n">
        <x:v>45428</x:v>
      </x:c>
      <x:c r="C332" s="5" t="n">
        <x:v>45436</x:v>
      </x:c>
      <x:c r="D332" t="str">
        <x:v>CUST-1116</x:v>
      </x:c>
      <x:c r="E332" t="str">
        <x:v>Arjun Bose</x:v>
      </x:c>
      <x:c r="F332" t="str">
        <x:v>Home Office</x:v>
      </x:c>
      <x:c r="G332" t="str">
        <x:v>North</x:v>
      </x:c>
      <x:c r="H332" t="str">
        <x:v>Punjab</x:v>
      </x:c>
      <x:c r="I332" t="str">
        <x:v>Ludhiana</x:v>
      </x:c>
      <x:c r="J332" t="str">
        <x:v>Technology</x:v>
      </x:c>
      <x:c r="K332" t="str">
        <x:v>Accessories</x:v>
      </x:c>
      <x:c r="L332" t="str">
        <x:v>Prime Accessories 335</x:v>
      </x:c>
      <x:c r="M332" t="str">
        <x:v>Same Day</x:v>
      </x:c>
      <x:c r="N332" t="n">
        <x:v>1</x:v>
      </x:c>
      <x:c r="O332" s="7" t="n">
        <x:v>783.09</x:v>
      </x:c>
      <x:c r="P332" s="6" t="n">
        <x:v>0</x:v>
      </x:c>
      <x:c r="Q332" s="7" t="n">
        <x:v>783.09</x:v>
      </x:c>
      <x:c r="R332" s="7" t="n">
        <x:v>503.89</x:v>
      </x:c>
      <x:c r="S332" s="7" t="n">
        <x:v>279.2</x:v>
      </x:c>
      <x:c r="T332" t="str">
        <x:v>Failed</x:v>
      </x:c>
      <x:c r="U332" t="str">
        <x:v>Cancelled</x:v>
      </x:c>
      <x:c r="V332" s="6" t="n">
        <x:f>IF(ISBLANK(P332),IF(AND(ISNUMBER(N332),N332&gt;0,ISNUMBER(O332),O332&gt;=0,ISNUMBER(Q332),Q332&gt;=0,ISNUMBER(R332),R332&gt;=0,ISNUMBER(S332)),0,""),P332)</x:f>
        <x:v>0</x:v>
      </x:c>
      <x:c r="W332" s="7" t="n">
        <x:f>IF(ISBLANK(V332),"",N332*O332*(1-V332))</x:f>
        <x:v>783.09</x:v>
      </x:c>
      <x:c r="X332" s="7" t="n">
        <x:f>IF(OR(ISBLANK(W332),ISBLANK(R332)),"",W332-R332)</x:f>
        <x:v>279.20000000000005</x:v>
      </x:c>
      <x:c r="Y332" s="8" t="n">
        <x:f>IF(OR(ISBLANK(W332),W332=0),"",X332/W332)</x:f>
        <x:v>0.3565362857398256</x:v>
      </x:c>
      <x:c r="Z332" s="9" t="n">
        <x:f>IF(OR(ISBLANK(B332),ISBLANK(C332)),"",C332-B332)</x:f>
        <x:v>8</x:v>
      </x:c>
      <x:c r="AA332" t="str">
        <x:f>IF(ISBLANK(B332),"",TEXT(B332,"mmm"))</x:f>
        <x:v>May</x:v>
      </x:c>
      <x:c r="AB332" s="9" t="n">
        <x:f>IF(ISBLANK(B332),"",YEAR(B332))</x:f>
        <x:v>2024</x:v>
      </x:c>
      <x:c r="AC332" s="10" t="str">
        <x:v>EXCLUDE: Cancelled order; EXCLUDE: Failed payment</x:v>
      </x:c>
      <x:c r="AD332" t="str">
        <x:f>IF(AND(U332="Completed",T332="Paid",ISERROR(SEARCH("INVALID",AC332)),ISERROR(SEARCH("REVIEW",AC332))),"Include","Exclude")</x:f>
        <x:v>Exclude</x:v>
      </x:c>
      <x:c r="AE332" t="str">
        <x:f>IF(T332="Refunded","Refunded","")</x:f>
      </x:c>
    </x:row>
    <x:row r="333">
      <x:c r="A333" t="str">
        <x:v>ORD-2024-10332</x:v>
      </x:c>
      <x:c r="B333" s="5" t="n">
        <x:v>45630</x:v>
      </x:c>
      <x:c r="C333" s="5" t="n">
        <x:v>45632</x:v>
      </x:c>
      <x:c r="D333" t="str">
        <x:v>CUST-9346</x:v>
      </x:c>
      <x:c r="E333" t="str">
        <x:v>Sneha Kapoor</x:v>
      </x:c>
      <x:c r="F333" t="str">
        <x:v>Home Office</x:v>
      </x:c>
      <x:c r="G333" t="str">
        <x:v>East</x:v>
      </x:c>
      <x:c r="H333" t="str">
        <x:v>Odisha</x:v>
      </x:c>
      <x:c r="I333" t="str">
        <x:v>Bhubaneswar</x:v>
      </x:c>
      <x:c r="J333" t="str">
        <x:v>Office Supplies</x:v>
      </x:c>
      <x:c r="K333" t="str">
        <x:v>Binders</x:v>
      </x:c>
      <x:c r="L333" t="str">
        <x:v>Smart Binders 939</x:v>
      </x:c>
      <x:c r="M333" t="str">
        <x:v>Second Class</x:v>
      </x:c>
      <x:c r="N333" t="n">
        <x:v>4</x:v>
      </x:c>
      <x:c r="O333" s="7" t="n">
        <x:v>2685.66</x:v>
      </x:c>
      <x:c r="P333" s="6" t="n">
        <x:v>0</x:v>
      </x:c>
      <x:c r="Q333" s="7" t="n">
        <x:v>10742.64</x:v>
      </x:c>
      <x:c r="R333" s="7" t="n">
        <x:v>6477.37</x:v>
      </x:c>
      <x:c r="S333" s="7" t="n">
        <x:v>4265.27</x:v>
      </x:c>
      <x:c r="T333" t="str">
        <x:v>Paid</x:v>
      </x:c>
      <x:c r="U333" t="str">
        <x:v>Returned</x:v>
      </x:c>
      <x:c r="V333" s="6" t="n">
        <x:f>IF(ISBLANK(P333),IF(AND(ISNUMBER(N333),N333&gt;0,ISNUMBER(O333),O333&gt;=0,ISNUMBER(Q333),Q333&gt;=0,ISNUMBER(R333),R333&gt;=0,ISNUMBER(S333)),0,""),P333)</x:f>
        <x:v>0</x:v>
      </x:c>
      <x:c r="W333" s="7" t="n">
        <x:f>IF(ISBLANK(V333),"",N333*O333*(1-V333))</x:f>
        <x:v>10742.64</x:v>
      </x:c>
      <x:c r="X333" s="7" t="n">
        <x:f>IF(OR(ISBLANK(W333),ISBLANK(R333)),"",W333-R333)</x:f>
        <x:v>4265.2699999999995</x:v>
      </x:c>
      <x:c r="Y333" s="8" t="n">
        <x:f>IF(OR(ISBLANK(W333),W333=0),"",X333/W333)</x:f>
        <x:v>0.39704113700170535</x:v>
      </x:c>
      <x:c r="Z333" s="9" t="n">
        <x:f>IF(OR(ISBLANK(B333),ISBLANK(C333)),"",C333-B333)</x:f>
        <x:v>2</x:v>
      </x:c>
      <x:c r="AA333" t="str">
        <x:f>IF(ISBLANK(B333),"",TEXT(B333,"mmm"))</x:f>
        <x:v>Dec</x:v>
      </x:c>
      <x:c r="AB333" s="9" t="n">
        <x:f>IF(ISBLANK(B333),"",YEAR(B333))</x:f>
        <x:v>2024</x:v>
      </x:c>
      <x:c r="AC333" s="10" t="str">
        <x:v>REVIEW: Conflicting duplicate order_id</x:v>
      </x:c>
      <x:c r="AD333" t="str">
        <x:f>IF(AND(U333="Completed",T333="Paid",ISERROR(SEARCH("INVALID",AC333)),ISERROR(SEARCH("REVIEW",AC333))),"Include","Exclude")</x:f>
        <x:v>Exclude</x:v>
      </x:c>
      <x:c r="AE333" t="str">
        <x:f>IF(T333="Refunded","Refunded","")</x:f>
      </x:c>
    </x:row>
    <x:row r="334">
      <x:c r="A334" t="str">
        <x:v>ORD-2025-10333</x:v>
      </x:c>
      <x:c r="B334" s="5" t="n">
        <x:v>45804</x:v>
      </x:c>
      <x:c r="C334" s="5" t="n">
        <x:v>45805</x:v>
      </x:c>
      <x:c r="D334" t="str">
        <x:v>CUST-5332</x:v>
      </x:c>
      <x:c r="E334" t="str">
        <x:v>Aarav Sharma</x:v>
      </x:c>
      <x:c r="F334" t="str">
        <x:v>Consumer</x:v>
      </x:c>
      <x:c r="G334" t="str">
        <x:v>South</x:v>
      </x:c>
      <x:c r="H334" t="str">
        <x:v>Andhra Pradesh</x:v>
      </x:c>
      <x:c r="I334" t="str">
        <x:v>Vijayawada</x:v>
      </x:c>
      <x:c r="J334" t="str">
        <x:v>Technology</x:v>
      </x:c>
      <x:c r="K334" t="str">
        <x:v>Machines</x:v>
      </x:c>
      <x:c r="L334" t="str">
        <x:v>Basic Machines 601</x:v>
      </x:c>
      <x:c r="M334" t="str">
        <x:v>Second Class</x:v>
      </x:c>
      <x:c r="N334" t="n">
        <x:v>2</x:v>
      </x:c>
      <x:c r="O334" s="7" t="n">
        <x:v>3911.96</x:v>
      </x:c>
      <x:c r="P334" s="6" t="n">
        <x:v>0</x:v>
      </x:c>
      <x:c r="Q334" s="7" t="n">
        <x:v>7823.92</x:v>
      </x:c>
      <x:c r="R334" s="7" t="n">
        <x:v>6034.63</x:v>
      </x:c>
      <x:c r="S334" s="7" t="n">
        <x:v>1789.29</x:v>
      </x:c>
      <x:c r="T334" t="str">
        <x:v>Paid</x:v>
      </x:c>
      <x:c r="U334" t="str">
        <x:v>Completed</x:v>
      </x:c>
      <x:c r="V334" s="6" t="n">
        <x:f>IF(ISBLANK(P334),IF(AND(ISNUMBER(N334),N334&gt;0,ISNUMBER(O334),O334&gt;=0,ISNUMBER(Q334),Q334&gt;=0,ISNUMBER(R334),R334&gt;=0,ISNUMBER(S334)),0,""),P334)</x:f>
        <x:v>0</x:v>
      </x:c>
      <x:c r="W334" s="7" t="n">
        <x:f>IF(ISBLANK(V334),"",N334*O334*(1-V334))</x:f>
        <x:v>7823.92</x:v>
      </x:c>
      <x:c r="X334" s="7" t="n">
        <x:f>IF(OR(ISBLANK(W334),ISBLANK(R334)),"",W334-R334)</x:f>
        <x:v>1789.29</x:v>
      </x:c>
      <x:c r="Y334" s="8" t="n">
        <x:f>IF(OR(ISBLANK(W334),W334=0),"",X334/W334)</x:f>
        <x:v>0.22869482305545047</x:v>
      </x:c>
      <x:c r="Z334" s="9" t="n">
        <x:f>IF(OR(ISBLANK(B334),ISBLANK(C334)),"",C334-B334)</x:f>
        <x:v>1</x:v>
      </x:c>
      <x:c r="AA334" t="str">
        <x:f>IF(ISBLANK(B334),"",TEXT(B334,"mmm"))</x:f>
        <x:v>May</x:v>
      </x:c>
      <x:c r="AB334" s="9" t="n">
        <x:f>IF(ISBLANK(B334),"",YEAR(B334))</x:f>
        <x:v>2025</x:v>
      </x:c>
      <x:c r="AC334" s="10" t="str"/>
      <x:c r="AD334" t="str">
        <x:f>IF(AND(U334="Completed",T334="Paid",ISERROR(SEARCH("INVALID",AC334)),ISERROR(SEARCH("REVIEW",AC334))),"Include","Exclude")</x:f>
        <x:v>Include</x:v>
      </x:c>
      <x:c r="AE334" t="str">
        <x:f>IF(T334="Refunded","Refunded","")</x:f>
      </x:c>
    </x:row>
    <x:row r="335">
      <x:c r="A335" t="str">
        <x:v>ORD-2025-10334</x:v>
      </x:c>
      <x:c r="B335" s="5" t="n">
        <x:v>45830</x:v>
      </x:c>
      <x:c r="C335" s="5" t="n">
        <x:v>45835</x:v>
      </x:c>
      <x:c r="D335" t="str">
        <x:v>CUST-8081</x:v>
      </x:c>
      <x:c r="E335" t="str">
        <x:v>Rohan Mehta</x:v>
      </x:c>
      <x:c r="F335" t="str">
        <x:v>Home Office</x:v>
      </x:c>
      <x:c r="G335" t="str">
        <x:v>Unknown</x:v>
      </x:c>
      <x:c r="H335" t="str">
        <x:v>Delhi</x:v>
      </x:c>
      <x:c r="I335" t="str">
        <x:v>New Delhi</x:v>
      </x:c>
      <x:c r="J335" t="str">
        <x:v>Technology</x:v>
      </x:c>
      <x:c r="K335" t="str">
        <x:v>Phones</x:v>
      </x:c>
      <x:c r="L335" t="str">
        <x:v>Pro Phones 968</x:v>
      </x:c>
      <x:c r="M335" t="str">
        <x:v>First Class</x:v>
      </x:c>
      <x:c r="N335" t="n">
        <x:v>2</x:v>
      </x:c>
      <x:c r="O335" s="7" t="n">
        <x:v>1468.05</x:v>
      </x:c>
      <x:c r="P335" s="6" t="n">
        <x:v>0</x:v>
      </x:c>
      <x:c r="Q335" s="7" t="n">
        <x:v>2936.1</x:v>
      </x:c>
      <x:c r="R335" s="7" t="n">
        <x:v>1923.1</x:v>
      </x:c>
      <x:c r="S335" s="7" t="n">
        <x:v>1013</x:v>
      </x:c>
      <x:c r="T335" t="str">
        <x:v>Paid</x:v>
      </x:c>
      <x:c r="U335" t="str">
        <x:v>Completed</x:v>
      </x:c>
      <x:c r="V335" s="6" t="n">
        <x:f>IF(ISBLANK(P335),IF(AND(ISNUMBER(N335),N335&gt;0,ISNUMBER(O335),O335&gt;=0,ISNUMBER(Q335),Q335&gt;=0,ISNUMBER(R335),R335&gt;=0,ISNUMBER(S335)),0,""),P335)</x:f>
        <x:v>0</x:v>
      </x:c>
      <x:c r="W335" s="7" t="n">
        <x:f>IF(ISBLANK(V335),"",N335*O335*(1-V335))</x:f>
        <x:v>2936.1</x:v>
      </x:c>
      <x:c r="X335" s="7" t="n">
        <x:f>IF(OR(ISBLANK(W335),ISBLANK(R335)),"",W335-R335)</x:f>
        <x:v>1013</x:v>
      </x:c>
      <x:c r="Y335" s="8" t="n">
        <x:f>IF(OR(ISBLANK(W335),W335=0),"",X335/W335)</x:f>
        <x:v>0.345015496747386</x:v>
      </x:c>
      <x:c r="Z335" s="9" t="n">
        <x:f>IF(OR(ISBLANK(B335),ISBLANK(C335)),"",C335-B335)</x:f>
        <x:v>5</x:v>
      </x:c>
      <x:c r="AA335" t="str">
        <x:f>IF(ISBLANK(B335),"",TEXT(B335,"mmm"))</x:f>
        <x:v>Jun</x:v>
      </x:c>
      <x:c r="AB335" s="9" t="n">
        <x:f>IF(ISBLANK(B335),"",YEAR(B335))</x:f>
        <x:v>2025</x:v>
      </x:c>
      <x:c r="AC335" s="10" t="str">
        <x:v>FLAG: Missing region filled as Unknown</x:v>
      </x:c>
      <x:c r="AD335" t="str">
        <x:f>IF(AND(U335="Completed",T335="Paid",ISERROR(SEARCH("INVALID",AC335)),ISERROR(SEARCH("REVIEW",AC335))),"Include","Exclude")</x:f>
        <x:v>Include</x:v>
      </x:c>
      <x:c r="AE335" t="str">
        <x:f>IF(T335="Refunded","Refunded","")</x:f>
      </x:c>
    </x:row>
    <x:row r="336">
      <x:c r="A336" t="str">
        <x:v>ORD-2024-10335</x:v>
      </x:c>
      <x:c r="B336" s="5" t="n">
        <x:v>45547</x:v>
      </x:c>
      <x:c r="C336" s="5" t="n">
        <x:v>45552</x:v>
      </x:c>
      <x:c r="D336" t="str">
        <x:v>CUST-3062</x:v>
      </x:c>
      <x:c r="E336" t="str">
        <x:v>Ananya Rao</x:v>
      </x:c>
      <x:c r="F336" t="str">
        <x:v>Consumer</x:v>
      </x:c>
      <x:c r="G336" t="str">
        <x:v>East</x:v>
      </x:c>
      <x:c r="H336" t="str">
        <x:v>Jharkhand</x:v>
      </x:c>
      <x:c r="I336" t="str">
        <x:v>Ranchi</x:v>
      </x:c>
      <x:c r="J336" t="str">
        <x:v>Office Supplies</x:v>
      </x:c>
      <x:c r="K336" t="str">
        <x:v>Storage</x:v>
      </x:c>
      <x:c r="L336" t="str">
        <x:v>Pro Storage 563</x:v>
      </x:c>
      <x:c r="M336" t="str">
        <x:v>First Class</x:v>
      </x:c>
      <x:c r="N336" t="n">
        <x:v>9</x:v>
      </x:c>
      <x:c r="O336" s="7" t="n">
        <x:v>1921.47</x:v>
      </x:c>
      <x:c r="P336" s="6" t="n">
        <x:v>0.25</x:v>
      </x:c>
      <x:c r="Q336" s="7" t="n">
        <x:v>12969.92</x:v>
      </x:c>
      <x:c r="R336" s="7" t="n">
        <x:v>9398.46</x:v>
      </x:c>
      <x:c r="S336" s="7" t="n">
        <x:v>3571.46</x:v>
      </x:c>
      <x:c r="T336" t="str">
        <x:v>Paid</x:v>
      </x:c>
      <x:c r="U336" t="str">
        <x:v>Completed</x:v>
      </x:c>
      <x:c r="V336" s="6" t="n">
        <x:f>IF(ISBLANK(P336),IF(AND(ISNUMBER(N336),N336&gt;0,ISNUMBER(O336),O336&gt;=0,ISNUMBER(Q336),Q336&gt;=0,ISNUMBER(R336),R336&gt;=0,ISNUMBER(S336)),0,""),P336)</x:f>
        <x:v>0.25</x:v>
      </x:c>
      <x:c r="W336" s="7" t="n">
        <x:f>IF(ISBLANK(V336),"",N336*O336*(1-V336))</x:f>
        <x:v>12969.9225</x:v>
      </x:c>
      <x:c r="X336" s="7" t="n">
        <x:f>IF(OR(ISBLANK(W336),ISBLANK(R336)),"",W336-R336)</x:f>
        <x:v>3571.4625000000015</x:v>
      </x:c>
      <x:c r="Y336" s="8" t="n">
        <x:f>IF(OR(ISBLANK(W336),W336=0),"",X336/W336)</x:f>
        <x:v>0.2753649838694103</x:v>
      </x:c>
      <x:c r="Z336" s="9" t="n">
        <x:f>IF(OR(ISBLANK(B336),ISBLANK(C336)),"",C336-B336)</x:f>
        <x:v>5</x:v>
      </x:c>
      <x:c r="AA336" t="str">
        <x:f>IF(ISBLANK(B336),"",TEXT(B336,"mmm"))</x:f>
        <x:v>Sep</x:v>
      </x:c>
      <x:c r="AB336" s="9" t="n">
        <x:f>IF(ISBLANK(B336),"",YEAR(B336))</x:f>
        <x:v>2024</x:v>
      </x:c>
      <x:c r="AC336" s="10" t="str"/>
      <x:c r="AD336" t="str">
        <x:f>IF(AND(U336="Completed",T336="Paid",ISERROR(SEARCH("INVALID",AC336)),ISERROR(SEARCH("REVIEW",AC336))),"Include","Exclude")</x:f>
        <x:v>Include</x:v>
      </x:c>
      <x:c r="AE336" t="str">
        <x:f>IF(T336="Refunded","Refunded","")</x:f>
      </x:c>
    </x:row>
    <x:row r="337">
      <x:c r="A337" t="str">
        <x:v>ORD-2025-10336</x:v>
      </x:c>
      <x:c r="B337" s="5" t="n">
        <x:v>45824</x:v>
      </x:c>
      <x:c r="C337" s="5" t="n">
        <x:v>45826</x:v>
      </x:c>
      <x:c r="D337" t="str">
        <x:v>CUST-3621</x:v>
      </x:c>
      <x:c r="E337" t="str">
        <x:v>Rahul Verma</x:v>
      </x:c>
      <x:c r="F337" t="str">
        <x:v>Home Office</x:v>
      </x:c>
      <x:c r="G337" t="str">
        <x:v>West</x:v>
      </x:c>
      <x:c r="H337" t="str">
        <x:v>Madhya Pradesh</x:v>
      </x:c>
      <x:c r="I337" t="str">
        <x:v>Indore</x:v>
      </x:c>
      <x:c r="J337" t="str">
        <x:v>Office Supplies</x:v>
      </x:c>
      <x:c r="K337" t="str">
        <x:v>Paper</x:v>
      </x:c>
      <x:c r="L337" t="str">
        <x:v>Prime Paper 559</x:v>
      </x:c>
      <x:c r="M337" t="str">
        <x:v>First Class</x:v>
      </x:c>
      <x:c r="N337" t="n">
        <x:v>3</x:v>
      </x:c>
      <x:c r="O337" s="7" t="n">
        <x:v>4289.37</x:v>
      </x:c>
      <x:c r="P337" s="6" t="n">
        <x:v>0.1</x:v>
      </x:c>
      <x:c r="Q337" s="7" t="n">
        <x:v>11581.3</x:v>
      </x:c>
      <x:c r="R337" s="7" t="n">
        <x:v>6829.43</x:v>
      </x:c>
      <x:c r="S337" s="7" t="n">
        <x:v>4751.87</x:v>
      </x:c>
      <x:c r="T337" t="str">
        <x:v>Paid</x:v>
      </x:c>
      <x:c r="U337" t="str">
        <x:v>Completed</x:v>
      </x:c>
      <x:c r="V337" s="6" t="n">
        <x:f>IF(ISBLANK(P337),IF(AND(ISNUMBER(N337),N337&gt;0,ISNUMBER(O337),O337&gt;=0,ISNUMBER(Q337),Q337&gt;=0,ISNUMBER(R337),R337&gt;=0,ISNUMBER(S337)),0,""),P337)</x:f>
        <x:v>0.1</x:v>
      </x:c>
      <x:c r="W337" s="7" t="n">
        <x:f>IF(ISBLANK(V337),"",N337*O337*(1-V337))</x:f>
        <x:v>11581.299</x:v>
      </x:c>
      <x:c r="X337" s="7" t="n">
        <x:f>IF(OR(ISBLANK(W337),ISBLANK(R337)),"",W337-R337)</x:f>
        <x:v>4751.869000000001</x:v>
      </x:c>
      <x:c r="Y337" s="8" t="n">
        <x:f>IF(OR(ISBLANK(W337),W337=0),"",X337/W337)</x:f>
        <x:v>0.41030535521101735</x:v>
      </x:c>
      <x:c r="Z337" s="9" t="n">
        <x:f>IF(OR(ISBLANK(B337),ISBLANK(C337)),"",C337-B337)</x:f>
        <x:v>2</x:v>
      </x:c>
      <x:c r="AA337" t="str">
        <x:f>IF(ISBLANK(B337),"",TEXT(B337,"mmm"))</x:f>
        <x:v>Jun</x:v>
      </x:c>
      <x:c r="AB337" s="9" t="n">
        <x:f>IF(ISBLANK(B337),"",YEAR(B337))</x:f>
        <x:v>2025</x:v>
      </x:c>
      <x:c r="AC337" s="10" t="str">
        <x:v>REVIEW: Conflicting duplicate order_id</x:v>
      </x:c>
      <x:c r="AD337" t="str">
        <x:f>IF(AND(U337="Completed",T337="Paid",ISERROR(SEARCH("INVALID",AC337)),ISERROR(SEARCH("REVIEW",AC337))),"Include","Exclude")</x:f>
        <x:v>Exclude</x:v>
      </x:c>
      <x:c r="AE337" t="str">
        <x:f>IF(T337="Refunded","Refunded","")</x:f>
      </x:c>
    </x:row>
    <x:row r="338">
      <x:c r="A338" t="str">
        <x:v>ORD-2024-10337</x:v>
      </x:c>
      <x:c r="B338" s="5" t="n">
        <x:v>45368</x:v>
      </x:c>
      <x:c r="C338" s="5" t="n">
        <x:v>45372</x:v>
      </x:c>
      <x:c r="D338" t="str">
        <x:v>CUST-2103</x:v>
      </x:c>
      <x:c r="E338" t="str">
        <x:v>Aarav Sharma</x:v>
      </x:c>
      <x:c r="F338" t="str">
        <x:v>Consumer</x:v>
      </x:c>
      <x:c r="G338" t="str">
        <x:v>North</x:v>
      </x:c>
      <x:c r="H338" t="str">
        <x:v>Rajasthan</x:v>
      </x:c>
      <x:c r="I338" t="str">
        <x:v>Jaipur</x:v>
      </x:c>
      <x:c r="J338" t="str">
        <x:v>Technology</x:v>
      </x:c>
      <x:c r="K338" t="str">
        <x:v>Copiers</x:v>
      </x:c>
      <x:c r="L338" t="str">
        <x:v>Pro Copiers 999</x:v>
      </x:c>
      <x:c r="M338" t="str">
        <x:v>First Class</x:v>
      </x:c>
      <x:c r="N338" t="n">
        <x:v>8</x:v>
      </x:c>
      <x:c r="O338" s="7" t="n">
        <x:v>1992.57</x:v>
      </x:c>
      <x:c r="P338" s="6" t="n">
        <x:v>0</x:v>
      </x:c>
      <x:c r="Q338" s="7" t="n">
        <x:v>15940.56</x:v>
      </x:c>
      <x:c r="R338" s="7" t="n">
        <x:v>12347.15</x:v>
      </x:c>
      <x:c r="S338" s="7" t="n">
        <x:v>3593.41</x:v>
      </x:c>
      <x:c r="T338" t="str">
        <x:v>Paid</x:v>
      </x:c>
      <x:c r="U338" t="str">
        <x:v>Completed</x:v>
      </x:c>
      <x:c r="V338" s="6" t="n">
        <x:f>IF(ISBLANK(P338),IF(AND(ISNUMBER(N338),N338&gt;0,ISNUMBER(O338),O338&gt;=0,ISNUMBER(Q338),Q338&gt;=0,ISNUMBER(R338),R338&gt;=0,ISNUMBER(S338)),0,""),P338)</x:f>
        <x:v>0</x:v>
      </x:c>
      <x:c r="W338" s="7" t="n">
        <x:f>IF(ISBLANK(V338),"",N338*O338*(1-V338))</x:f>
        <x:v>15940.56</x:v>
      </x:c>
      <x:c r="X338" s="7" t="n">
        <x:f>IF(OR(ISBLANK(W338),ISBLANK(R338)),"",W338-R338)</x:f>
        <x:v>3593.41</x:v>
      </x:c>
      <x:c r="Y338" s="8" t="n">
        <x:f>IF(OR(ISBLANK(W338),W338=0),"",X338/W338)</x:f>
        <x:v>0.2254255810335396</x:v>
      </x:c>
      <x:c r="Z338" s="9" t="n">
        <x:f>IF(OR(ISBLANK(B338),ISBLANK(C338)),"",C338-B338)</x:f>
        <x:v>4</x:v>
      </x:c>
      <x:c r="AA338" t="str">
        <x:f>IF(ISBLANK(B338),"",TEXT(B338,"mmm"))</x:f>
        <x:v>Mar</x:v>
      </x:c>
      <x:c r="AB338" s="9" t="n">
        <x:f>IF(ISBLANK(B338),"",YEAR(B338))</x:f>
        <x:v>2024</x:v>
      </x:c>
      <x:c r="AC338" s="10" t="str"/>
      <x:c r="AD338" t="str">
        <x:f>IF(AND(U338="Completed",T338="Paid",ISERROR(SEARCH("INVALID",AC338)),ISERROR(SEARCH("REVIEW",AC338))),"Include","Exclude")</x:f>
        <x:v>Include</x:v>
      </x:c>
      <x:c r="AE338" t="str">
        <x:f>IF(T338="Refunded","Refunded","")</x:f>
      </x:c>
    </x:row>
    <x:row r="339">
      <x:c r="A339" t="str">
        <x:v>ORD-2024-10338</x:v>
      </x:c>
      <x:c r="B339" s="5" t="n">
        <x:v>45516</x:v>
      </x:c>
      <x:c r="C339" s="5" t="n">
        <x:v>45522</x:v>
      </x:c>
      <x:c r="D339" t="str">
        <x:v>CUST-4599</x:v>
      </x:c>
      <x:c r="E339" t="str">
        <x:v>Ananya Rao</x:v>
      </x:c>
      <x:c r="F339" t="str">
        <x:v>Consumer</x:v>
      </x:c>
      <x:c r="G339" t="str">
        <x:v>East</x:v>
      </x:c>
      <x:c r="H339" t="str">
        <x:v>Assam</x:v>
      </x:c>
      <x:c r="I339" t="str">
        <x:v>Guwahati</x:v>
      </x:c>
      <x:c r="J339" t="str">
        <x:v>Office Supplies</x:v>
      </x:c>
      <x:c r="K339" t="str">
        <x:v>Labels</x:v>
      </x:c>
      <x:c r="L339" t="str">
        <x:v>Classic Labels 206</x:v>
      </x:c>
      <x:c r="M339" t="str">
        <x:v>Same Day</x:v>
      </x:c>
      <x:c r="N339" t="n">
        <x:v>6</x:v>
      </x:c>
      <x:c r="O339" s="7" t="n">
        <x:v>1181.74</x:v>
      </x:c>
      <x:c r="P339" s="6" t="n">
        <x:v>0</x:v>
      </x:c>
      <x:c r="Q339" s="7" t="n">
        <x:v>7090.44</x:v>
      </x:c>
      <x:c r="R339" s="7" t="n">
        <x:v>5672.27</x:v>
      </x:c>
      <x:c r="S339" s="7" t="n">
        <x:v>1262.87</x:v>
      </x:c>
      <x:c r="T339" t="str">
        <x:v>Paid</x:v>
      </x:c>
      <x:c r="U339" t="str">
        <x:v>Completed</x:v>
      </x:c>
      <x:c r="V339" s="6" t="n">
        <x:f>IF(ISBLANK(P339),IF(AND(ISNUMBER(N339),N339&gt;0,ISNUMBER(O339),O339&gt;=0,ISNUMBER(Q339),Q339&gt;=0,ISNUMBER(R339),R339&gt;=0,ISNUMBER(S339)),0,""),P339)</x:f>
        <x:v>0</x:v>
      </x:c>
      <x:c r="W339" s="7" t="n">
        <x:f>IF(ISBLANK(V339),"",N339*O339*(1-V339))</x:f>
        <x:v>7090.4400000000005</x:v>
      </x:c>
      <x:c r="X339" s="7" t="n">
        <x:f>IF(OR(ISBLANK(W339),ISBLANK(R339)),"",W339-R339)</x:f>
        <x:v>1418.17</x:v>
      </x:c>
      <x:c r="Y339" s="8" t="n">
        <x:f>IF(OR(ISBLANK(W339),W339=0),"",X339/W339)</x:f>
        <x:v>0.20001156486762456</x:v>
      </x:c>
      <x:c r="Z339" s="9" t="n">
        <x:f>IF(OR(ISBLANK(B339),ISBLANK(C339)),"",C339-B339)</x:f>
        <x:v>6</x:v>
      </x:c>
      <x:c r="AA339" t="str">
        <x:f>IF(ISBLANK(B339),"",TEXT(B339,"mmm"))</x:f>
        <x:v>Aug</x:v>
      </x:c>
      <x:c r="AB339" s="9" t="n">
        <x:f>IF(ISBLANK(B339),"",YEAR(B339))</x:f>
        <x:v>2024</x:v>
      </x:c>
      <x:c r="AC339" s="10" t="str"/>
      <x:c r="AD339" t="str">
        <x:f>IF(AND(U339="Completed",T339="Paid",ISERROR(SEARCH("INVALID",AC339)),ISERROR(SEARCH("REVIEW",AC339))),"Include","Exclude")</x:f>
        <x:v>Include</x:v>
      </x:c>
      <x:c r="AE339" t="str">
        <x:f>IF(T339="Refunded","Refunded","")</x:f>
      </x:c>
    </x:row>
    <x:row r="340">
      <x:c r="A340" t="str">
        <x:v>ORD-2024-10339</x:v>
      </x:c>
      <x:c r="B340" s="5" t="n">
        <x:v>45634</x:v>
      </x:c>
      <x:c r="C340" s="5" t="n">
        <x:v>45634</x:v>
      </x:c>
      <x:c r="D340" t="str">
        <x:v>CUST-3066</x:v>
      </x:c>
      <x:c r="E340" t="str">
        <x:v>Arjun Bose</x:v>
      </x:c>
      <x:c r="F340" t="str">
        <x:v>Small Business</x:v>
      </x:c>
      <x:c r="G340" t="str">
        <x:v>South</x:v>
      </x:c>
      <x:c r="H340" t="str">
        <x:v>Andhra Pradesh</x:v>
      </x:c>
      <x:c r="I340" t="str">
        <x:v>Vijayawada</x:v>
      </x:c>
      <x:c r="J340" t="str">
        <x:v>Technology</x:v>
      </x:c>
      <x:c r="K340" t="str">
        <x:v>Accessories</x:v>
      </x:c>
      <x:c r="L340" t="str">
        <x:v>Eco Accessories 315</x:v>
      </x:c>
      <x:c r="M340" t="str">
        <x:v>First Class</x:v>
      </x:c>
      <x:c r="N340" t="n">
        <x:v>8</x:v>
      </x:c>
      <x:c r="O340" s="7" t="n">
        <x:v>4402.36</x:v>
      </x:c>
      <x:c r="P340" s="6" t="n">
        <x:v>0.25</x:v>
      </x:c>
      <x:c r="Q340" s="7" t="n">
        <x:v>26414.16</x:v>
      </x:c>
      <x:c r="R340" s="7" t="n">
        <x:v>21822.53</x:v>
      </x:c>
      <x:c r="S340" s="7" t="n">
        <x:v>4591.63</x:v>
      </x:c>
      <x:c r="T340" t="str">
        <x:v>Paid</x:v>
      </x:c>
      <x:c r="U340" t="str">
        <x:v>Completed</x:v>
      </x:c>
      <x:c r="V340" s="6" t="n">
        <x:f>IF(ISBLANK(P340),IF(AND(ISNUMBER(N340),N340&gt;0,ISNUMBER(O340),O340&gt;=0,ISNUMBER(Q340),Q340&gt;=0,ISNUMBER(R340),R340&gt;=0,ISNUMBER(S340)),0,""),P340)</x:f>
        <x:v>0.25</x:v>
      </x:c>
      <x:c r="W340" s="7" t="n">
        <x:f>IF(ISBLANK(V340),"",N340*O340*(1-V340))</x:f>
        <x:v>26414.159999999996</x:v>
      </x:c>
      <x:c r="X340" s="7" t="n">
        <x:f>IF(OR(ISBLANK(W340),ISBLANK(R340)),"",W340-R340)</x:f>
        <x:v>4591.629999999997</x:v>
      </x:c>
      <x:c r="Y340" s="8" t="n">
        <x:f>IF(OR(ISBLANK(W340),W340=0),"",X340/W340)</x:f>
        <x:v>0.17383214154832097</x:v>
      </x:c>
      <x:c r="Z340" s="9" t="n">
        <x:f>IF(OR(ISBLANK(B340),ISBLANK(C340)),"",C340-B340)</x:f>
        <x:v>0</x:v>
      </x:c>
      <x:c r="AA340" t="str">
        <x:f>IF(ISBLANK(B340),"",TEXT(B340,"mmm"))</x:f>
        <x:v>Dec</x:v>
      </x:c>
      <x:c r="AB340" s="9" t="n">
        <x:f>IF(ISBLANK(B340),"",YEAR(B340))</x:f>
        <x:v>2024</x:v>
      </x:c>
      <x:c r="AC340" s="10" t="str"/>
      <x:c r="AD340" t="str">
        <x:f>IF(AND(U340="Completed",T340="Paid",ISERROR(SEARCH("INVALID",AC340)),ISERROR(SEARCH("REVIEW",AC340))),"Include","Exclude")</x:f>
        <x:v>Include</x:v>
      </x:c>
      <x:c r="AE340" t="str">
        <x:f>IF(T340="Refunded","Refunded","")</x:f>
      </x:c>
    </x:row>
    <x:row r="341">
      <x:c r="A341" t="str">
        <x:v>ORD-2025-10340</x:v>
      </x:c>
      <x:c r="B341" s="5" t="n">
        <x:v>45708</x:v>
      </x:c>
      <x:c r="C341" s="5" t="n">
        <x:v>45710</x:v>
      </x:c>
      <x:c r="D341" t="str">
        <x:v>CUST-2752</x:v>
      </x:c>
      <x:c r="E341" t="str">
        <x:v>Neha Gupta</x:v>
      </x:c>
      <x:c r="F341" t="str">
        <x:v>Corporate</x:v>
      </x:c>
      <x:c r="G341" t="str">
        <x:v>East</x:v>
      </x:c>
      <x:c r="H341" t="str">
        <x:v>Jharkhand</x:v>
      </x:c>
      <x:c r="I341" t="str">
        <x:v>Ranchi</x:v>
      </x:c>
      <x:c r="J341" t="str">
        <x:v>Furniture</x:v>
      </x:c>
      <x:c r="K341" t="str">
        <x:v>Bookcases</x:v>
      </x:c>
      <x:c r="L341" t="str">
        <x:v>Elite Bookcases 988</x:v>
      </x:c>
      <x:c r="M341" t="str">
        <x:v>Standard Class</x:v>
      </x:c>
      <x:c r="N341" t="n">
        <x:v>8</x:v>
      </x:c>
      <x:c r="O341" s="7" t="n">
        <x:v>3265.76</x:v>
      </x:c>
      <x:c r="P341" s="6" t="n">
        <x:v>0.2</x:v>
      </x:c>
      <x:c r="Q341" s="7" t="n">
        <x:v>20900.86</x:v>
      </x:c>
      <x:c r="R341" s="7" t="n">
        <x:v>12513.14</x:v>
      </x:c>
      <x:c r="S341" s="7" t="n">
        <x:v>8387.72</x:v>
      </x:c>
      <x:c r="T341" t="str">
        <x:v>Paid</x:v>
      </x:c>
      <x:c r="U341" t="str">
        <x:v>Completed</x:v>
      </x:c>
      <x:c r="V341" s="6" t="n">
        <x:f>IF(ISBLANK(P341),IF(AND(ISNUMBER(N341),N341&gt;0,ISNUMBER(O341),O341&gt;=0,ISNUMBER(Q341),Q341&gt;=0,ISNUMBER(R341),R341&gt;=0,ISNUMBER(S341)),0,""),P341)</x:f>
        <x:v>0.2</x:v>
      </x:c>
      <x:c r="W341" s="7" t="n">
        <x:f>IF(ISBLANK(V341),"",N341*O341*(1-V341))</x:f>
        <x:v>20900.864</x:v>
      </x:c>
      <x:c r="X341" s="7" t="n">
        <x:f>IF(OR(ISBLANK(W341),ISBLANK(R341)),"",W341-R341)</x:f>
        <x:v>8387.724000000002</x:v>
      </x:c>
      <x:c r="Y341" s="8" t="n">
        <x:f>IF(OR(ISBLANK(W341),W341=0),"",X341/W341)</x:f>
        <x:v>0.4013099171402676</x:v>
      </x:c>
      <x:c r="Z341" s="9" t="n">
        <x:f>IF(OR(ISBLANK(B341),ISBLANK(C341)),"",C341-B341)</x:f>
        <x:v>2</x:v>
      </x:c>
      <x:c r="AA341" t="str">
        <x:f>IF(ISBLANK(B341),"",TEXT(B341,"mmm"))</x:f>
        <x:v>Feb</x:v>
      </x:c>
      <x:c r="AB341" s="9" t="n">
        <x:f>IF(ISBLANK(B341),"",YEAR(B341))</x:f>
        <x:v>2025</x:v>
      </x:c>
      <x:c r="AC341" s="10" t="str"/>
      <x:c r="AD341" t="str">
        <x:f>IF(AND(U341="Completed",T341="Paid",ISERROR(SEARCH("INVALID",AC341)),ISERROR(SEARCH("REVIEW",AC341))),"Include","Exclude")</x:f>
        <x:v>Include</x:v>
      </x:c>
      <x:c r="AE341" t="str">
        <x:f>IF(T341="Refunded","Refunded","")</x:f>
      </x:c>
    </x:row>
    <x:row r="342">
      <x:c r="A342" t="str">
        <x:v>ORD-2024-10341</x:v>
      </x:c>
      <x:c r="B342" s="5" t="n">
        <x:v>45312</x:v>
      </x:c>
      <x:c r="C342" s="5" t="n">
        <x:v>45320</x:v>
      </x:c>
      <x:c r="D342" t="str">
        <x:v>CUST-6291</x:v>
      </x:c>
      <x:c r="E342" t="str">
        <x:v>Neha Gupta</x:v>
      </x:c>
      <x:c r="F342" t="str">
        <x:v>Consumer</x:v>
      </x:c>
      <x:c r="G342" t="str">
        <x:v>South</x:v>
      </x:c>
      <x:c r="H342" t="str">
        <x:v>Karnataka</x:v>
      </x:c>
      <x:c r="I342" t="str">
        <x:v>Bengaluru</x:v>
      </x:c>
      <x:c r="J342" t="str">
        <x:v>Office Supplies</x:v>
      </x:c>
      <x:c r="K342" t="str">
        <x:v>Binders</x:v>
      </x:c>
      <x:c r="L342" t="str">
        <x:v>Smart Binders 414</x:v>
      </x:c>
      <x:c r="M342" t="str">
        <x:v>Standard Class</x:v>
      </x:c>
      <x:c r="N342" t="n">
        <x:v>5</x:v>
      </x:c>
      <x:c r="O342" s="7" t="n">
        <x:v>4058.08</x:v>
      </x:c>
      <x:c r="P342" s="6" t="n">
        <x:v>0.1</x:v>
      </x:c>
      <x:c r="Q342" s="7" t="n">
        <x:v>18261.36</x:v>
      </x:c>
      <x:c r="R342" s="7" t="n">
        <x:v>11399.94</x:v>
      </x:c>
      <x:c r="S342" s="7" t="n">
        <x:v>6861.42</x:v>
      </x:c>
      <x:c r="T342" t="str">
        <x:v>Paid</x:v>
      </x:c>
      <x:c r="U342" t="str">
        <x:v>Completed</x:v>
      </x:c>
      <x:c r="V342" s="6" t="n">
        <x:f>IF(ISBLANK(P342),IF(AND(ISNUMBER(N342),N342&gt;0,ISNUMBER(O342),O342&gt;=0,ISNUMBER(Q342),Q342&gt;=0,ISNUMBER(R342),R342&gt;=0,ISNUMBER(S342)),0,""),P342)</x:f>
        <x:v>0.1</x:v>
      </x:c>
      <x:c r="W342" s="7" t="n">
        <x:f>IF(ISBLANK(V342),"",N342*O342*(1-V342))</x:f>
        <x:v>18261.36</x:v>
      </x:c>
      <x:c r="X342" s="7" t="n">
        <x:f>IF(OR(ISBLANK(W342),ISBLANK(R342)),"",W342-R342)</x:f>
        <x:v>6861.42</x:v>
      </x:c>
      <x:c r="Y342" s="8" t="n">
        <x:f>IF(OR(ISBLANK(W342),W342=0),"",X342/W342)</x:f>
        <x:v>0.3757343374206521</x:v>
      </x:c>
      <x:c r="Z342" s="9" t="n">
        <x:f>IF(OR(ISBLANK(B342),ISBLANK(C342)),"",C342-B342)</x:f>
        <x:v>8</x:v>
      </x:c>
      <x:c r="AA342" t="str">
        <x:f>IF(ISBLANK(B342),"",TEXT(B342,"mmm"))</x:f>
        <x:v>Jan</x:v>
      </x:c>
      <x:c r="AB342" s="9" t="n">
        <x:f>IF(ISBLANK(B342),"",YEAR(B342))</x:f>
        <x:v>2024</x:v>
      </x:c>
      <x:c r="AC342" s="10" t="str"/>
      <x:c r="AD342" t="str">
        <x:f>IF(AND(U342="Completed",T342="Paid",ISERROR(SEARCH("INVALID",AC342)),ISERROR(SEARCH("REVIEW",AC342))),"Include","Exclude")</x:f>
        <x:v>Include</x:v>
      </x:c>
      <x:c r="AE342" t="str">
        <x:f>IF(T342="Refunded","Refunded","")</x:f>
      </x:c>
    </x:row>
    <x:row r="343">
      <x:c r="A343" t="str">
        <x:v>ORD-2025-10342</x:v>
      </x:c>
      <x:c r="B343" s="5" t="n">
        <x:v>45908</x:v>
      </x:c>
      <x:c r="C343" s="5" t="n">
        <x:v>45909</x:v>
      </x:c>
      <x:c r="D343" t="str">
        <x:v>CUST-9969</x:v>
      </x:c>
      <x:c r="E343" t="str">
        <x:v>Rohan Mehta</x:v>
      </x:c>
      <x:c r="F343" t="str">
        <x:v>Home Office</x:v>
      </x:c>
      <x:c r="G343" t="str">
        <x:v>West</x:v>
      </x:c>
      <x:c r="H343" t="str">
        <x:v>Gujarat</x:v>
      </x:c>
      <x:c r="I343" t="str">
        <x:v>Ahmedabad</x:v>
      </x:c>
      <x:c r="J343" t="str">
        <x:v>Furniture</x:v>
      </x:c>
      <x:c r="K343" t="str">
        <x:v>Chairs</x:v>
      </x:c>
      <x:c r="L343" t="str">
        <x:v>Eco Chairs 552</x:v>
      </x:c>
      <x:c r="M343" t="str">
        <x:v>Second Class</x:v>
      </x:c>
      <x:c r="N343" t="n">
        <x:v>2</x:v>
      </x:c>
      <x:c r="O343" s="7" t="n">
        <x:v>3960.33</x:v>
      </x:c>
      <x:c r="P343" s="6" t="n">
        <x:v>0.05</x:v>
      </x:c>
      <x:c r="Q343" s="7" t="n">
        <x:v>7524.63</x:v>
      </x:c>
      <x:c r="R343" s="7" t="n">
        <x:v>6229.6</x:v>
      </x:c>
      <x:c r="S343" s="7" t="n">
        <x:v>1295.03</x:v>
      </x:c>
      <x:c r="T343" t="str">
        <x:v>Paid</x:v>
      </x:c>
      <x:c r="U343" t="str">
        <x:v>Completed</x:v>
      </x:c>
      <x:c r="V343" s="6" t="n">
        <x:f>IF(ISBLANK(P343),IF(AND(ISNUMBER(N343),N343&gt;0,ISNUMBER(O343),O343&gt;=0,ISNUMBER(Q343),Q343&gt;=0,ISNUMBER(R343),R343&gt;=0,ISNUMBER(S343)),0,""),P343)</x:f>
        <x:v>0.05</x:v>
      </x:c>
      <x:c r="W343" s="7" t="n">
        <x:f>IF(ISBLANK(V343),"",N343*O343*(1-V343))</x:f>
        <x:v>7524.6269999999995</x:v>
      </x:c>
      <x:c r="X343" s="7" t="n">
        <x:f>IF(OR(ISBLANK(W343),ISBLANK(R343)),"",W343-R343)</x:f>
        <x:v>1295.0269999999991</x:v>
      </x:c>
      <x:c r="Y343" s="8" t="n">
        <x:f>IF(OR(ISBLANK(W343),W343=0),"",X343/W343)</x:f>
        <x:v>0.1721051422216675</x:v>
      </x:c>
      <x:c r="Z343" s="9" t="n">
        <x:f>IF(OR(ISBLANK(B343),ISBLANK(C343)),"",C343-B343)</x:f>
        <x:v>1</x:v>
      </x:c>
      <x:c r="AA343" t="str">
        <x:f>IF(ISBLANK(B343),"",TEXT(B343,"mmm"))</x:f>
        <x:v>Sep</x:v>
      </x:c>
      <x:c r="AB343" s="9" t="n">
        <x:f>IF(ISBLANK(B343),"",YEAR(B343))</x:f>
        <x:v>2025</x:v>
      </x:c>
      <x:c r="AC343" s="10" t="str"/>
      <x:c r="AD343" t="str">
        <x:f>IF(AND(U343="Completed",T343="Paid",ISERROR(SEARCH("INVALID",AC343)),ISERROR(SEARCH("REVIEW",AC343))),"Include","Exclude")</x:f>
        <x:v>Include</x:v>
      </x:c>
      <x:c r="AE343" t="str">
        <x:f>IF(T343="Refunded","Refunded","")</x:f>
      </x:c>
    </x:row>
    <x:row r="344">
      <x:c r="A344" t="str">
        <x:v>ORD-2025-10343</x:v>
      </x:c>
      <x:c r="B344" s="5" t="n">
        <x:v>45862</x:v>
      </x:c>
      <x:c r="C344" s="5" t="n">
        <x:v>45870</x:v>
      </x:c>
      <x:c r="D344" t="str">
        <x:v>CUST-3335</x:v>
      </x:c>
      <x:c r="E344" t="str">
        <x:v>Kabir Singh</x:v>
      </x:c>
      <x:c r="F344" t="str">
        <x:v>Small Business</x:v>
      </x:c>
      <x:c r="G344" t="str">
        <x:v>East</x:v>
      </x:c>
      <x:c r="H344" t="str">
        <x:v>Jharkhand</x:v>
      </x:c>
      <x:c r="I344" t="str">
        <x:v>Ranchi</x:v>
      </x:c>
      <x:c r="J344" t="str">
        <x:v>Office Supplies</x:v>
      </x:c>
      <x:c r="K344" t="str">
        <x:v>Binders</x:v>
      </x:c>
      <x:c r="L344" t="str">
        <x:v>Smart Binders 574</x:v>
      </x:c>
      <x:c r="M344" t="str">
        <x:v>First Class</x:v>
      </x:c>
      <x:c r="N344" t="n">
        <x:v>8</x:v>
      </x:c>
      <x:c r="O344" s="7" t="n">
        <x:v>1528.92</x:v>
      </x:c>
      <x:c r="P344" s="6" t="n">
        <x:v>0</x:v>
      </x:c>
      <x:c r="Q344" s="7" t="n">
        <x:v>12231.36</x:v>
      </x:c>
      <x:c r="R344" s="7" t="n">
        <x:v>8766.9</x:v>
      </x:c>
      <x:c r="S344" s="7" t="n">
        <x:v>3464.46</x:v>
      </x:c>
      <x:c r="T344" t="str">
        <x:v>Paid</x:v>
      </x:c>
      <x:c r="U344" t="str">
        <x:v>Completed</x:v>
      </x:c>
      <x:c r="V344" s="6" t="n">
        <x:f>IF(ISBLANK(P344),IF(AND(ISNUMBER(N344),N344&gt;0,ISNUMBER(O344),O344&gt;=0,ISNUMBER(Q344),Q344&gt;=0,ISNUMBER(R344),R344&gt;=0,ISNUMBER(S344)),0,""),P344)</x:f>
        <x:v>0</x:v>
      </x:c>
      <x:c r="W344" s="7" t="n">
        <x:f>IF(ISBLANK(V344),"",N344*O344*(1-V344))</x:f>
        <x:v>12231.36</x:v>
      </x:c>
      <x:c r="X344" s="7" t="n">
        <x:f>IF(OR(ISBLANK(W344),ISBLANK(R344)),"",W344-R344)</x:f>
        <x:v>3464.460000000001</x:v>
      </x:c>
      <x:c r="Y344" s="8" t="n">
        <x:f>IF(OR(ISBLANK(W344),W344=0),"",X344/W344)</x:f>
        <x:v>0.28324405462679547</x:v>
      </x:c>
      <x:c r="Z344" s="9" t="n">
        <x:f>IF(OR(ISBLANK(B344),ISBLANK(C344)),"",C344-B344)</x:f>
        <x:v>8</x:v>
      </x:c>
      <x:c r="AA344" t="str">
        <x:f>IF(ISBLANK(B344),"",TEXT(B344,"mmm"))</x:f>
        <x:v>Jul</x:v>
      </x:c>
      <x:c r="AB344" s="9" t="n">
        <x:f>IF(ISBLANK(B344),"",YEAR(B344))</x:f>
        <x:v>2025</x:v>
      </x:c>
      <x:c r="AC344" s="10" t="str"/>
      <x:c r="AD344" t="str">
        <x:f>IF(AND(U344="Completed",T344="Paid",ISERROR(SEARCH("INVALID",AC344)),ISERROR(SEARCH("REVIEW",AC344))),"Include","Exclude")</x:f>
        <x:v>Include</x:v>
      </x:c>
      <x:c r="AE344" t="str">
        <x:f>IF(T344="Refunded","Refunded","")</x:f>
      </x:c>
    </x:row>
    <x:row r="345">
      <x:c r="A345" t="str">
        <x:v>ORD-2025-10344</x:v>
      </x:c>
      <x:c r="B345" s="5" t="n">
        <x:v>45933</x:v>
      </x:c>
      <x:c r="C345" s="5" t="n">
        <x:v>45938</x:v>
      </x:c>
      <x:c r="D345" t="str">
        <x:v>CUST-7358</x:v>
      </x:c>
      <x:c r="E345" t="str">
        <x:v>Aarav Sharma</x:v>
      </x:c>
      <x:c r="F345" t="str">
        <x:v>Corporate</x:v>
      </x:c>
      <x:c r="G345" t="str">
        <x:v>West</x:v>
      </x:c>
      <x:c r="H345" t="str">
        <x:v>Madhya Pradesh</x:v>
      </x:c>
      <x:c r="I345" t="str">
        <x:v>Indore</x:v>
      </x:c>
      <x:c r="J345" t="str">
        <x:v>Technology</x:v>
      </x:c>
      <x:c r="K345" t="str">
        <x:v>Machines</x:v>
      </x:c>
      <x:c r="L345" t="str">
        <x:v>Pro Machines 444</x:v>
      </x:c>
      <x:c r="M345" t="str">
        <x:v>Same Day</x:v>
      </x:c>
      <x:c r="N345" t="n">
        <x:v>9</x:v>
      </x:c>
      <x:c r="O345" s="7" t="n">
        <x:v>3837</x:v>
      </x:c>
      <x:c r="P345" s="6" t="n">
        <x:v>0.1</x:v>
      </x:c>
      <x:c r="Q345" s="7" t="n">
        <x:v>31079.7</x:v>
      </x:c>
      <x:c r="R345" s="7" t="n">
        <x:v>17758.25</x:v>
      </x:c>
      <x:c r="S345" s="7" t="n">
        <x:v>13321.45</x:v>
      </x:c>
      <x:c r="T345" t="str">
        <x:v>Paid</x:v>
      </x:c>
      <x:c r="U345" t="str">
        <x:v>Completed</x:v>
      </x:c>
      <x:c r="V345" s="6" t="n">
        <x:f>IF(ISBLANK(P345),IF(AND(ISNUMBER(N345),N345&gt;0,ISNUMBER(O345),O345&gt;=0,ISNUMBER(Q345),Q345&gt;=0,ISNUMBER(R345),R345&gt;=0,ISNUMBER(S345)),0,""),P345)</x:f>
        <x:v>0.1</x:v>
      </x:c>
      <x:c r="W345" s="7" t="n">
        <x:f>IF(ISBLANK(V345),"",N345*O345*(1-V345))</x:f>
        <x:v>31079.7</x:v>
      </x:c>
      <x:c r="X345" s="7" t="n">
        <x:f>IF(OR(ISBLANK(W345),ISBLANK(R345)),"",W345-R345)</x:f>
        <x:v>13321.45</x:v>
      </x:c>
      <x:c r="Y345" s="8" t="n">
        <x:f>IF(OR(ISBLANK(W345),W345=0),"",X345/W345)</x:f>
        <x:v>0.4286222196481948</x:v>
      </x:c>
      <x:c r="Z345" s="9" t="n">
        <x:f>IF(OR(ISBLANK(B345),ISBLANK(C345)),"",C345-B345)</x:f>
        <x:v>5</x:v>
      </x:c>
      <x:c r="AA345" t="str">
        <x:f>IF(ISBLANK(B345),"",TEXT(B345,"mmm"))</x:f>
        <x:v>Oct</x:v>
      </x:c>
      <x:c r="AB345" s="9" t="n">
        <x:f>IF(ISBLANK(B345),"",YEAR(B345))</x:f>
        <x:v>2025</x:v>
      </x:c>
      <x:c r="AC345" s="10" t="str"/>
      <x:c r="AD345" t="str">
        <x:f>IF(AND(U345="Completed",T345="Paid",ISERROR(SEARCH("INVALID",AC345)),ISERROR(SEARCH("REVIEW",AC345))),"Include","Exclude")</x:f>
        <x:v>Include</x:v>
      </x:c>
      <x:c r="AE345" t="str">
        <x:f>IF(T345="Refunded","Refunded","")</x:f>
      </x:c>
    </x:row>
    <x:row r="346">
      <x:c r="A346" t="str">
        <x:v>ORD-2024-10345</x:v>
      </x:c>
      <x:c r="B346" s="5" t="n">
        <x:v>45362</x:v>
      </x:c>
      <x:c r="C346" s="5" t="n">
        <x:v>45362</x:v>
      </x:c>
      <x:c r="D346" t="str">
        <x:v>CUST-8025</x:v>
      </x:c>
      <x:c r="E346" t="str">
        <x:v>Priya Menon</x:v>
      </x:c>
      <x:c r="F346" t="str">
        <x:v>Consumer</x:v>
      </x:c>
      <x:c r="G346" t="str">
        <x:v>North</x:v>
      </x:c>
      <x:c r="H346" t="str">
        <x:v>Punjab</x:v>
      </x:c>
      <x:c r="I346" t="str">
        <x:v>Ludhiana</x:v>
      </x:c>
      <x:c r="J346" t="str">
        <x:v>Furniture</x:v>
      </x:c>
      <x:c r="K346" t="str">
        <x:v>Bookcases</x:v>
      </x:c>
      <x:c r="L346" t="str">
        <x:v>Elite Bookcases 184</x:v>
      </x:c>
      <x:c r="M346" t="str">
        <x:v>Same Day</x:v>
      </x:c>
      <x:c r="N346" t="n">
        <x:v>9</x:v>
      </x:c>
      <x:c r="O346" s="7" t="n">
        <x:v>3456.38</x:v>
      </x:c>
      <x:c r="P346" s="6" t="n">
        <x:v>0</x:v>
      </x:c>
      <x:c r="Q346" s="7" t="n">
        <x:v>31107.42</x:v>
      </x:c>
      <x:c r="R346" s="7" t="n">
        <x:v>20146.66</x:v>
      </x:c>
      <x:c r="S346" s="7" t="n">
        <x:v>10960.76</x:v>
      </x:c>
      <x:c r="T346" t="str">
        <x:v>Pending</x:v>
      </x:c>
      <x:c r="U346" t="str">
        <x:v>Returned</x:v>
      </x:c>
      <x:c r="V346" s="6" t="n">
        <x:f>IF(ISBLANK(P346),IF(AND(ISNUMBER(N346),N346&gt;0,ISNUMBER(O346),O346&gt;=0,ISNUMBER(Q346),Q346&gt;=0,ISNUMBER(R346),R346&gt;=0,ISNUMBER(S346)),0,""),P346)</x:f>
        <x:v>0</x:v>
      </x:c>
      <x:c r="W346" s="7" t="n">
        <x:f>IF(ISBLANK(V346),"",N346*O346*(1-V346))</x:f>
        <x:v>31107.420000000002</x:v>
      </x:c>
      <x:c r="X346" s="7" t="n">
        <x:f>IF(OR(ISBLANK(W346),ISBLANK(R346)),"",W346-R346)</x:f>
        <x:v>10960.760000000002</x:v>
      </x:c>
      <x:c r="Y346" s="8" t="n">
        <x:f>IF(OR(ISBLANK(W346),W346=0),"",X346/W346)</x:f>
        <x:v>0.3523519468988428</x:v>
      </x:c>
      <x:c r="Z346" s="9" t="n">
        <x:f>IF(OR(ISBLANK(B346),ISBLANK(C346)),"",C346-B346)</x:f>
        <x:v>0</x:v>
      </x:c>
      <x:c r="AA346" t="str">
        <x:f>IF(ISBLANK(B346),"",TEXT(B346,"mmm"))</x:f>
        <x:v>Mar</x:v>
      </x:c>
      <x:c r="AB346" s="9" t="n">
        <x:f>IF(ISBLANK(B346),"",YEAR(B346))</x:f>
        <x:v>2024</x:v>
      </x:c>
      <x:c r="AC346" s="10" t="str"/>
      <x:c r="AD346" t="str">
        <x:f>IF(AND(U346="Completed",T346="Paid",ISERROR(SEARCH("INVALID",AC346)),ISERROR(SEARCH("REVIEW",AC346))),"Include","Exclude")</x:f>
        <x:v>Exclude</x:v>
      </x:c>
      <x:c r="AE346" t="str">
        <x:f>IF(T346="Refunded","Refunded","")</x:f>
      </x:c>
    </x:row>
    <x:row r="347">
      <x:c r="A347" t="str">
        <x:v>ORD-2024-10346</x:v>
      </x:c>
      <x:c r="B347" s="5" t="n">
        <x:v>45549</x:v>
      </x:c>
      <x:c r="C347" s="5" t="n">
        <x:v>45557</x:v>
      </x:c>
      <x:c r="D347" t="str">
        <x:v>CUST-4634</x:v>
      </x:c>
      <x:c r="E347" t="str">
        <x:v>Karan Malhotra</x:v>
      </x:c>
      <x:c r="F347" t="str">
        <x:v>Consumer</x:v>
      </x:c>
      <x:c r="G347" t="str">
        <x:v>West</x:v>
      </x:c>
      <x:c r="H347" t="str">
        <x:v>Madhya Pradesh</x:v>
      </x:c>
      <x:c r="I347" t="str">
        <x:v>Indore</x:v>
      </x:c>
      <x:c r="J347" t="str">
        <x:v>Furniture</x:v>
      </x:c>
      <x:c r="K347" t="str">
        <x:v>Furnishings</x:v>
      </x:c>
      <x:c r="L347" t="str">
        <x:v>Elite Furnishings 138</x:v>
      </x:c>
      <x:c r="M347" t="str">
        <x:v>Second Class</x:v>
      </x:c>
      <x:c r="N347" t="n">
        <x:v>2</x:v>
      </x:c>
      <x:c r="O347" s="7" t="n">
        <x:v>2765.3</x:v>
      </x:c>
      <x:c r="P347" s="6" t="n">
        <x:v>0</x:v>
      </x:c>
      <x:c r="Q347" s="7" t="n">
        <x:v>5530.6</x:v>
      </x:c>
      <x:c r="R347" s="7" t="n">
        <x:v>4453.11</x:v>
      </x:c>
      <x:c r="S347" s="7" t="n">
        <x:v>1077.49</x:v>
      </x:c>
      <x:c r="T347" t="str">
        <x:v>Paid</x:v>
      </x:c>
      <x:c r="U347" t="str">
        <x:v>Completed</x:v>
      </x:c>
      <x:c r="V347" s="6" t="n">
        <x:f>IF(ISBLANK(P347),IF(AND(ISNUMBER(N347),N347&gt;0,ISNUMBER(O347),O347&gt;=0,ISNUMBER(Q347),Q347&gt;=0,ISNUMBER(R347),R347&gt;=0,ISNUMBER(S347)),0,""),P347)</x:f>
        <x:v>0</x:v>
      </x:c>
      <x:c r="W347" s="7" t="n">
        <x:f>IF(ISBLANK(V347),"",N347*O347*(1-V347))</x:f>
        <x:v>5530.6</x:v>
      </x:c>
      <x:c r="X347" s="7" t="n">
        <x:f>IF(OR(ISBLANK(W347),ISBLANK(R347)),"",W347-R347)</x:f>
        <x:v>1077.4900000000007</x:v>
      </x:c>
      <x:c r="Y347" s="8" t="n">
        <x:f>IF(OR(ISBLANK(W347),W347=0),"",X347/W347)</x:f>
        <x:v>0.19482334647235391</x:v>
      </x:c>
      <x:c r="Z347" s="9" t="n">
        <x:f>IF(OR(ISBLANK(B347),ISBLANK(C347)),"",C347-B347)</x:f>
        <x:v>8</x:v>
      </x:c>
      <x:c r="AA347" t="str">
        <x:f>IF(ISBLANK(B347),"",TEXT(B347,"mmm"))</x:f>
        <x:v>Sep</x:v>
      </x:c>
      <x:c r="AB347" s="9" t="n">
        <x:f>IF(ISBLANK(B347),"",YEAR(B347))</x:f>
        <x:v>2024</x:v>
      </x:c>
      <x:c r="AC347" s="10" t="str"/>
      <x:c r="AD347" t="str">
        <x:f>IF(AND(U347="Completed",T347="Paid",ISERROR(SEARCH("INVALID",AC347)),ISERROR(SEARCH("REVIEW",AC347))),"Include","Exclude")</x:f>
        <x:v>Include</x:v>
      </x:c>
      <x:c r="AE347" t="str">
        <x:f>IF(T347="Refunded","Refunded","")</x:f>
      </x:c>
    </x:row>
    <x:row r="348">
      <x:c r="A348" t="str">
        <x:v>ORD-2025-10347</x:v>
      </x:c>
      <x:c r="B348" s="5" t="n">
        <x:v>45860</x:v>
      </x:c>
      <x:c r="C348" s="5" t="n">
        <x:v>45866</x:v>
      </x:c>
      <x:c r="D348" t="str">
        <x:v>CUST-3400</x:v>
      </x:c>
      <x:c r="E348" t="str">
        <x:v>Rahul Verma</x:v>
      </x:c>
      <x:c r="F348" t="str">
        <x:v>Corporate</x:v>
      </x:c>
      <x:c r="G348" t="str">
        <x:v>South</x:v>
      </x:c>
      <x:c r="H348" t="str">
        <x:v>Kerala</x:v>
      </x:c>
      <x:c r="I348" t="str">
        <x:v>Kochi</x:v>
      </x:c>
      <x:c r="J348" t="str">
        <x:v>Furniture</x:v>
      </x:c>
      <x:c r="K348" t="str">
        <x:v>Chairs</x:v>
      </x:c>
      <x:c r="L348" t="str">
        <x:v>Eco Chairs 369</x:v>
      </x:c>
      <x:c r="M348" t="str">
        <x:v>Second Class</x:v>
      </x:c>
      <x:c r="N348" t="n">
        <x:v>6</x:v>
      </x:c>
      <x:c r="O348" s="7" t="n">
        <x:v>1607.46</x:v>
      </x:c>
      <x:c r="P348" s="6" t="n">
        <x:v>0.2</x:v>
      </x:c>
      <x:c r="Q348" s="7" t="n">
        <x:v>7715.81</x:v>
      </x:c>
      <x:c r="R348" s="7" t="n">
        <x:v>4258.42</x:v>
      </x:c>
      <x:c r="S348" s="7" t="n">
        <x:v>3457.39</x:v>
      </x:c>
      <x:c r="T348" t="str">
        <x:v>Paid</x:v>
      </x:c>
      <x:c r="U348" t="str">
        <x:v>Completed</x:v>
      </x:c>
      <x:c r="V348" s="6" t="n">
        <x:f>IF(ISBLANK(P348),IF(AND(ISNUMBER(N348),N348&gt;0,ISNUMBER(O348),O348&gt;=0,ISNUMBER(Q348),Q348&gt;=0,ISNUMBER(R348),R348&gt;=0,ISNUMBER(S348)),0,""),P348)</x:f>
        <x:v>0.2</x:v>
      </x:c>
      <x:c r="W348" s="7" t="n">
        <x:f>IF(ISBLANK(V348),"",N348*O348*(1-V348))</x:f>
        <x:v>7715.808000000001</x:v>
      </x:c>
      <x:c r="X348" s="7" t="n">
        <x:f>IF(OR(ISBLANK(W348),ISBLANK(R348)),"",W348-R348)</x:f>
        <x:v>3457.388000000001</x:v>
      </x:c>
      <x:c r="Y348" s="8" t="n">
        <x:f>IF(OR(ISBLANK(W348),W348=0),"",X348/W348)</x:f>
        <x:v>0.4480915025360922</x:v>
      </x:c>
      <x:c r="Z348" s="9" t="n">
        <x:f>IF(OR(ISBLANK(B348),ISBLANK(C348)),"",C348-B348)</x:f>
        <x:v>6</x:v>
      </x:c>
      <x:c r="AA348" t="str">
        <x:f>IF(ISBLANK(B348),"",TEXT(B348,"mmm"))</x:f>
        <x:v>Jul</x:v>
      </x:c>
      <x:c r="AB348" s="9" t="n">
        <x:f>IF(ISBLANK(B348),"",YEAR(B348))</x:f>
        <x:v>2025</x:v>
      </x:c>
      <x:c r="AC348" s="10" t="str"/>
      <x:c r="AD348" t="str">
        <x:f>IF(AND(U348="Completed",T348="Paid",ISERROR(SEARCH("INVALID",AC348)),ISERROR(SEARCH("REVIEW",AC348))),"Include","Exclude")</x:f>
        <x:v>Include</x:v>
      </x:c>
      <x:c r="AE348" t="str">
        <x:f>IF(T348="Refunded","Refunded","")</x:f>
      </x:c>
    </x:row>
    <x:row r="349">
      <x:c r="A349" t="str">
        <x:v>ORD-2024-10348</x:v>
      </x:c>
      <x:c r="B349" s="5" t="n">
        <x:v>45627</x:v>
      </x:c>
      <x:c r="C349" s="5" t="n">
        <x:v>45634</x:v>
      </x:c>
      <x:c r="D349" t="str">
        <x:v>CUST-1172</x:v>
      </x:c>
      <x:c r="E349" t="str">
        <x:v>Aarav Sharma</x:v>
      </x:c>
      <x:c r="F349" t="str">
        <x:v>Small Business</x:v>
      </x:c>
      <x:c r="G349" t="str">
        <x:v>West</x:v>
      </x:c>
      <x:c r="H349" t="str">
        <x:v>Goa</x:v>
      </x:c>
      <x:c r="I349" t="str">
        <x:v>Panaji</x:v>
      </x:c>
      <x:c r="J349" t="str">
        <x:v>Furniture</x:v>
      </x:c>
      <x:c r="K349" t="str">
        <x:v>Chairs</x:v>
      </x:c>
      <x:c r="L349" t="str">
        <x:v>Max Chairs 487</x:v>
      </x:c>
      <x:c r="M349" t="str">
        <x:v>Second Class</x:v>
      </x:c>
      <x:c r="N349" t="n">
        <x:v>5</x:v>
      </x:c>
      <x:c r="O349" s="7" t="n">
        <x:v>2981.49</x:v>
      </x:c>
      <x:c r="P349" s="6" t="n">
        <x:v>0.2</x:v>
      </x:c>
      <x:c r="Q349" s="7" t="n">
        <x:v>11925.96</x:v>
      </x:c>
      <x:c r="R349" s="7" t="n">
        <x:v>10103.51</x:v>
      </x:c>
      <x:c r="S349" s="7" t="n">
        <x:v>1822.45</x:v>
      </x:c>
      <x:c r="T349" t="str">
        <x:v>Refunded</x:v>
      </x:c>
      <x:c r="U349" t="str">
        <x:v>Returned</x:v>
      </x:c>
      <x:c r="V349" s="6" t="n">
        <x:f>IF(ISBLANK(P349),IF(AND(ISNUMBER(N349),N349&gt;0,ISNUMBER(O349),O349&gt;=0,ISNUMBER(Q349),Q349&gt;=0,ISNUMBER(R349),R349&gt;=0,ISNUMBER(S349)),0,""),P349)</x:f>
        <x:v>0.2</x:v>
      </x:c>
      <x:c r="W349" s="7" t="n">
        <x:f>IF(ISBLANK(V349),"",N349*O349*(1-V349))</x:f>
        <x:v>11925.96</x:v>
      </x:c>
      <x:c r="X349" s="7" t="n">
        <x:f>IF(OR(ISBLANK(W349),ISBLANK(R349)),"",W349-R349)</x:f>
        <x:v>1822.449999999999</x:v>
      </x:c>
      <x:c r="Y349" s="8" t="n">
        <x:f>IF(OR(ISBLANK(W349),W349=0),"",X349/W349)</x:f>
        <x:v>0.15281369382422874</x:v>
      </x:c>
      <x:c r="Z349" s="9" t="n">
        <x:f>IF(OR(ISBLANK(B349),ISBLANK(C349)),"",C349-B349)</x:f>
        <x:v>7</x:v>
      </x:c>
      <x:c r="AA349" t="str">
        <x:f>IF(ISBLANK(B349),"",TEXT(B349,"mmm"))</x:f>
        <x:v>Dec</x:v>
      </x:c>
      <x:c r="AB349" s="9" t="n">
        <x:f>IF(ISBLANK(B349),"",YEAR(B349))</x:f>
        <x:v>2024</x:v>
      </x:c>
      <x:c r="AC349" s="10" t="str">
        <x:v>REFUND: Summarize separately</x:v>
      </x:c>
      <x:c r="AD349" t="str">
        <x:f>IF(AND(U349="Completed",T349="Paid",ISERROR(SEARCH("INVALID",AC349)),ISERROR(SEARCH("REVIEW",AC349))),"Include","Exclude")</x:f>
        <x:v>Exclude</x:v>
      </x:c>
      <x:c r="AE349" t="str">
        <x:f>IF(T349="Refunded","Refunded","")</x:f>
        <x:v>Refunded</x:v>
      </x:c>
    </x:row>
    <x:row r="350">
      <x:c r="A350" t="str">
        <x:v>ORD-2024-10349</x:v>
      </x:c>
      <x:c r="B350" s="5" t="n">
        <x:v>45445</x:v>
      </x:c>
      <x:c r="C350" s="5" t="n">
        <x:v>45450</x:v>
      </x:c>
      <x:c r="D350" t="str">
        <x:v>CUST-9517</x:v>
      </x:c>
      <x:c r="E350" t="str">
        <x:v>Aarav Sharma</x:v>
      </x:c>
      <x:c r="F350" t="str">
        <x:v>Corporate</x:v>
      </x:c>
      <x:c r="G350" t="str">
        <x:v>South</x:v>
      </x:c>
      <x:c r="H350" t="str">
        <x:v>Karnataka</x:v>
      </x:c>
      <x:c r="I350" t="str">
        <x:v>Bengaluru</x:v>
      </x:c>
      <x:c r="J350" t="str">
        <x:v>Technology</x:v>
      </x:c>
      <x:c r="K350" t="str">
        <x:v>Phones</x:v>
      </x:c>
      <x:c r="L350" t="str">
        <x:v>Classic Phones 989</x:v>
      </x:c>
      <x:c r="M350" t="str">
        <x:v>Same Day</x:v>
      </x:c>
      <x:c r="N350" t="n">
        <x:v>9</x:v>
      </x:c>
      <x:c r="O350" s="7" t="n">
        <x:v>2860.26</x:v>
      </x:c>
      <x:c r="P350" s="6" t="n">
        <x:v>0.25</x:v>
      </x:c>
      <x:c r="Q350" s="7" t="n">
        <x:v>19306.76</x:v>
      </x:c>
      <x:c r="R350" s="7" t="n">
        <x:v>14442.38</x:v>
      </x:c>
      <x:c r="S350" s="7" t="n">
        <x:v>4864.38</x:v>
      </x:c>
      <x:c r="T350" t="str">
        <x:v>Paid</x:v>
      </x:c>
      <x:c r="U350" t="str">
        <x:v>Completed</x:v>
      </x:c>
      <x:c r="V350" s="6" t="n">
        <x:f>IF(ISBLANK(P350),IF(AND(ISNUMBER(N350),N350&gt;0,ISNUMBER(O350),O350&gt;=0,ISNUMBER(Q350),Q350&gt;=0,ISNUMBER(R350),R350&gt;=0,ISNUMBER(S350)),0,""),P350)</x:f>
        <x:v>0.25</x:v>
      </x:c>
      <x:c r="W350" s="7" t="n">
        <x:f>IF(ISBLANK(V350),"",N350*O350*(1-V350))</x:f>
        <x:v>19306.755000000005</x:v>
      </x:c>
      <x:c r="X350" s="7" t="n">
        <x:f>IF(OR(ISBLANK(W350),ISBLANK(R350)),"",W350-R350)</x:f>
        <x:v>4864.3750000000055</x:v>
      </x:c>
      <x:c r="Y350" s="8" t="n">
        <x:f>IF(OR(ISBLANK(W350),W350=0),"",X350/W350)</x:f>
        <x:v>0.25195197225012717</x:v>
      </x:c>
      <x:c r="Z350" s="9" t="n">
        <x:f>IF(OR(ISBLANK(B350),ISBLANK(C350)),"",C350-B350)</x:f>
        <x:v>5</x:v>
      </x:c>
      <x:c r="AA350" t="str">
        <x:f>IF(ISBLANK(B350),"",TEXT(B350,"mmm"))</x:f>
        <x:v>Jun</x:v>
      </x:c>
      <x:c r="AB350" s="9" t="n">
        <x:f>IF(ISBLANK(B350),"",YEAR(B350))</x:f>
        <x:v>2024</x:v>
      </x:c>
      <x:c r="AC350" s="10" t="str"/>
      <x:c r="AD350" t="str">
        <x:f>IF(AND(U350="Completed",T350="Paid",ISERROR(SEARCH("INVALID",AC350)),ISERROR(SEARCH("REVIEW",AC350))),"Include","Exclude")</x:f>
        <x:v>Include</x:v>
      </x:c>
      <x:c r="AE350" t="str">
        <x:f>IF(T350="Refunded","Refunded","")</x:f>
      </x:c>
    </x:row>
    <x:row r="351">
      <x:c r="A351" t="str">
        <x:v>ORD-2025-10350</x:v>
      </x:c>
      <x:c r="B351" s="5" t="n">
        <x:v>45927</x:v>
      </x:c>
      <x:c r="C351" s="5" t="n">
        <x:v>45929</x:v>
      </x:c>
      <x:c r="D351" t="str">
        <x:v>CUST-6697</x:v>
      </x:c>
      <x:c r="E351" t="str">
        <x:v>Kabir Singh</x:v>
      </x:c>
      <x:c r="F351" t="str">
        <x:v>Home Office</x:v>
      </x:c>
      <x:c r="G351" t="str">
        <x:v>East</x:v>
      </x:c>
      <x:c r="H351" t="str">
        <x:v>Jharkhand</x:v>
      </x:c>
      <x:c r="I351" t="str">
        <x:v>Ranchi</x:v>
      </x:c>
      <x:c r="J351" t="str">
        <x:v>Furniture</x:v>
      </x:c>
      <x:c r="K351" t="str">
        <x:v>Furnishings</x:v>
      </x:c>
      <x:c r="L351" t="str">
        <x:v>Max Furnishings 628</x:v>
      </x:c>
      <x:c r="M351" t="str">
        <x:v>Second Class</x:v>
      </x:c>
      <x:c r="N351" t="n">
        <x:v>9</x:v>
      </x:c>
      <x:c r="O351" s="7" t="n">
        <x:v>2867.55</x:v>
      </x:c>
      <x:c r="P351" s="6" t="n">
        <x:v>0.25</x:v>
      </x:c>
      <x:c r="Q351" s="7" t="n">
        <x:v>19355.96</x:v>
      </x:c>
      <x:c r="R351" s="7" t="n">
        <x:v>15012.45</x:v>
      </x:c>
      <x:c r="S351" s="7" t="n">
        <x:v>4017.4</x:v>
      </x:c>
      <x:c r="T351" t="str">
        <x:v>Paid</x:v>
      </x:c>
      <x:c r="U351" t="str">
        <x:v>Completed</x:v>
      </x:c>
      <x:c r="V351" s="6" t="n">
        <x:f>IF(ISBLANK(P351),IF(AND(ISNUMBER(N351),N351&gt;0,ISNUMBER(O351),O351&gt;=0,ISNUMBER(Q351),Q351&gt;=0,ISNUMBER(R351),R351&gt;=0,ISNUMBER(S351)),0,""),P351)</x:f>
        <x:v>0.25</x:v>
      </x:c>
      <x:c r="W351" s="7" t="n">
        <x:f>IF(ISBLANK(V351),"",N351*O351*(1-V351))</x:f>
        <x:v>19355.9625</x:v>
      </x:c>
      <x:c r="X351" s="7" t="n">
        <x:f>IF(OR(ISBLANK(W351),ISBLANK(R351)),"",W351-R351)</x:f>
        <x:v>4343.512500000001</x:v>
      </x:c>
      <x:c r="Y351" s="8" t="n">
        <x:f>IF(OR(ISBLANK(W351),W351=0),"",X351/W351)</x:f>
        <x:v>0.2244017831714646</x:v>
      </x:c>
      <x:c r="Z351" s="9" t="n">
        <x:f>IF(OR(ISBLANK(B351),ISBLANK(C351)),"",C351-B351)</x:f>
        <x:v>2</x:v>
      </x:c>
      <x:c r="AA351" t="str">
        <x:f>IF(ISBLANK(B351),"",TEXT(B351,"mmm"))</x:f>
        <x:v>Sep</x:v>
      </x:c>
      <x:c r="AB351" s="9" t="n">
        <x:f>IF(ISBLANK(B351),"",YEAR(B351))</x:f>
        <x:v>2025</x:v>
      </x:c>
      <x:c r="AC351" s="10" t="str"/>
      <x:c r="AD351" t="str">
        <x:f>IF(AND(U351="Completed",T351="Paid",ISERROR(SEARCH("INVALID",AC351)),ISERROR(SEARCH("REVIEW",AC351))),"Include","Exclude")</x:f>
        <x:v>Include</x:v>
      </x:c>
      <x:c r="AE351" t="str">
        <x:f>IF(T351="Refunded","Refunded","")</x:f>
      </x:c>
    </x:row>
    <x:row r="352">
      <x:c r="A352" t="str">
        <x:v>ORD-2024-10351</x:v>
      </x:c>
      <x:c r="B352" s="5" t="n">
        <x:v>45298</x:v>
      </x:c>
      <x:c r="C352" s="5" t="n">
        <x:v>45305</x:v>
      </x:c>
      <x:c r="D352" t="str">
        <x:v>CUST-7644</x:v>
      </x:c>
      <x:c r="E352" t="str">
        <x:v>Sneha Kapoor</x:v>
      </x:c>
      <x:c r="F352" t="str">
        <x:v>Small Business</x:v>
      </x:c>
      <x:c r="G352" t="str">
        <x:v>East</x:v>
      </x:c>
      <x:c r="H352" t="str">
        <x:v>Jharkhand</x:v>
      </x:c>
      <x:c r="I352" t="str">
        <x:v>Ranchi</x:v>
      </x:c>
      <x:c r="J352" t="str">
        <x:v>Furniture</x:v>
      </x:c>
      <x:c r="K352" t="str">
        <x:v>Furnishings</x:v>
      </x:c>
      <x:c r="L352" t="str">
        <x:v>Elite Furnishings 279</x:v>
      </x:c>
      <x:c r="M352" t="str">
        <x:v>Second Class</x:v>
      </x:c>
      <x:c r="N352" t="n">
        <x:v>4</x:v>
      </x:c>
      <x:c r="O352" s="7" t="n">
        <x:v>3309.54</x:v>
      </x:c>
      <x:c r="P352" s="6" t="n">
        <x:v>0.1</x:v>
      </x:c>
      <x:c r="Q352" s="7" t="n">
        <x:v>11914.34</x:v>
      </x:c>
      <x:c r="R352" s="7" t="n">
        <x:v>9771.24</x:v>
      </x:c>
      <x:c r="S352" s="7" t="n">
        <x:v>2143.1</x:v>
      </x:c>
      <x:c r="T352" t="str">
        <x:v>Refunded</x:v>
      </x:c>
      <x:c r="U352" t="str">
        <x:v>Returned</x:v>
      </x:c>
      <x:c r="V352" s="6" t="n">
        <x:f>IF(ISBLANK(P352),IF(AND(ISNUMBER(N352),N352&gt;0,ISNUMBER(O352),O352&gt;=0,ISNUMBER(Q352),Q352&gt;=0,ISNUMBER(R352),R352&gt;=0,ISNUMBER(S352)),0,""),P352)</x:f>
        <x:v>0.1</x:v>
      </x:c>
      <x:c r="W352" s="7" t="n">
        <x:f>IF(ISBLANK(V352),"",N352*O352*(1-V352))</x:f>
        <x:v>11914.344000000001</x:v>
      </x:c>
      <x:c r="X352" s="7" t="n">
        <x:f>IF(OR(ISBLANK(W352),ISBLANK(R352)),"",W352-R352)</x:f>
        <x:v>2143.104000000001</x:v>
      </x:c>
      <x:c r="Y352" s="8" t="n">
        <x:f>IF(OR(ISBLANK(W352),W352=0),"",X352/W352)</x:f>
        <x:v>0.1798759545636756</x:v>
      </x:c>
      <x:c r="Z352" s="9" t="n">
        <x:f>IF(OR(ISBLANK(B352),ISBLANK(C352)),"",C352-B352)</x:f>
        <x:v>7</x:v>
      </x:c>
      <x:c r="AA352" t="str">
        <x:f>IF(ISBLANK(B352),"",TEXT(B352,"mmm"))</x:f>
        <x:v>Jan</x:v>
      </x:c>
      <x:c r="AB352" s="9" t="n">
        <x:f>IF(ISBLANK(B352),"",YEAR(B352))</x:f>
        <x:v>2024</x:v>
      </x:c>
      <x:c r="AC352" s="10" t="str">
        <x:v>REFUND: Summarize separately</x:v>
      </x:c>
      <x:c r="AD352" t="str">
        <x:f>IF(AND(U352="Completed",T352="Paid",ISERROR(SEARCH("INVALID",AC352)),ISERROR(SEARCH("REVIEW",AC352))),"Include","Exclude")</x:f>
        <x:v>Exclude</x:v>
      </x:c>
      <x:c r="AE352" t="str">
        <x:f>IF(T352="Refunded","Refunded","")</x:f>
        <x:v>Refunded</x:v>
      </x:c>
    </x:row>
    <x:row r="353">
      <x:c r="A353" t="str">
        <x:v>ORD-2025-10352</x:v>
      </x:c>
      <x:c r="B353" s="5" t="n">
        <x:v>45800</x:v>
      </x:c>
      <x:c r="C353" s="5" t="n">
        <x:v>45804</x:v>
      </x:c>
      <x:c r="D353" t="str">
        <x:v>CUST-9963</x:v>
      </x:c>
      <x:c r="E353" t="str">
        <x:v>Vikram Iyer</x:v>
      </x:c>
      <x:c r="F353" t="str">
        <x:v>Small Business</x:v>
      </x:c>
      <x:c r="G353" t="str">
        <x:v>South</x:v>
      </x:c>
      <x:c r="H353" t="str">
        <x:v>Telangana</x:v>
      </x:c>
      <x:c r="I353" t="str">
        <x:v>Hyderabad</x:v>
      </x:c>
      <x:c r="J353" t="str">
        <x:v>Office Supplies</x:v>
      </x:c>
      <x:c r="K353" t="str">
        <x:v>Storage</x:v>
      </x:c>
      <x:c r="L353" t="str">
        <x:v>Pro Storage 847</x:v>
      </x:c>
      <x:c r="M353" t="str">
        <x:v>First Class</x:v>
      </x:c>
      <x:c r="N353" t="n">
        <x:v>6</x:v>
      </x:c>
      <x:c r="O353" s="7" t="n">
        <x:v>719.44</x:v>
      </x:c>
      <x:c r="P353" s="6" t="n">
        <x:v>0.25</x:v>
      </x:c>
      <x:c r="Q353" s="7" t="n">
        <x:v>3237.48</x:v>
      </x:c>
      <x:c r="R353" s="7" t="n">
        <x:v>2118.34</x:v>
      </x:c>
      <x:c r="S353" s="7" t="n">
        <x:v>1119.14</x:v>
      </x:c>
      <x:c r="T353" t="str">
        <x:v>Pending</x:v>
      </x:c>
      <x:c r="U353" t="str">
        <x:v>Cancelled</x:v>
      </x:c>
      <x:c r="V353" s="6" t="n">
        <x:f>IF(ISBLANK(P353),IF(AND(ISNUMBER(N353),N353&gt;0,ISNUMBER(O353),O353&gt;=0,ISNUMBER(Q353),Q353&gt;=0,ISNUMBER(R353),R353&gt;=0,ISNUMBER(S353)),0,""),P353)</x:f>
        <x:v>0.25</x:v>
      </x:c>
      <x:c r="W353" s="7" t="n">
        <x:f>IF(ISBLANK(V353),"",N353*O353*(1-V353))</x:f>
        <x:v>3237.4800000000005</x:v>
      </x:c>
      <x:c r="X353" s="7" t="n">
        <x:f>IF(OR(ISBLANK(W353),ISBLANK(R353)),"",W353-R353)</x:f>
        <x:v>1119.1400000000003</x:v>
      </x:c>
      <x:c r="Y353" s="8" t="n">
        <x:f>IF(OR(ISBLANK(W353),W353=0),"",X353/W353)</x:f>
        <x:v>0.34568244437031276</x:v>
      </x:c>
      <x:c r="Z353" s="9" t="n">
        <x:f>IF(OR(ISBLANK(B353),ISBLANK(C353)),"",C353-B353)</x:f>
        <x:v>4</x:v>
      </x:c>
      <x:c r="AA353" t="str">
        <x:f>IF(ISBLANK(B353),"",TEXT(B353,"mmm"))</x:f>
        <x:v>May</x:v>
      </x:c>
      <x:c r="AB353" s="9" t="n">
        <x:f>IF(ISBLANK(B353),"",YEAR(B353))</x:f>
        <x:v>2025</x:v>
      </x:c>
      <x:c r="AC353" s="10" t="str">
        <x:v>EXCLUDE: Cancelled order</x:v>
      </x:c>
      <x:c r="AD353" t="str">
        <x:f>IF(AND(U353="Completed",T353="Paid",ISERROR(SEARCH("INVALID",AC353)),ISERROR(SEARCH("REVIEW",AC353))),"Include","Exclude")</x:f>
        <x:v>Exclude</x:v>
      </x:c>
      <x:c r="AE353" t="str">
        <x:f>IF(T353="Refunded","Refunded","")</x:f>
      </x:c>
    </x:row>
    <x:row r="354">
      <x:c r="A354" t="str">
        <x:v>ORD-2025-10353</x:v>
      </x:c>
      <x:c r="B354" s="5" t="n">
        <x:v>45884</x:v>
      </x:c>
      <x:c r="C354" s="5" t="n">
        <x:v>45886</x:v>
      </x:c>
      <x:c r="D354" t="str">
        <x:v>CUST-6382</x:v>
      </x:c>
      <x:c r="E354" t="str">
        <x:v>Diya Patel</x:v>
      </x:c>
      <x:c r="F354" t="str">
        <x:v>Small Business</x:v>
      </x:c>
      <x:c r="G354" t="str">
        <x:v>East</x:v>
      </x:c>
      <x:c r="H354" t="str">
        <x:v>Assam</x:v>
      </x:c>
      <x:c r="I354" t="str">
        <x:v>Guwahati</x:v>
      </x:c>
      <x:c r="J354" t="str">
        <x:v>Technology</x:v>
      </x:c>
      <x:c r="K354" t="str">
        <x:v>Copiers</x:v>
      </x:c>
      <x:c r="L354" t="str">
        <x:v>Elite Copiers 706</x:v>
      </x:c>
      <x:c r="M354" t="str">
        <x:v>First Class</x:v>
      </x:c>
      <x:c r="N354" t="n">
        <x:v>5</x:v>
      </x:c>
      <x:c r="O354" s="7" t="n">
        <x:v>2862.6</x:v>
      </x:c>
      <x:c r="P354" s="6" t="n">
        <x:v>0.25</x:v>
      </x:c>
      <x:c r="Q354" s="7" t="n">
        <x:v>10734.75</x:v>
      </x:c>
      <x:c r="R354" s="7" t="n">
        <x:v>6475.73</x:v>
      </x:c>
      <x:c r="S354" s="7" t="n">
        <x:v>4259.02</x:v>
      </x:c>
      <x:c r="T354" t="str">
        <x:v>Paid</x:v>
      </x:c>
      <x:c r="U354" t="str">
        <x:v>Completed</x:v>
      </x:c>
      <x:c r="V354" s="6" t="n">
        <x:f>IF(ISBLANK(P354),IF(AND(ISNUMBER(N354),N354&gt;0,ISNUMBER(O354),O354&gt;=0,ISNUMBER(Q354),Q354&gt;=0,ISNUMBER(R354),R354&gt;=0,ISNUMBER(S354)),0,""),P354)</x:f>
        <x:v>0.25</x:v>
      </x:c>
      <x:c r="W354" s="7" t="n">
        <x:f>IF(ISBLANK(V354),"",N354*O354*(1-V354))</x:f>
        <x:v>10734.75</x:v>
      </x:c>
      <x:c r="X354" s="7" t="n">
        <x:f>IF(OR(ISBLANK(W354),ISBLANK(R354)),"",W354-R354)</x:f>
        <x:v>4259.02</x:v>
      </x:c>
      <x:c r="Y354" s="8" t="n">
        <x:f>IF(OR(ISBLANK(W354),W354=0),"",X354/W354)</x:f>
        <x:v>0.39675073942103917</x:v>
      </x:c>
      <x:c r="Z354" s="9" t="n">
        <x:f>IF(OR(ISBLANK(B354),ISBLANK(C354)),"",C354-B354)</x:f>
        <x:v>2</x:v>
      </x:c>
      <x:c r="AA354" t="str">
        <x:f>IF(ISBLANK(B354),"",TEXT(B354,"mmm"))</x:f>
        <x:v>Aug</x:v>
      </x:c>
      <x:c r="AB354" s="9" t="n">
        <x:f>IF(ISBLANK(B354),"",YEAR(B354))</x:f>
        <x:v>2025</x:v>
      </x:c>
      <x:c r="AC354" s="10" t="str"/>
      <x:c r="AD354" t="str">
        <x:f>IF(AND(U354="Completed",T354="Paid",ISERROR(SEARCH("INVALID",AC354)),ISERROR(SEARCH("REVIEW",AC354))),"Include","Exclude")</x:f>
        <x:v>Include</x:v>
      </x:c>
      <x:c r="AE354" t="str">
        <x:f>IF(T354="Refunded","Refunded","")</x:f>
      </x:c>
    </x:row>
    <x:row r="355">
      <x:c r="A355" t="str">
        <x:v>ORD-2025-10354</x:v>
      </x:c>
      <x:c r="B355" s="5" t="n">
        <x:v>45709</x:v>
      </x:c>
      <x:c r="C355" s="5" t="n">
        <x:v>45715</x:v>
      </x:c>
      <x:c r="D355" t="str">
        <x:v>CUST-3253</x:v>
      </x:c>
      <x:c r="E355" t="str">
        <x:v>Ananya Rao</x:v>
      </x:c>
      <x:c r="F355" t="str">
        <x:v>Consumer</x:v>
      </x:c>
      <x:c r="G355" t="str">
        <x:v>North</x:v>
      </x:c>
      <x:c r="H355" t="str">
        <x:v>Rajasthan</x:v>
      </x:c>
      <x:c r="I355" t="str">
        <x:v>Jaipur</x:v>
      </x:c>
      <x:c r="J355" t="str">
        <x:v>Office Supplies</x:v>
      </x:c>
      <x:c r="K355" t="str">
        <x:v>Art</x:v>
      </x:c>
      <x:c r="L355" t="str">
        <x:v>Prime Art 978</x:v>
      </x:c>
      <x:c r="M355" t="str">
        <x:v>Same Day</x:v>
      </x:c>
      <x:c r="N355" t="n">
        <x:v>9</x:v>
      </x:c>
      <x:c r="O355" s="7" t="n">
        <x:v>1431.67</x:v>
      </x:c>
      <x:c r="P355" s="6" t="n">
        <x:v>0.2</x:v>
      </x:c>
      <x:c r="Q355" s="7" t="n">
        <x:v>10308.02</x:v>
      </x:c>
      <x:c r="R355" s="7" t="n">
        <x:v>5822.31</x:v>
      </x:c>
      <x:c r="S355" s="7" t="n">
        <x:v>4485.71</x:v>
      </x:c>
      <x:c r="T355" t="str">
        <x:v>Paid</x:v>
      </x:c>
      <x:c r="U355" t="str">
        <x:v>Completed</x:v>
      </x:c>
      <x:c r="V355" s="6" t="n">
        <x:f>IF(ISBLANK(P355),IF(AND(ISNUMBER(N355),N355&gt;0,ISNUMBER(O355),O355&gt;=0,ISNUMBER(Q355),Q355&gt;=0,ISNUMBER(R355),R355&gt;=0,ISNUMBER(S355)),0,""),P355)</x:f>
        <x:v>0.2</x:v>
      </x:c>
      <x:c r="W355" s="7" t="n">
        <x:f>IF(ISBLANK(V355),"",N355*O355*(1-V355))</x:f>
        <x:v>10308.024000000001</x:v>
      </x:c>
      <x:c r="X355" s="7" t="n">
        <x:f>IF(OR(ISBLANK(W355),ISBLANK(R355)),"",W355-R355)</x:f>
        <x:v>4485.714000000001</x:v>
      </x:c>
      <x:c r="Y355" s="8" t="n">
        <x:f>IF(OR(ISBLANK(W355),W355=0),"",X355/W355)</x:f>
        <x:v>0.4351672056642476</x:v>
      </x:c>
      <x:c r="Z355" s="9" t="n">
        <x:f>IF(OR(ISBLANK(B355),ISBLANK(C355)),"",C355-B355)</x:f>
        <x:v>6</x:v>
      </x:c>
      <x:c r="AA355" t="str">
        <x:f>IF(ISBLANK(B355),"",TEXT(B355,"mmm"))</x:f>
        <x:v>Feb</x:v>
      </x:c>
      <x:c r="AB355" s="9" t="n">
        <x:f>IF(ISBLANK(B355),"",YEAR(B355))</x:f>
        <x:v>2025</x:v>
      </x:c>
      <x:c r="AC355" s="10" t="str"/>
      <x:c r="AD355" t="str">
        <x:f>IF(AND(U355="Completed",T355="Paid",ISERROR(SEARCH("INVALID",AC355)),ISERROR(SEARCH("REVIEW",AC355))),"Include","Exclude")</x:f>
        <x:v>Include</x:v>
      </x:c>
      <x:c r="AE355" t="str">
        <x:f>IF(T355="Refunded","Refunded","")</x:f>
      </x:c>
    </x:row>
    <x:row r="356">
      <x:c r="A356" t="str">
        <x:v>ORD-2024-10355</x:v>
      </x:c>
      <x:c r="B356" s="5" t="n">
        <x:v>45653</x:v>
      </x:c>
      <x:c r="C356" s="5" t="n">
        <x:v>45657</x:v>
      </x:c>
      <x:c r="D356" t="str">
        <x:v>CUST-1058</x:v>
      </x:c>
      <x:c r="E356" t="str">
        <x:v>Kabir Singh</x:v>
      </x:c>
      <x:c r="F356" t="str">
        <x:v>Corporate</x:v>
      </x:c>
      <x:c r="G356" t="str">
        <x:v>North</x:v>
      </x:c>
      <x:c r="H356" t="str">
        <x:v>Punjab</x:v>
      </x:c>
      <x:c r="I356" t="str">
        <x:v>Ludhiana</x:v>
      </x:c>
      <x:c r="J356" t="str">
        <x:v>Furniture</x:v>
      </x:c>
      <x:c r="K356" t="str">
        <x:v>Furnishings</x:v>
      </x:c>
      <x:c r="L356" t="str">
        <x:v>Classic Furnishings 498</x:v>
      </x:c>
      <x:c r="M356" t="str">
        <x:v>Standard Class</x:v>
      </x:c>
      <x:c r="N356" t="n">
        <x:v>6</x:v>
      </x:c>
      <x:c r="O356" s="7" t="n">
        <x:v>3346.78</x:v>
      </x:c>
      <x:c r="P356" s="6" t="n">
        <x:v>-0.06</x:v>
      </x:c>
      <x:c r="Q356" s="7" t="n">
        <x:v>20080.68</x:v>
      </x:c>
      <x:c r="R356" s="7" t="n">
        <x:v>12908.84</x:v>
      </x:c>
      <x:c r="S356" s="7" t="n">
        <x:v>7171.84</x:v>
      </x:c>
      <x:c r="T356" t="str">
        <x:v>Pending</x:v>
      </x:c>
      <x:c r="U356" t="str">
        <x:v>Cancelled</x:v>
      </x:c>
      <x:c r="V356" s="6" t="n">
        <x:f>IF(ISBLANK(P356),IF(AND(ISNUMBER(N356),N356&gt;0,ISNUMBER(O356),O356&gt;=0,ISNUMBER(Q356),Q356&gt;=0,ISNUMBER(R356),R356&gt;=0,ISNUMBER(S356)),0,""),P356)</x:f>
        <x:v>-0.06</x:v>
      </x:c>
      <x:c r="W356" s="7" t="n">
        <x:f>IF(ISBLANK(V356),"",N356*O356*(1-V356))</x:f>
        <x:v>21285.520800000002</x:v>
      </x:c>
      <x:c r="X356" s="7" t="n">
        <x:f>IF(OR(ISBLANK(W356),ISBLANK(R356)),"",W356-R356)</x:f>
        <x:v>8376.680800000002</x:v>
      </x:c>
      <x:c r="Y356" s="8" t="n">
        <x:f>IF(OR(ISBLANK(W356),W356=0),"",X356/W356)</x:f>
        <x:v>0.3935389168396575</x:v>
      </x:c>
      <x:c r="Z356" s="9" t="n">
        <x:f>IF(OR(ISBLANK(B356),ISBLANK(C356)),"",C356-B356)</x:f>
        <x:v>4</x:v>
      </x:c>
      <x:c r="AA356" t="str">
        <x:f>IF(ISBLANK(B356),"",TEXT(B356,"mmm"))</x:f>
        <x:v>Dec</x:v>
      </x:c>
      <x:c r="AB356" s="9" t="n">
        <x:f>IF(ISBLANK(B356),"",YEAR(B356))</x:f>
        <x:v>2024</x:v>
      </x:c>
      <x:c r="AC356" s="10" t="str">
        <x:v>INVALID: Negative discount; EXCLUDE: Cancelled order</x:v>
      </x:c>
      <x:c r="AD356" t="str">
        <x:f>IF(AND(U356="Completed",T356="Paid",ISERROR(SEARCH("INVALID",AC356)),ISERROR(SEARCH("REVIEW",AC356))),"Include","Exclude")</x:f>
        <x:v>Exclude</x:v>
      </x:c>
      <x:c r="AE356" t="str">
        <x:f>IF(T356="Refunded","Refunded","")</x:f>
      </x:c>
    </x:row>
    <x:row r="357">
      <x:c r="A357" t="str">
        <x:v>ORD-2024-10356</x:v>
      </x:c>
      <x:c r="B357" s="5" t="n">
        <x:v>45424</x:v>
      </x:c>
      <x:c r="C357" s="5" t="n">
        <x:v>45421</x:v>
      </x:c>
      <x:c r="D357" t="str">
        <x:v>CUST-6414</x:v>
      </x:c>
      <x:c r="E357" t="str">
        <x:v>Priya Menon</x:v>
      </x:c>
      <x:c r="F357" t="str">
        <x:v>Corporate</x:v>
      </x:c>
      <x:c r="G357" t="str">
        <x:v>West</x:v>
      </x:c>
      <x:c r="H357" t="str">
        <x:v>Rajasthan</x:v>
      </x:c>
      <x:c r="I357" t="str">
        <x:v>Udaipur</x:v>
      </x:c>
      <x:c r="J357" t="str">
        <x:v>Furniture</x:v>
      </x:c>
      <x:c r="K357" t="str">
        <x:v>Tables</x:v>
      </x:c>
      <x:c r="L357" t="str">
        <x:v>Max Tables 829</x:v>
      </x:c>
      <x:c r="M357" t="str">
        <x:v>Standard Class</x:v>
      </x:c>
      <x:c r="N357" t="n">
        <x:v>5</x:v>
      </x:c>
      <x:c r="O357" s="7" t="n">
        <x:v>3203.48</x:v>
      </x:c>
      <x:c r="P357" s="6" t="n">
        <x:v>0</x:v>
      </x:c>
      <x:c r="Q357" s="7" t="n">
        <x:v>16017.4</x:v>
      </x:c>
      <x:c r="R357" s="7" t="n">
        <x:v>9557.8</x:v>
      </x:c>
      <x:c r="S357" s="7" t="n">
        <x:v>6459.6</x:v>
      </x:c>
      <x:c r="T357" t="str">
        <x:v>Pending</x:v>
      </x:c>
      <x:c r="U357" t="str">
        <x:v>Cancelled</x:v>
      </x:c>
      <x:c r="V357" s="6" t="n">
        <x:f>IF(ISBLANK(P357),IF(AND(ISNUMBER(N357),N357&gt;0,ISNUMBER(O357),O357&gt;=0,ISNUMBER(Q357),Q357&gt;=0,ISNUMBER(R357),R357&gt;=0,ISNUMBER(S357)),0,""),P357)</x:f>
        <x:v>0</x:v>
      </x:c>
      <x:c r="W357" s="7" t="n">
        <x:f>IF(ISBLANK(V357),"",N357*O357*(1-V357))</x:f>
        <x:v>16017.4</x:v>
      </x:c>
      <x:c r="X357" s="7" t="n">
        <x:f>IF(OR(ISBLANK(W357),ISBLANK(R357)),"",W357-R357)</x:f>
        <x:v>6459.6</x:v>
      </x:c>
      <x:c r="Y357" s="8" t="n">
        <x:f>IF(OR(ISBLANK(W357),W357=0),"",X357/W357)</x:f>
        <x:v>0.4032864260117123</x:v>
      </x:c>
      <x:c r="Z357" s="9" t="n">
        <x:f>IF(OR(ISBLANK(B357),ISBLANK(C357)),"",C357-B357)</x:f>
        <x:v>-3</x:v>
      </x:c>
      <x:c r="AA357" t="str">
        <x:f>IF(ISBLANK(B357),"",TEXT(B357,"mmm"))</x:f>
        <x:v>May</x:v>
      </x:c>
      <x:c r="AB357" s="9" t="n">
        <x:f>IF(ISBLANK(B357),"",YEAR(B357))</x:f>
        <x:v>2024</x:v>
      </x:c>
      <x:c r="AC357" s="10" t="str">
        <x:v>INVALID: Ship date before order date; EXCLUDE: Cancelled order</x:v>
      </x:c>
      <x:c r="AD357" t="str">
        <x:f>IF(AND(U357="Completed",T357="Paid",ISERROR(SEARCH("INVALID",AC357)),ISERROR(SEARCH("REVIEW",AC357))),"Include","Exclude")</x:f>
        <x:v>Exclude</x:v>
      </x:c>
      <x:c r="AE357" t="str">
        <x:f>IF(T357="Refunded","Refunded","")</x:f>
      </x:c>
    </x:row>
    <x:row r="358">
      <x:c r="A358" t="str">
        <x:v>ORD-2025-10357</x:v>
      </x:c>
      <x:c r="B358" s="5" t="n">
        <x:v>45835</x:v>
      </x:c>
      <x:c r="C358" s="5" t="n">
        <x:v>45837</x:v>
      </x:c>
      <x:c r="D358" t="str">
        <x:v>CUST-9268</x:v>
      </x:c>
      <x:c r="E358" t="str">
        <x:v>Rohan Mehta</x:v>
      </x:c>
      <x:c r="F358" t="str">
        <x:v>Home Office</x:v>
      </x:c>
      <x:c r="G358" t="str">
        <x:v>South</x:v>
      </x:c>
      <x:c r="H358" t="str">
        <x:v>Telangana</x:v>
      </x:c>
      <x:c r="I358" t="str">
        <x:v>Hyderabad</x:v>
      </x:c>
      <x:c r="J358" t="str">
        <x:v>Furniture</x:v>
      </x:c>
      <x:c r="K358" t="str">
        <x:v>Chairs</x:v>
      </x:c>
      <x:c r="L358" t="str">
        <x:v>Eco Chairs 346</x:v>
      </x:c>
      <x:c r="M358" t="str">
        <x:v>First Class</x:v>
      </x:c>
      <x:c r="N358" t="n">
        <x:v>5</x:v>
      </x:c>
      <x:c r="O358" s="7" t="n">
        <x:v>621.7</x:v>
      </x:c>
      <x:c r="P358" s="6" t="n">
        <x:v>0.2</x:v>
      </x:c>
      <x:c r="Q358" s="7" t="n">
        <x:v>2486.8</x:v>
      </x:c>
      <x:c r="R358" s="7" t="n">
        <x:v>2131.73</x:v>
      </x:c>
      <x:c r="S358" s="7" t="n">
        <x:v>355.07</x:v>
      </x:c>
      <x:c r="T358" t="str">
        <x:v>Pending</x:v>
      </x:c>
      <x:c r="U358" t="str">
        <x:v>Returned</x:v>
      </x:c>
      <x:c r="V358" s="6" t="n">
        <x:f>IF(ISBLANK(P358),IF(AND(ISNUMBER(N358),N358&gt;0,ISNUMBER(O358),O358&gt;=0,ISNUMBER(Q358),Q358&gt;=0,ISNUMBER(R358),R358&gt;=0,ISNUMBER(S358)),0,""),P358)</x:f>
        <x:v>0.2</x:v>
      </x:c>
      <x:c r="W358" s="7" t="n">
        <x:f>IF(ISBLANK(V358),"",N358*O358*(1-V358))</x:f>
        <x:v>2486.8</x:v>
      </x:c>
      <x:c r="X358" s="7" t="n">
        <x:f>IF(OR(ISBLANK(W358),ISBLANK(R358)),"",W358-R358)</x:f>
        <x:v>355.07000000000016</x:v>
      </x:c>
      <x:c r="Y358" s="8" t="n">
        <x:f>IF(OR(ISBLANK(W358),W358=0),"",X358/W358)</x:f>
        <x:v>0.1427818883705968</x:v>
      </x:c>
      <x:c r="Z358" s="9" t="n">
        <x:f>IF(OR(ISBLANK(B358),ISBLANK(C358)),"",C358-B358)</x:f>
        <x:v>2</x:v>
      </x:c>
      <x:c r="AA358" t="str">
        <x:f>IF(ISBLANK(B358),"",TEXT(B358,"mmm"))</x:f>
        <x:v>Jun</x:v>
      </x:c>
      <x:c r="AB358" s="9" t="n">
        <x:f>IF(ISBLANK(B358),"",YEAR(B358))</x:f>
        <x:v>2025</x:v>
      </x:c>
      <x:c r="AC358" s="10" t="str"/>
      <x:c r="AD358" t="str">
        <x:f>IF(AND(U358="Completed",T358="Paid",ISERROR(SEARCH("INVALID",AC358)),ISERROR(SEARCH("REVIEW",AC358))),"Include","Exclude")</x:f>
        <x:v>Exclude</x:v>
      </x:c>
      <x:c r="AE358" t="str">
        <x:f>IF(T358="Refunded","Refunded","")</x:f>
      </x:c>
    </x:row>
    <x:row r="359">
      <x:c r="A359" t="str">
        <x:v>ORD-2025-10358</x:v>
      </x:c>
      <x:c r="B359" s="5" t="n">
        <x:v>45678</x:v>
      </x:c>
      <x:c r="C359" s="5" t="n">
        <x:v>45686</x:v>
      </x:c>
      <x:c r="D359" t="str">
        <x:v>CUST-1363</x:v>
      </x:c>
      <x:c r="E359" t="str">
        <x:v>Mira Das</x:v>
      </x:c>
      <x:c r="F359" t="str">
        <x:v>Home Office</x:v>
      </x:c>
      <x:c r="G359" t="str">
        <x:v>South</x:v>
      </x:c>
      <x:c r="H359" t="str">
        <x:v>Andhra Pradesh</x:v>
      </x:c>
      <x:c r="I359" t="str">
        <x:v>Vijayawada</x:v>
      </x:c>
      <x:c r="J359" t="str">
        <x:v>Technology</x:v>
      </x:c>
      <x:c r="K359" t="str">
        <x:v>Machines</x:v>
      </x:c>
      <x:c r="L359" t="str">
        <x:v>Max Machines 770</x:v>
      </x:c>
      <x:c r="M359" t="str">
        <x:v>Second Class</x:v>
      </x:c>
      <x:c r="N359" t="n">
        <x:v>8</x:v>
      </x:c>
      <x:c r="O359" s="7" t="n">
        <x:v>546.13</x:v>
      </x:c>
      <x:c r="P359" s="6" t="n">
        <x:v>0</x:v>
      </x:c>
      <x:c r="Q359" s="7" t="n">
        <x:v>4369.04</x:v>
      </x:c>
      <x:c r="R359" s="7" t="n">
        <x:v>3716.88</x:v>
      </x:c>
      <x:c r="S359" s="7" t="n">
        <x:v>652.16</x:v>
      </x:c>
      <x:c r="T359" t="str">
        <x:v>Paid</x:v>
      </x:c>
      <x:c r="U359" t="str">
        <x:v>Cancelled</x:v>
      </x:c>
      <x:c r="V359" s="6" t="n">
        <x:f>IF(ISBLANK(P359),IF(AND(ISNUMBER(N359),N359&gt;0,ISNUMBER(O359),O359&gt;=0,ISNUMBER(Q359),Q359&gt;=0,ISNUMBER(R359),R359&gt;=0,ISNUMBER(S359)),0,""),P359)</x:f>
        <x:v>0</x:v>
      </x:c>
      <x:c r="W359" s="7" t="n">
        <x:f>IF(ISBLANK(V359),"",N359*O359*(1-V359))</x:f>
        <x:v>4369.04</x:v>
      </x:c>
      <x:c r="X359" s="7" t="n">
        <x:f>IF(OR(ISBLANK(W359),ISBLANK(R359)),"",W359-R359)</x:f>
        <x:v>652.1599999999999</x:v>
      </x:c>
      <x:c r="Y359" s="8" t="n">
        <x:f>IF(OR(ISBLANK(W359),W359=0),"",X359/W359)</x:f>
        <x:v>0.14926848918755603</x:v>
      </x:c>
      <x:c r="Z359" s="9" t="n">
        <x:f>IF(OR(ISBLANK(B359),ISBLANK(C359)),"",C359-B359)</x:f>
        <x:v>8</x:v>
      </x:c>
      <x:c r="AA359" t="str">
        <x:f>IF(ISBLANK(B359),"",TEXT(B359,"mmm"))</x:f>
        <x:v>Jan</x:v>
      </x:c>
      <x:c r="AB359" s="9" t="n">
        <x:f>IF(ISBLANK(B359),"",YEAR(B359))</x:f>
        <x:v>2025</x:v>
      </x:c>
      <x:c r="AC359" s="10" t="str">
        <x:v>EXCLUDE: Cancelled order</x:v>
      </x:c>
      <x:c r="AD359" t="str">
        <x:f>IF(AND(U359="Completed",T359="Paid",ISERROR(SEARCH("INVALID",AC359)),ISERROR(SEARCH("REVIEW",AC359))),"Include","Exclude")</x:f>
        <x:v>Exclude</x:v>
      </x:c>
      <x:c r="AE359" t="str">
        <x:f>IF(T359="Refunded","Refunded","")</x:f>
      </x:c>
    </x:row>
    <x:row r="360">
      <x:c r="A360" t="str">
        <x:v>ORD-2025-10359</x:v>
      </x:c>
      <x:c r="B360" s="5" t="n">
        <x:v>45878</x:v>
      </x:c>
      <x:c r="C360" s="5" t="n">
        <x:v>45876</x:v>
      </x:c>
      <x:c r="D360" t="str">
        <x:v>CUST-2477</x:v>
      </x:c>
      <x:c r="E360" t="str">
        <x:v>Vikram Iyer</x:v>
      </x:c>
      <x:c r="F360" t="str">
        <x:v>Home Office</x:v>
      </x:c>
      <x:c r="G360" t="str">
        <x:v>West</x:v>
      </x:c>
      <x:c r="H360" t="str">
        <x:v>Gujarat</x:v>
      </x:c>
      <x:c r="I360" t="str">
        <x:v>Ahmedabad</x:v>
      </x:c>
      <x:c r="J360" t="str">
        <x:v>Furniture</x:v>
      </x:c>
      <x:c r="K360" t="str">
        <x:v>Bookcases</x:v>
      </x:c>
      <x:c r="L360" t="str">
        <x:v>Smart Bookcases 134</x:v>
      </x:c>
      <x:c r="M360" t="str">
        <x:v>Second Class</x:v>
      </x:c>
      <x:c r="N360" t="n">
        <x:v>5</x:v>
      </x:c>
      <x:c r="O360" s="7" t="n">
        <x:v>1253.92</x:v>
      </x:c>
      <x:c r="P360" s="6" t="n">
        <x:v>0.05</x:v>
      </x:c>
      <x:c r="Q360" s="7" t="n">
        <x:v>5956.12</x:v>
      </x:c>
      <x:c r="R360" s="7" t="n">
        <x:v>4379.18</x:v>
      </x:c>
      <x:c r="S360" s="7" t="n">
        <x:v>1576.94</x:v>
      </x:c>
      <x:c r="T360" t="str">
        <x:v>Pending</x:v>
      </x:c>
      <x:c r="U360" t="str">
        <x:v>Returned</x:v>
      </x:c>
      <x:c r="V360" s="6" t="n">
        <x:f>IF(ISBLANK(P360),IF(AND(ISNUMBER(N360),N360&gt;0,ISNUMBER(O360),O360&gt;=0,ISNUMBER(Q360),Q360&gt;=0,ISNUMBER(R360),R360&gt;=0,ISNUMBER(S360)),0,""),P360)</x:f>
        <x:v>0.05</x:v>
      </x:c>
      <x:c r="W360" s="7" t="n">
        <x:f>IF(ISBLANK(V360),"",N360*O360*(1-V360))</x:f>
        <x:v>5956.12</x:v>
      </x:c>
      <x:c r="X360" s="7" t="n">
        <x:f>IF(OR(ISBLANK(W360),ISBLANK(R360)),"",W360-R360)</x:f>
        <x:v>1576.9399999999996</x:v>
      </x:c>
      <x:c r="Y360" s="8" t="n">
        <x:f>IF(OR(ISBLANK(W360),W360=0),"",X360/W360)</x:f>
        <x:v>0.26475960860425907</x:v>
      </x:c>
      <x:c r="Z360" s="9" t="n">
        <x:f>IF(OR(ISBLANK(B360),ISBLANK(C360)),"",C360-B360)</x:f>
        <x:v>-2</x:v>
      </x:c>
      <x:c r="AA360" t="str">
        <x:f>IF(ISBLANK(B360),"",TEXT(B360,"mmm"))</x:f>
        <x:v>Aug</x:v>
      </x:c>
      <x:c r="AB360" s="9" t="n">
        <x:f>IF(ISBLANK(B360),"",YEAR(B360))</x:f>
        <x:v>2025</x:v>
      </x:c>
      <x:c r="AC360" s="10" t="str">
        <x:v>INVALID: Ship date before order date</x:v>
      </x:c>
      <x:c r="AD360" t="str">
        <x:f>IF(AND(U360="Completed",T360="Paid",ISERROR(SEARCH("INVALID",AC360)),ISERROR(SEARCH("REVIEW",AC360))),"Include","Exclude")</x:f>
        <x:v>Exclude</x:v>
      </x:c>
      <x:c r="AE360" t="str">
        <x:f>IF(T360="Refunded","Refunded","")</x:f>
      </x:c>
    </x:row>
    <x:row r="361">
      <x:c r="A361" t="str">
        <x:v>ORD-2024-10360</x:v>
      </x:c>
      <x:c r="B361" s="5" t="n">
        <x:v>45525</x:v>
      </x:c>
      <x:c r="C361" s="5" t="n">
        <x:v>45526</x:v>
      </x:c>
      <x:c r="D361" t="str">
        <x:v>CUST-9571</x:v>
      </x:c>
      <x:c r="E361" t="str">
        <x:v>Isha Nair</x:v>
      </x:c>
      <x:c r="F361" t="str">
        <x:v>Consumer</x:v>
      </x:c>
      <x:c r="G361" t="str">
        <x:v>South</x:v>
      </x:c>
      <x:c r="H361" t="str">
        <x:v>Tamil Nadu</x:v>
      </x:c>
      <x:c r="I361" t="str">
        <x:v>Chennai</x:v>
      </x:c>
      <x:c r="J361" t="str">
        <x:v>Technology</x:v>
      </x:c>
      <x:c r="K361" t="str">
        <x:v>Phones</x:v>
      </x:c>
      <x:c r="L361" t="str">
        <x:v>Classic Phones 586</x:v>
      </x:c>
      <x:c r="M361" t="str">
        <x:v>Same Day</x:v>
      </x:c>
      <x:c r="N361" t="n">
        <x:v>9</x:v>
      </x:c>
      <x:c r="O361" s="7" t="n">
        <x:v>616.96</x:v>
      </x:c>
      <x:c r="P361" s="6" t="n">
        <x:v>0.1</x:v>
      </x:c>
      <x:c r="Q361" s="7" t="n">
        <x:v>4997.38</x:v>
      </x:c>
      <x:c r="R361" s="7" t="n">
        <x:v>2971.39</x:v>
      </x:c>
      <x:c r="S361" s="7" t="n">
        <x:v>2025.99</x:v>
      </x:c>
      <x:c r="T361" t="str">
        <x:v>Paid</x:v>
      </x:c>
      <x:c r="U361" t="str">
        <x:v>Completed</x:v>
      </x:c>
      <x:c r="V361" s="6" t="n">
        <x:f>IF(ISBLANK(P361),IF(AND(ISNUMBER(N361),N361&gt;0,ISNUMBER(O361),O361&gt;=0,ISNUMBER(Q361),Q361&gt;=0,ISNUMBER(R361),R361&gt;=0,ISNUMBER(S361)),0,""),P361)</x:f>
        <x:v>0.1</x:v>
      </x:c>
      <x:c r="W361" s="7" t="n">
        <x:f>IF(ISBLANK(V361),"",N361*O361*(1-V361))</x:f>
        <x:v>4997.376</x:v>
      </x:c>
      <x:c r="X361" s="7" t="n">
        <x:f>IF(OR(ISBLANK(W361),ISBLANK(R361)),"",W361-R361)</x:f>
        <x:v>2025.9860000000003</x:v>
      </x:c>
      <x:c r="Y361" s="8" t="n">
        <x:f>IF(OR(ISBLANK(W361),W361=0),"",X361/W361)</x:f>
        <x:v>0.40540995914656014</x:v>
      </x:c>
      <x:c r="Z361" s="9" t="n">
        <x:f>IF(OR(ISBLANK(B361),ISBLANK(C361)),"",C361-B361)</x:f>
        <x:v>1</x:v>
      </x:c>
      <x:c r="AA361" t="str">
        <x:f>IF(ISBLANK(B361),"",TEXT(B361,"mmm"))</x:f>
        <x:v>Aug</x:v>
      </x:c>
      <x:c r="AB361" s="9" t="n">
        <x:f>IF(ISBLANK(B361),"",YEAR(B361))</x:f>
        <x:v>2024</x:v>
      </x:c>
      <x:c r="AC361" s="10" t="str"/>
      <x:c r="AD361" t="str">
        <x:f>IF(AND(U361="Completed",T361="Paid",ISERROR(SEARCH("INVALID",AC361)),ISERROR(SEARCH("REVIEW",AC361))),"Include","Exclude")</x:f>
        <x:v>Include</x:v>
      </x:c>
      <x:c r="AE361" t="str">
        <x:f>IF(T361="Refunded","Refunded","")</x:f>
      </x:c>
    </x:row>
    <x:row r="362">
      <x:c r="A362" t="str">
        <x:v>ORD-2024-10361</x:v>
      </x:c>
      <x:c r="B362" s="5" t="n">
        <x:v>45460</x:v>
      </x:c>
      <x:c r="C362" s="5" t="n">
        <x:v>45463</x:v>
      </x:c>
      <x:c r="D362" t="str">
        <x:v>CUST-3690</x:v>
      </x:c>
      <x:c r="E362" t="str">
        <x:v>Sneha Kapoor</x:v>
      </x:c>
      <x:c r="F362" t="str">
        <x:v>Small Business</x:v>
      </x:c>
      <x:c r="G362" t="str">
        <x:v>West</x:v>
      </x:c>
      <x:c r="H362" t="str">
        <x:v>Gujarat</x:v>
      </x:c>
      <x:c r="I362" t="str">
        <x:v>Ahmedabad</x:v>
      </x:c>
      <x:c r="J362" t="str">
        <x:v>Furniture</x:v>
      </x:c>
      <x:c r="K362" t="str">
        <x:v>Furnishings</x:v>
      </x:c>
      <x:c r="L362" t="str">
        <x:v>Elite Furnishings 634</x:v>
      </x:c>
      <x:c r="M362" t="str">
        <x:v>Standard Class</x:v>
      </x:c>
      <x:c r="N362" t="n">
        <x:v>7</x:v>
      </x:c>
      <x:c r="O362" s="7" t="n">
        <x:v>3155.25</x:v>
      </x:c>
      <x:c r="P362" s="6" t="n">
        <x:v>0.2</x:v>
      </x:c>
      <x:c r="Q362" s="7" t="n">
        <x:v>17669.4</x:v>
      </x:c>
      <x:c r="R362" s="7" t="n">
        <x:v>13718.77</x:v>
      </x:c>
      <x:c r="S362" s="7" t="n">
        <x:v>3950.63</x:v>
      </x:c>
      <x:c r="T362" t="str">
        <x:v>Refunded</x:v>
      </x:c>
      <x:c r="U362" t="str">
        <x:v>Cancelled</x:v>
      </x:c>
      <x:c r="V362" s="6" t="n">
        <x:f>IF(ISBLANK(P362),IF(AND(ISNUMBER(N362),N362&gt;0,ISNUMBER(O362),O362&gt;=0,ISNUMBER(Q362),Q362&gt;=0,ISNUMBER(R362),R362&gt;=0,ISNUMBER(S362)),0,""),P362)</x:f>
        <x:v>0.2</x:v>
      </x:c>
      <x:c r="W362" s="7" t="n">
        <x:f>IF(ISBLANK(V362),"",N362*O362*(1-V362))</x:f>
        <x:v>17669.4</x:v>
      </x:c>
      <x:c r="X362" s="7" t="n">
        <x:f>IF(OR(ISBLANK(W362),ISBLANK(R362)),"",W362-R362)</x:f>
        <x:v>3950.630000000001</x:v>
      </x:c>
      <x:c r="Y362" s="8" t="n">
        <x:f>IF(OR(ISBLANK(W362),W362=0),"",X362/W362)</x:f>
        <x:v>0.2235859734908939</x:v>
      </x:c>
      <x:c r="Z362" s="9" t="n">
        <x:f>IF(OR(ISBLANK(B362),ISBLANK(C362)),"",C362-B362)</x:f>
        <x:v>3</x:v>
      </x:c>
      <x:c r="AA362" t="str">
        <x:f>IF(ISBLANK(B362),"",TEXT(B362,"mmm"))</x:f>
        <x:v>Jun</x:v>
      </x:c>
      <x:c r="AB362" s="9" t="n">
        <x:f>IF(ISBLANK(B362),"",YEAR(B362))</x:f>
        <x:v>2024</x:v>
      </x:c>
      <x:c r="AC362" s="10" t="str">
        <x:v>EXCLUDE: Cancelled order; REFUND: Summarize separately</x:v>
      </x:c>
      <x:c r="AD362" t="str">
        <x:f>IF(AND(U362="Completed",T362="Paid",ISERROR(SEARCH("INVALID",AC362)),ISERROR(SEARCH("REVIEW",AC362))),"Include","Exclude")</x:f>
        <x:v>Exclude</x:v>
      </x:c>
      <x:c r="AE362" t="str">
        <x:f>IF(T362="Refunded","Refunded","")</x:f>
        <x:v>Refunded</x:v>
      </x:c>
    </x:row>
    <x:row r="363">
      <x:c r="A363" t="str">
        <x:v>ORD-2025-10362</x:v>
      </x:c>
      <x:c r="B363" s="5" t="n">
        <x:v>45748</x:v>
      </x:c>
      <x:c r="C363" s="5" t="n">
        <x:v>45749</x:v>
      </x:c>
      <x:c r="D363" t="str">
        <x:v>CUST-2909</x:v>
      </x:c>
      <x:c r="E363" t="str">
        <x:v>Rohan Mehta</x:v>
      </x:c>
      <x:c r="F363" t="str">
        <x:v>Corporate</x:v>
      </x:c>
      <x:c r="G363" t="str">
        <x:v>East</x:v>
      </x:c>
      <x:c r="H363" t="str">
        <x:v>Odisha</x:v>
      </x:c>
      <x:c r="I363" t="str">
        <x:v>Bhubaneswar</x:v>
      </x:c>
      <x:c r="J363" t="str">
        <x:v>Furniture</x:v>
      </x:c>
      <x:c r="K363" t="str">
        <x:v>Chairs</x:v>
      </x:c>
      <x:c r="L363" t="str">
        <x:v>Basic Chairs 113</x:v>
      </x:c>
      <x:c r="M363" t="str">
        <x:v>Second Class</x:v>
      </x:c>
      <x:c r="N363" t="n">
        <x:v>9</x:v>
      </x:c>
      <x:c r="O363" s="7" t="n">
        <x:v>4165.58</x:v>
      </x:c>
      <x:c r="P363" s="6" t="n">
        <x:v>0.05</x:v>
      </x:c>
      <x:c r="Q363" s="7" t="n">
        <x:v>35615.71</x:v>
      </x:c>
      <x:c r="R363" s="7" t="n">
        <x:v>20389.71</x:v>
      </x:c>
      <x:c r="S363" s="7" t="n">
        <x:v>15226</x:v>
      </x:c>
      <x:c r="T363" t="str">
        <x:v>Pending</x:v>
      </x:c>
      <x:c r="U363" t="str">
        <x:v>Returned</x:v>
      </x:c>
      <x:c r="V363" s="6" t="n">
        <x:f>IF(ISBLANK(P363),IF(AND(ISNUMBER(N363),N363&gt;0,ISNUMBER(O363),O363&gt;=0,ISNUMBER(Q363),Q363&gt;=0,ISNUMBER(R363),R363&gt;=0,ISNUMBER(S363)),0,""),P363)</x:f>
        <x:v>0.05</x:v>
      </x:c>
      <x:c r="W363" s="7" t="n">
        <x:f>IF(ISBLANK(V363),"",N363*O363*(1-V363))</x:f>
        <x:v>35615.709</x:v>
      </x:c>
      <x:c r="X363" s="7" t="n">
        <x:f>IF(OR(ISBLANK(W363),ISBLANK(R363)),"",W363-R363)</x:f>
        <x:v>15225.999000000003</x:v>
      </x:c>
      <x:c r="Y363" s="8" t="n">
        <x:f>IF(OR(ISBLANK(W363),W363=0),"",X363/W363)</x:f>
        <x:v>0.4275079572331412</x:v>
      </x:c>
      <x:c r="Z363" s="9" t="n">
        <x:f>IF(OR(ISBLANK(B363),ISBLANK(C363)),"",C363-B363)</x:f>
        <x:v>1</x:v>
      </x:c>
      <x:c r="AA363" t="str">
        <x:f>IF(ISBLANK(B363),"",TEXT(B363,"mmm"))</x:f>
        <x:v>Apr</x:v>
      </x:c>
      <x:c r="AB363" s="9" t="n">
        <x:f>IF(ISBLANK(B363),"",YEAR(B363))</x:f>
        <x:v>2025</x:v>
      </x:c>
      <x:c r="AC363" s="10" t="str"/>
      <x:c r="AD363" t="str">
        <x:f>IF(AND(U363="Completed",T363="Paid",ISERROR(SEARCH("INVALID",AC363)),ISERROR(SEARCH("REVIEW",AC363))),"Include","Exclude")</x:f>
        <x:v>Exclude</x:v>
      </x:c>
      <x:c r="AE363" t="str">
        <x:f>IF(T363="Refunded","Refunded","")</x:f>
      </x:c>
    </x:row>
    <x:row r="364">
      <x:c r="A364" t="str">
        <x:v>ORD-2024-10363</x:v>
      </x:c>
      <x:c r="B364" s="5" t="n">
        <x:v>45527</x:v>
      </x:c>
      <x:c r="C364" s="5" t="n">
        <x:v>45529</x:v>
      </x:c>
      <x:c r="D364" t="str">
        <x:v>CUST-6755</x:v>
      </x:c>
      <x:c r="E364" t="str">
        <x:v>Vikram Iyer</x:v>
      </x:c>
      <x:c r="F364" t="str">
        <x:v>Consumer</x:v>
      </x:c>
      <x:c r="G364" t="str">
        <x:v>West</x:v>
      </x:c>
      <x:c r="H364" t="str">
        <x:v>Goa</x:v>
      </x:c>
      <x:c r="I364" t="str">
        <x:v>Panaji</x:v>
      </x:c>
      <x:c r="J364" t="str">
        <x:v>Technology</x:v>
      </x:c>
      <x:c r="K364" t="str">
        <x:v>Machines</x:v>
      </x:c>
      <x:c r="L364" t="str">
        <x:v>Elite Machines 216</x:v>
      </x:c>
      <x:c r="M364" t="str">
        <x:v>Same Day</x:v>
      </x:c>
      <x:c r="N364" t="n">
        <x:v>4</x:v>
      </x:c>
      <x:c r="O364" s="7" t="n">
        <x:v>491.16</x:v>
      </x:c>
      <x:c r="P364" s="6" t="n">
        <x:v>0.05</x:v>
      </x:c>
      <x:c r="Q364" s="7" t="n">
        <x:v>1866.41</x:v>
      </x:c>
      <x:c r="R364" s="7" t="n">
        <x:v>1576.49</x:v>
      </x:c>
      <x:c r="S364" s="7" t="n">
        <x:v>289.92</x:v>
      </x:c>
      <x:c r="T364" t="str">
        <x:v>Paid</x:v>
      </x:c>
      <x:c r="U364" t="str">
        <x:v>Completed</x:v>
      </x:c>
      <x:c r="V364" s="6" t="n">
        <x:f>IF(ISBLANK(P364),IF(AND(ISNUMBER(N364),N364&gt;0,ISNUMBER(O364),O364&gt;=0,ISNUMBER(Q364),Q364&gt;=0,ISNUMBER(R364),R364&gt;=0,ISNUMBER(S364)),0,""),P364)</x:f>
        <x:v>0.05</x:v>
      </x:c>
      <x:c r="W364" s="7" t="n">
        <x:f>IF(ISBLANK(V364),"",N364*O364*(1-V364))</x:f>
        <x:v>1866.408</x:v>
      </x:c>
      <x:c r="X364" s="7" t="n">
        <x:f>IF(OR(ISBLANK(W364),ISBLANK(R364)),"",W364-R364)</x:f>
        <x:v>289.9179999999999</x:v>
      </x:c>
      <x:c r="Y364" s="8" t="n">
        <x:f>IF(OR(ISBLANK(W364),W364=0),"",X364/W364)</x:f>
        <x:v>0.15533473924243782</x:v>
      </x:c>
      <x:c r="Z364" s="9" t="n">
        <x:f>IF(OR(ISBLANK(B364),ISBLANK(C364)),"",C364-B364)</x:f>
        <x:v>2</x:v>
      </x:c>
      <x:c r="AA364" t="str">
        <x:f>IF(ISBLANK(B364),"",TEXT(B364,"mmm"))</x:f>
        <x:v>Aug</x:v>
      </x:c>
      <x:c r="AB364" s="9" t="n">
        <x:f>IF(ISBLANK(B364),"",YEAR(B364))</x:f>
        <x:v>2024</x:v>
      </x:c>
      <x:c r="AC364" s="10" t="str"/>
      <x:c r="AD364" t="str">
        <x:f>IF(AND(U364="Completed",T364="Paid",ISERROR(SEARCH("INVALID",AC364)),ISERROR(SEARCH("REVIEW",AC364))),"Include","Exclude")</x:f>
        <x:v>Include</x:v>
      </x:c>
      <x:c r="AE364" t="str">
        <x:f>IF(T364="Refunded","Refunded","")</x:f>
      </x:c>
    </x:row>
    <x:row r="365">
      <x:c r="A365" t="str">
        <x:v>ORD-2025-10364</x:v>
      </x:c>
      <x:c r="B365" s="5" t="n">
        <x:v>45845</x:v>
      </x:c>
      <x:c r="C365" s="5" t="n">
        <x:v>45850</x:v>
      </x:c>
      <x:c r="D365" t="str">
        <x:v>CUST-1832</x:v>
      </x:c>
      <x:c r="E365" t="str">
        <x:v>Diya Patel</x:v>
      </x:c>
      <x:c r="F365" t="str">
        <x:v>Corporate</x:v>
      </x:c>
      <x:c r="G365" t="str">
        <x:v>East</x:v>
      </x:c>
      <x:c r="H365" t="str">
        <x:v>West Bengal</x:v>
      </x:c>
      <x:c r="I365" t="str">
        <x:v>Kolkata</x:v>
      </x:c>
      <x:c r="J365" t="str">
        <x:v>Furniture</x:v>
      </x:c>
      <x:c r="K365" t="str">
        <x:v>Tables</x:v>
      </x:c>
      <x:c r="L365" t="str">
        <x:v>Smart Tables 943</x:v>
      </x:c>
      <x:c r="M365" t="str">
        <x:v>Second Class</x:v>
      </x:c>
      <x:c r="N365" t="n">
        <x:v>5</x:v>
      </x:c>
      <x:c r="O365" s="7" t="n">
        <x:v>1831.37</x:v>
      </x:c>
      <x:c r="P365" s="6" t="n">
        <x:v>0.25</x:v>
      </x:c>
      <x:c r="Q365" s="7" t="n">
        <x:v>6867.64</x:v>
      </x:c>
      <x:c r="R365" s="7" t="n">
        <x:v>5205.36</x:v>
      </x:c>
      <x:c r="S365" s="7" t="n">
        <x:v>1662.28</x:v>
      </x:c>
      <x:c r="T365" t="str">
        <x:v>Paid</x:v>
      </x:c>
      <x:c r="U365" t="str">
        <x:v>Completed</x:v>
      </x:c>
      <x:c r="V365" s="6" t="n">
        <x:f>IF(ISBLANK(P365),IF(AND(ISNUMBER(N365),N365&gt;0,ISNUMBER(O365),O365&gt;=0,ISNUMBER(Q365),Q365&gt;=0,ISNUMBER(R365),R365&gt;=0,ISNUMBER(S365)),0,""),P365)</x:f>
        <x:v>0.25</x:v>
      </x:c>
      <x:c r="W365" s="7" t="n">
        <x:f>IF(ISBLANK(V365),"",N365*O365*(1-V365))</x:f>
        <x:v>6867.637499999999</x:v>
      </x:c>
      <x:c r="X365" s="7" t="n">
        <x:f>IF(OR(ISBLANK(W365),ISBLANK(R365)),"",W365-R365)</x:f>
        <x:v>1662.2774999999992</x:v>
      </x:c>
      <x:c r="Y365" s="8" t="n">
        <x:f>IF(OR(ISBLANK(W365),W365=0),"",X365/W365)</x:f>
        <x:v>0.24204502640100028</x:v>
      </x:c>
      <x:c r="Z365" s="9" t="n">
        <x:f>IF(OR(ISBLANK(B365),ISBLANK(C365)),"",C365-B365)</x:f>
        <x:v>5</x:v>
      </x:c>
      <x:c r="AA365" t="str">
        <x:f>IF(ISBLANK(B365),"",TEXT(B365,"mmm"))</x:f>
        <x:v>Jul</x:v>
      </x:c>
      <x:c r="AB365" s="9" t="n">
        <x:f>IF(ISBLANK(B365),"",YEAR(B365))</x:f>
        <x:v>2025</x:v>
      </x:c>
      <x:c r="AC365" s="10" t="str"/>
      <x:c r="AD365" t="str">
        <x:f>IF(AND(U365="Completed",T365="Paid",ISERROR(SEARCH("INVALID",AC365)),ISERROR(SEARCH("REVIEW",AC365))),"Include","Exclude")</x:f>
        <x:v>Include</x:v>
      </x:c>
      <x:c r="AE365" t="str">
        <x:f>IF(T365="Refunded","Refunded","")</x:f>
      </x:c>
    </x:row>
    <x:row r="366">
      <x:c r="A366" t="str">
        <x:v>ORD-2025-10365</x:v>
      </x:c>
      <x:c r="B366" s="5" t="n">
        <x:v>45737</x:v>
      </x:c>
      <x:c r="C366" s="5" t="n">
        <x:v>45740</x:v>
      </x:c>
      <x:c r="D366" t="str">
        <x:v>CUST-4452</x:v>
      </x:c>
      <x:c r="E366" t="str">
        <x:v>Aarav Sharma</x:v>
      </x:c>
      <x:c r="F366" t="str">
        <x:v>Small Business</x:v>
      </x:c>
      <x:c r="G366" t="str">
        <x:v>South</x:v>
      </x:c>
      <x:c r="H366" t="str">
        <x:v>Andhra Pradesh</x:v>
      </x:c>
      <x:c r="I366" t="str">
        <x:v>Vijayawada</x:v>
      </x:c>
      <x:c r="J366" t="str">
        <x:v>Furniture</x:v>
      </x:c>
      <x:c r="K366" t="str">
        <x:v>Chairs</x:v>
      </x:c>
      <x:c r="L366" t="str">
        <x:v>Prime Chairs 101</x:v>
      </x:c>
      <x:c r="M366" t="str">
        <x:v>Second Class</x:v>
      </x:c>
      <x:c r="N366" t="n">
        <x:v>5</x:v>
      </x:c>
      <x:c r="O366" s="7" t="n">
        <x:v>1239.15</x:v>
      </x:c>
      <x:c r="P366" s="6" t="n">
        <x:v>0</x:v>
      </x:c>
      <x:c r="Q366" s="7" t="n">
        <x:v>6195.75</x:v>
      </x:c>
      <x:c r="R366" s="7" t="n">
        <x:v>3967.02</x:v>
      </x:c>
      <x:c r="S366" s="7" t="n">
        <x:v>2228.73</x:v>
      </x:c>
      <x:c r="T366" t="str">
        <x:v>Paid</x:v>
      </x:c>
      <x:c r="U366" t="str">
        <x:v>Completed</x:v>
      </x:c>
      <x:c r="V366" s="6" t="n">
        <x:f>IF(ISBLANK(P366),IF(AND(ISNUMBER(N366),N366&gt;0,ISNUMBER(O366),O366&gt;=0,ISNUMBER(Q366),Q366&gt;=0,ISNUMBER(R366),R366&gt;=0,ISNUMBER(S366)),0,""),P366)</x:f>
        <x:v>0</x:v>
      </x:c>
      <x:c r="W366" s="7" t="n">
        <x:f>IF(ISBLANK(V366),"",N366*O366*(1-V366))</x:f>
        <x:v>6195.75</x:v>
      </x:c>
      <x:c r="X366" s="7" t="n">
        <x:f>IF(OR(ISBLANK(W366),ISBLANK(R366)),"",W366-R366)</x:f>
        <x:v>2228.73</x:v>
      </x:c>
      <x:c r="Y366" s="8" t="n">
        <x:f>IF(OR(ISBLANK(W366),W366=0),"",X366/W366)</x:f>
        <x:v>0.35971916232901585</x:v>
      </x:c>
      <x:c r="Z366" s="9" t="n">
        <x:f>IF(OR(ISBLANK(B366),ISBLANK(C366)),"",C366-B366)</x:f>
        <x:v>3</x:v>
      </x:c>
      <x:c r="AA366" t="str">
        <x:f>IF(ISBLANK(B366),"",TEXT(B366,"mmm"))</x:f>
        <x:v>Mar</x:v>
      </x:c>
      <x:c r="AB366" s="9" t="n">
        <x:f>IF(ISBLANK(B366),"",YEAR(B366))</x:f>
        <x:v>2025</x:v>
      </x:c>
      <x:c r="AC366" s="10" t="str"/>
      <x:c r="AD366" t="str">
        <x:f>IF(AND(U366="Completed",T366="Paid",ISERROR(SEARCH("INVALID",AC366)),ISERROR(SEARCH("REVIEW",AC366))),"Include","Exclude")</x:f>
        <x:v>Include</x:v>
      </x:c>
      <x:c r="AE366" t="str">
        <x:f>IF(T366="Refunded","Refunded","")</x:f>
      </x:c>
    </x:row>
    <x:row r="367">
      <x:c r="A367" t="str">
        <x:v>ORD-2024-10366</x:v>
      </x:c>
      <x:c r="B367" s="5" t="n">
        <x:v>45458</x:v>
      </x:c>
      <x:c r="C367" s="5" t="n">
        <x:v>45464</x:v>
      </x:c>
      <x:c r="D367" t="str">
        <x:v>CUST-2203</x:v>
      </x:c>
      <x:c r="E367" t="str">
        <x:v>Aditi Sen</x:v>
      </x:c>
      <x:c r="F367" t="str">
        <x:v>Corporate</x:v>
      </x:c>
      <x:c r="G367" t="str">
        <x:v>West</x:v>
      </x:c>
      <x:c r="H367" t="str">
        <x:v>Goa</x:v>
      </x:c>
      <x:c r="I367" t="str">
        <x:v>Panaji</x:v>
      </x:c>
      <x:c r="J367" t="str">
        <x:v>Technology</x:v>
      </x:c>
      <x:c r="K367" t="str">
        <x:v>Accessories</x:v>
      </x:c>
      <x:c r="L367" t="str">
        <x:v>Basic Accessories 774</x:v>
      </x:c>
      <x:c r="M367" t="str">
        <x:v>First Class</x:v>
      </x:c>
      <x:c r="N367" t="n">
        <x:v>8</x:v>
      </x:c>
      <x:c r="O367" s="7" t="n">
        <x:v>1706.4</x:v>
      </x:c>
      <x:c r="P367" s="6"/>
      <x:c r="Q367" s="7" t="n">
        <x:v>12968.64</x:v>
      </x:c>
      <x:c r="R367" s="7" t="n">
        <x:v>10119.61</x:v>
      </x:c>
      <x:c r="S367" s="7" t="n">
        <x:v>2849.03</x:v>
      </x:c>
      <x:c r="T367" t="str">
        <x:v>Paid</x:v>
      </x:c>
      <x:c r="U367" t="str">
        <x:v>Completed</x:v>
      </x:c>
      <x:c r="V367" s="6" t="n">
        <x:f>IF(ISBLANK(P367),IF(AND(ISNUMBER(N367),N367&gt;0,ISNUMBER(O367),O367&gt;=0,ISNUMBER(Q367),Q367&gt;=0,ISNUMBER(R367),R367&gt;=0,ISNUMBER(S367)),0,""),P367)</x:f>
        <x:v>0</x:v>
      </x:c>
      <x:c r="W367" s="7" t="n">
        <x:f>IF(ISBLANK(V367),"",N367*O367*(1-V367))</x:f>
        <x:v>13651.2</x:v>
      </x:c>
      <x:c r="X367" s="7" t="n">
        <x:f>IF(OR(ISBLANK(W367),ISBLANK(R367)),"",W367-R367)</x:f>
        <x:v>3531.59</x:v>
      </x:c>
      <x:c r="Y367" s="8" t="n">
        <x:f>IF(OR(ISBLANK(W367),W367=0),"",X367/W367)</x:f>
        <x:v>0.2587017991092358</x:v>
      </x:c>
      <x:c r="Z367" s="9" t="n">
        <x:f>IF(OR(ISBLANK(B367),ISBLANK(C367)),"",C367-B367)</x:f>
        <x:v>6</x:v>
      </x:c>
      <x:c r="AA367" t="str">
        <x:f>IF(ISBLANK(B367),"",TEXT(B367,"mmm"))</x:f>
        <x:v>Jun</x:v>
      </x:c>
      <x:c r="AB367" s="9" t="n">
        <x:f>IF(ISBLANK(B367),"",YEAR(B367))</x:f>
        <x:v>2024</x:v>
      </x:c>
      <x:c r="AC367" s="10" t="str">
        <x:v>FLAG: Missing discount treated as 0</x:v>
      </x:c>
      <x:c r="AD367" t="str">
        <x:f>IF(AND(U367="Completed",T367="Paid",ISERROR(SEARCH("INVALID",AC367)),ISERROR(SEARCH("REVIEW",AC367))),"Include","Exclude")</x:f>
        <x:v>Include</x:v>
      </x:c>
      <x:c r="AE367" t="str">
        <x:f>IF(T367="Refunded","Refunded","")</x:f>
      </x:c>
    </x:row>
    <x:row r="368">
      <x:c r="A368" t="str">
        <x:v>ORD-2025-10367</x:v>
      </x:c>
      <x:c r="B368" s="5" t="n">
        <x:v>45673</x:v>
      </x:c>
      <x:c r="C368" s="5" t="n">
        <x:v>45679</x:v>
      </x:c>
      <x:c r="D368" t="str">
        <x:v>CUST-5397</x:v>
      </x:c>
      <x:c r="E368" t="str">
        <x:v>Sneha Kapoor</x:v>
      </x:c>
      <x:c r="F368" t="str">
        <x:v>Corporate</x:v>
      </x:c>
      <x:c r="G368" t="str">
        <x:v>North</x:v>
      </x:c>
      <x:c r="H368" t="str">
        <x:v>Rajasthan</x:v>
      </x:c>
      <x:c r="I368" t="str">
        <x:v>Jaipur</x:v>
      </x:c>
      <x:c r="J368" t="str">
        <x:v>Furniture</x:v>
      </x:c>
      <x:c r="K368" t="str">
        <x:v>Tables</x:v>
      </x:c>
      <x:c r="L368" t="str">
        <x:v>Max Tables 478</x:v>
      </x:c>
      <x:c r="M368" t="str">
        <x:v>Same Day</x:v>
      </x:c>
      <x:c r="N368" t="n">
        <x:v>2</x:v>
      </x:c>
      <x:c r="O368" s="7" t="n">
        <x:v>4418.28</x:v>
      </x:c>
      <x:c r="P368" s="6" t="n">
        <x:v>0</x:v>
      </x:c>
      <x:c r="Q368" s="7" t="n">
        <x:v>8836.56</x:v>
      </x:c>
      <x:c r="R368" s="7" t="n">
        <x:v>5867.75</x:v>
      </x:c>
      <x:c r="S368" s="7" t="n">
        <x:v>2968.81</x:v>
      </x:c>
      <x:c r="T368" t="str">
        <x:v>Paid</x:v>
      </x:c>
      <x:c r="U368" t="str">
        <x:v>Completed</x:v>
      </x:c>
      <x:c r="V368" s="6" t="n">
        <x:f>IF(ISBLANK(P368),IF(AND(ISNUMBER(N368),N368&gt;0,ISNUMBER(O368),O368&gt;=0,ISNUMBER(Q368),Q368&gt;=0,ISNUMBER(R368),R368&gt;=0,ISNUMBER(S368)),0,""),P368)</x:f>
        <x:v>0</x:v>
      </x:c>
      <x:c r="W368" s="7" t="n">
        <x:f>IF(ISBLANK(V368),"",N368*O368*(1-V368))</x:f>
        <x:v>8836.56</x:v>
      </x:c>
      <x:c r="X368" s="7" t="n">
        <x:f>IF(OR(ISBLANK(W368),ISBLANK(R368)),"",W368-R368)</x:f>
        <x:v>2968.8099999999995</x:v>
      </x:c>
      <x:c r="Y368" s="8" t="n">
        <x:f>IF(OR(ISBLANK(W368),W368=0),"",X368/W368)</x:f>
        <x:v>0.33596897435201023</x:v>
      </x:c>
      <x:c r="Z368" s="9" t="n">
        <x:f>IF(OR(ISBLANK(B368),ISBLANK(C368)),"",C368-B368)</x:f>
        <x:v>6</x:v>
      </x:c>
      <x:c r="AA368" t="str">
        <x:f>IF(ISBLANK(B368),"",TEXT(B368,"mmm"))</x:f>
        <x:v>Jan</x:v>
      </x:c>
      <x:c r="AB368" s="9" t="n">
        <x:f>IF(ISBLANK(B368),"",YEAR(B368))</x:f>
        <x:v>2025</x:v>
      </x:c>
      <x:c r="AC368" s="10" t="str"/>
      <x:c r="AD368" t="str">
        <x:f>IF(AND(U368="Completed",T368="Paid",ISERROR(SEARCH("INVALID",AC368)),ISERROR(SEARCH("REVIEW",AC368))),"Include","Exclude")</x:f>
        <x:v>Include</x:v>
      </x:c>
      <x:c r="AE368" t="str">
        <x:f>IF(T368="Refunded","Refunded","")</x:f>
      </x:c>
    </x:row>
    <x:row r="369">
      <x:c r="A369" t="str">
        <x:v>ORD-2024-10368</x:v>
      </x:c>
      <x:c r="B369" s="5" t="n">
        <x:v>45366</x:v>
      </x:c>
      <x:c r="C369" s="5" t="n">
        <x:v>45367</x:v>
      </x:c>
      <x:c r="D369" t="str">
        <x:v>CUST-4696</x:v>
      </x:c>
      <x:c r="E369" t="str">
        <x:v>Rohan Mehta</x:v>
      </x:c>
      <x:c r="F369" t="str">
        <x:v>Consumer</x:v>
      </x:c>
      <x:c r="G369" t="str">
        <x:v>North</x:v>
      </x:c>
      <x:c r="H369" t="str">
        <x:v>Delhi</x:v>
      </x:c>
      <x:c r="I369" t="str">
        <x:v>New Delhi</x:v>
      </x:c>
      <x:c r="J369" t="str">
        <x:v>Office Supplies</x:v>
      </x:c>
      <x:c r="K369" t="str">
        <x:v>Art</x:v>
      </x:c>
      <x:c r="L369" t="str">
        <x:v>Eco Art 646</x:v>
      </x:c>
      <x:c r="M369" t="str">
        <x:v>Standard Class</x:v>
      </x:c>
      <x:c r="N369" t="n">
        <x:v>6</x:v>
      </x:c>
      <x:c r="O369" s="7" t="n">
        <x:v>3815.09</x:v>
      </x:c>
      <x:c r="P369" s="6" t="n">
        <x:v>0.15</x:v>
      </x:c>
      <x:c r="Q369" s="7" t="n">
        <x:v>19456.96</x:v>
      </x:c>
      <x:c r="R369" s="7" t="n">
        <x:v>14520.06</x:v>
      </x:c>
      <x:c r="S369" s="7" t="n">
        <x:v>4936.9</x:v>
      </x:c>
      <x:c r="T369" t="str">
        <x:v>Failed</x:v>
      </x:c>
      <x:c r="U369" t="str">
        <x:v>Cancelled</x:v>
      </x:c>
      <x:c r="V369" s="6" t="n">
        <x:f>IF(ISBLANK(P369),IF(AND(ISNUMBER(N369),N369&gt;0,ISNUMBER(O369),O369&gt;=0,ISNUMBER(Q369),Q369&gt;=0,ISNUMBER(R369),R369&gt;=0,ISNUMBER(S369)),0,""),P369)</x:f>
        <x:v>0.15</x:v>
      </x:c>
      <x:c r="W369" s="7" t="n">
        <x:f>IF(ISBLANK(V369),"",N369*O369*(1-V369))</x:f>
        <x:v>19456.959</x:v>
      </x:c>
      <x:c r="X369" s="7" t="n">
        <x:f>IF(OR(ISBLANK(W369),ISBLANK(R369)),"",W369-R369)</x:f>
        <x:v>4936.898999999999</x:v>
      </x:c>
      <x:c r="Y369" s="8" t="n">
        <x:f>IF(OR(ISBLANK(W369),W369=0),"",X369/W369)</x:f>
        <x:v>0.2537343579744399</x:v>
      </x:c>
      <x:c r="Z369" s="9" t="n">
        <x:f>IF(OR(ISBLANK(B369),ISBLANK(C369)),"",C369-B369)</x:f>
        <x:v>1</x:v>
      </x:c>
      <x:c r="AA369" t="str">
        <x:f>IF(ISBLANK(B369),"",TEXT(B369,"mmm"))</x:f>
        <x:v>Mar</x:v>
      </x:c>
      <x:c r="AB369" s="9" t="n">
        <x:f>IF(ISBLANK(B369),"",YEAR(B369))</x:f>
        <x:v>2024</x:v>
      </x:c>
      <x:c r="AC369" s="10" t="str">
        <x:v>EXCLUDE: Cancelled order; EXCLUDE: Failed payment</x:v>
      </x:c>
      <x:c r="AD369" t="str">
        <x:f>IF(AND(U369="Completed",T369="Paid",ISERROR(SEARCH("INVALID",AC369)),ISERROR(SEARCH("REVIEW",AC369))),"Include","Exclude")</x:f>
        <x:v>Exclude</x:v>
      </x:c>
      <x:c r="AE369" t="str">
        <x:f>IF(T369="Refunded","Refunded","")</x:f>
      </x:c>
    </x:row>
    <x:row r="370">
      <x:c r="A370" t="str">
        <x:v>ORD-2025-10369</x:v>
      </x:c>
      <x:c r="B370" s="5" t="n">
        <x:v>45844</x:v>
      </x:c>
      <x:c r="C370" s="5" t="n">
        <x:v>45844</x:v>
      </x:c>
      <x:c r="D370" t="str">
        <x:v>CUST-8246</x:v>
      </x:c>
      <x:c r="E370" t="str">
        <x:v>Aarav Sharma</x:v>
      </x:c>
      <x:c r="F370" t="str">
        <x:v>Home Office</x:v>
      </x:c>
      <x:c r="G370" t="str">
        <x:v>North</x:v>
      </x:c>
      <x:c r="H370" t="str">
        <x:v>Rajasthan</x:v>
      </x:c>
      <x:c r="I370" t="str">
        <x:v>Jaipur</x:v>
      </x:c>
      <x:c r="J370" t="str">
        <x:v>Technology</x:v>
      </x:c>
      <x:c r="K370" t="str">
        <x:v>Accessories</x:v>
      </x:c>
      <x:c r="L370" t="str">
        <x:v>Prime Accessories 962</x:v>
      </x:c>
      <x:c r="M370" t="str">
        <x:v>Same Day</x:v>
      </x:c>
      <x:c r="N370" t="n">
        <x:v>9</x:v>
      </x:c>
      <x:c r="O370" s="7" t="n">
        <x:v>243.19</x:v>
      </x:c>
      <x:c r="P370" s="6" t="n">
        <x:v>0.05</x:v>
      </x:c>
      <x:c r="Q370" s="7" t="n">
        <x:v>2079.27</x:v>
      </x:c>
      <x:c r="R370" s="7" t="n">
        <x:v>1512.17</x:v>
      </x:c>
      <x:c r="S370" s="7" t="n">
        <x:v>567.1</x:v>
      </x:c>
      <x:c r="T370" t="str">
        <x:v>Refunded</x:v>
      </x:c>
      <x:c r="U370" t="str">
        <x:v>Returned</x:v>
      </x:c>
      <x:c r="V370" s="6" t="n">
        <x:f>IF(ISBLANK(P370),IF(AND(ISNUMBER(N370),N370&gt;0,ISNUMBER(O370),O370&gt;=0,ISNUMBER(Q370),Q370&gt;=0,ISNUMBER(R370),R370&gt;=0,ISNUMBER(S370)),0,""),P370)</x:f>
        <x:v>0.05</x:v>
      </x:c>
      <x:c r="W370" s="7" t="n">
        <x:f>IF(ISBLANK(V370),"",N370*O370*(1-V370))</x:f>
        <x:v>2079.2745</x:v>
      </x:c>
      <x:c r="X370" s="7" t="n">
        <x:f>IF(OR(ISBLANK(W370),ISBLANK(R370)),"",W370-R370)</x:f>
        <x:v>567.1044999999999</x:v>
      </x:c>
      <x:c r="Y370" s="8" t="n">
        <x:f>IF(OR(ISBLANK(W370),W370=0),"",X370/W370)</x:f>
        <x:v>0.2727415259505178</x:v>
      </x:c>
      <x:c r="Z370" s="9" t="n">
        <x:f>IF(OR(ISBLANK(B370),ISBLANK(C370)),"",C370-B370)</x:f>
        <x:v>0</x:v>
      </x:c>
      <x:c r="AA370" t="str">
        <x:f>IF(ISBLANK(B370),"",TEXT(B370,"mmm"))</x:f>
        <x:v>Jul</x:v>
      </x:c>
      <x:c r="AB370" s="9" t="n">
        <x:f>IF(ISBLANK(B370),"",YEAR(B370))</x:f>
        <x:v>2025</x:v>
      </x:c>
      <x:c r="AC370" s="10" t="str">
        <x:v>REFUND: Summarize separately</x:v>
      </x:c>
      <x:c r="AD370" t="str">
        <x:f>IF(AND(U370="Completed",T370="Paid",ISERROR(SEARCH("INVALID",AC370)),ISERROR(SEARCH("REVIEW",AC370))),"Include","Exclude")</x:f>
        <x:v>Exclude</x:v>
      </x:c>
      <x:c r="AE370" t="str">
        <x:f>IF(T370="Refunded","Refunded","")</x:f>
        <x:v>Refunded</x:v>
      </x:c>
    </x:row>
    <x:row r="371">
      <x:c r="A371" t="str">
        <x:v>ORD-2025-10370</x:v>
      </x:c>
      <x:c r="B371" s="5" t="n">
        <x:v>45680</x:v>
      </x:c>
      <x:c r="C371" s="5" t="n">
        <x:v>45687</x:v>
      </x:c>
      <x:c r="D371" t="str">
        <x:v>CUST-5672</x:v>
      </x:c>
      <x:c r="E371" t="str">
        <x:v>Priya Menon</x:v>
      </x:c>
      <x:c r="F371" t="str">
        <x:v>Consumer</x:v>
      </x:c>
      <x:c r="G371" t="str">
        <x:v>North</x:v>
      </x:c>
      <x:c r="H371" t="str">
        <x:v>Delhi</x:v>
      </x:c>
      <x:c r="I371" t="str">
        <x:v>New Delhi</x:v>
      </x:c>
      <x:c r="J371" t="str">
        <x:v>Office Supplies</x:v>
      </x:c>
      <x:c r="K371" t="str">
        <x:v>Labels</x:v>
      </x:c>
      <x:c r="L371" t="str">
        <x:v>Eco Labels 646</x:v>
      </x:c>
      <x:c r="M371" t="str">
        <x:v>Standard Class</x:v>
      </x:c>
      <x:c r="N371" t="n">
        <x:v>9</x:v>
      </x:c>
      <x:c r="O371" s="7" t="n">
        <x:v>1169.37</x:v>
      </x:c>
      <x:c r="P371" s="6" t="n">
        <x:v>0.15</x:v>
      </x:c>
      <x:c r="Q371" s="7" t="n">
        <x:v>8945.68</x:v>
      </x:c>
      <x:c r="R371" s="7" t="n">
        <x:v>6740.35</x:v>
      </x:c>
      <x:c r="S371" s="7" t="n">
        <x:v>2205.33</x:v>
      </x:c>
      <x:c r="T371" t="str">
        <x:v>Paid</x:v>
      </x:c>
      <x:c r="U371" t="str">
        <x:v>Completed</x:v>
      </x:c>
      <x:c r="V371" s="6" t="n">
        <x:f>IF(ISBLANK(P371),IF(AND(ISNUMBER(N371),N371&gt;0,ISNUMBER(O371),O371&gt;=0,ISNUMBER(Q371),Q371&gt;=0,ISNUMBER(R371),R371&gt;=0,ISNUMBER(S371)),0,""),P371)</x:f>
        <x:v>0.15</x:v>
      </x:c>
      <x:c r="W371" s="7" t="n">
        <x:f>IF(ISBLANK(V371),"",N371*O371*(1-V371))</x:f>
        <x:v>8945.680499999999</x:v>
      </x:c>
      <x:c r="X371" s="7" t="n">
        <x:f>IF(OR(ISBLANK(W371),ISBLANK(R371)),"",W371-R371)</x:f>
        <x:v>2205.330499999998</x:v>
      </x:c>
      <x:c r="Y371" s="8" t="n">
        <x:f>IF(OR(ISBLANK(W371),W371=0),"",X371/W371)</x:f>
        <x:v>0.24652462157574245</x:v>
      </x:c>
      <x:c r="Z371" s="9" t="n">
        <x:f>IF(OR(ISBLANK(B371),ISBLANK(C371)),"",C371-B371)</x:f>
        <x:v>7</x:v>
      </x:c>
      <x:c r="AA371" t="str">
        <x:f>IF(ISBLANK(B371),"",TEXT(B371,"mmm"))</x:f>
        <x:v>Jan</x:v>
      </x:c>
      <x:c r="AB371" s="9" t="n">
        <x:f>IF(ISBLANK(B371),"",YEAR(B371))</x:f>
        <x:v>2025</x:v>
      </x:c>
      <x:c r="AC371" s="10" t="str"/>
      <x:c r="AD371" t="str">
        <x:f>IF(AND(U371="Completed",T371="Paid",ISERROR(SEARCH("INVALID",AC371)),ISERROR(SEARCH("REVIEW",AC371))),"Include","Exclude")</x:f>
        <x:v>Include</x:v>
      </x:c>
      <x:c r="AE371" t="str">
        <x:f>IF(T371="Refunded","Refunded","")</x:f>
      </x:c>
    </x:row>
    <x:row r="372">
      <x:c r="A372" t="str">
        <x:v>ORD-2024-10371</x:v>
      </x:c>
      <x:c r="B372" s="5" t="n">
        <x:v>45519</x:v>
      </x:c>
      <x:c r="C372" s="5" t="n">
        <x:v>45525</x:v>
      </x:c>
      <x:c r="D372" t="str">
        <x:v>CUST-8521</x:v>
      </x:c>
      <x:c r="E372" t="str">
        <x:v>Ananya Rao</x:v>
      </x:c>
      <x:c r="F372" t="str">
        <x:v>Small Business</x:v>
      </x:c>
      <x:c r="G372" t="str">
        <x:v>West</x:v>
      </x:c>
      <x:c r="H372" t="str">
        <x:v>Rajasthan</x:v>
      </x:c>
      <x:c r="I372" t="str">
        <x:v>Udaipur</x:v>
      </x:c>
      <x:c r="J372" t="str">
        <x:v>Technology</x:v>
      </x:c>
      <x:c r="K372" t="str">
        <x:v>Copiers</x:v>
      </x:c>
      <x:c r="L372" t="str">
        <x:v>Classic Copiers 505</x:v>
      </x:c>
      <x:c r="M372" t="str">
        <x:v>First Class</x:v>
      </x:c>
      <x:c r="N372" t="n">
        <x:v>7</x:v>
      </x:c>
      <x:c r="O372" s="7" t="n">
        <x:v>2333.81</x:v>
      </x:c>
      <x:c r="P372" s="6" t="n">
        <x:v>0.2</x:v>
      </x:c>
      <x:c r="Q372" s="7" t="n">
        <x:v>13069.34</x:v>
      </x:c>
      <x:c r="R372" s="7" t="n">
        <x:v>8768.59</x:v>
      </x:c>
      <x:c r="S372" s="7" t="n">
        <x:v>4300.75</x:v>
      </x:c>
      <x:c r="T372" t="str">
        <x:v>Paid</x:v>
      </x:c>
      <x:c r="U372" t="str">
        <x:v>Completed</x:v>
      </x:c>
      <x:c r="V372" s="6" t="n">
        <x:f>IF(ISBLANK(P372),IF(AND(ISNUMBER(N372),N372&gt;0,ISNUMBER(O372),O372&gt;=0,ISNUMBER(Q372),Q372&gt;=0,ISNUMBER(R372),R372&gt;=0,ISNUMBER(S372)),0,""),P372)</x:f>
        <x:v>0.2</x:v>
      </x:c>
      <x:c r="W372" s="7" t="n">
        <x:f>IF(ISBLANK(V372),"",N372*O372*(1-V372))</x:f>
        <x:v>13069.336000000001</x:v>
      </x:c>
      <x:c r="X372" s="7" t="n">
        <x:f>IF(OR(ISBLANK(W372),ISBLANK(R372)),"",W372-R372)</x:f>
        <x:v>4300.746000000001</x:v>
      </x:c>
      <x:c r="Y372" s="8" t="n">
        <x:f>IF(OR(ISBLANK(W372),W372=0),"",X372/W372)</x:f>
        <x:v>0.32907149988339124</x:v>
      </x:c>
      <x:c r="Z372" s="9" t="n">
        <x:f>IF(OR(ISBLANK(B372),ISBLANK(C372)),"",C372-B372)</x:f>
        <x:v>6</x:v>
      </x:c>
      <x:c r="AA372" t="str">
        <x:f>IF(ISBLANK(B372),"",TEXT(B372,"mmm"))</x:f>
        <x:v>Aug</x:v>
      </x:c>
      <x:c r="AB372" s="9" t="n">
        <x:f>IF(ISBLANK(B372),"",YEAR(B372))</x:f>
        <x:v>2024</x:v>
      </x:c>
      <x:c r="AC372" s="10" t="str"/>
      <x:c r="AD372" t="str">
        <x:f>IF(AND(U372="Completed",T372="Paid",ISERROR(SEARCH("INVALID",AC372)),ISERROR(SEARCH("REVIEW",AC372))),"Include","Exclude")</x:f>
        <x:v>Include</x:v>
      </x:c>
      <x:c r="AE372" t="str">
        <x:f>IF(T372="Refunded","Refunded","")</x:f>
      </x:c>
    </x:row>
    <x:row r="373">
      <x:c r="A373" t="str">
        <x:v>ORD-2024-10372</x:v>
      </x:c>
      <x:c r="B373" s="5" t="n">
        <x:v>45313</x:v>
      </x:c>
      <x:c r="C373" s="5" t="n">
        <x:v>45315</x:v>
      </x:c>
      <x:c r="D373" t="str">
        <x:v>CUST-2204</x:v>
      </x:c>
      <x:c r="E373" t="str">
        <x:v>Diya Patel</x:v>
      </x:c>
      <x:c r="F373" t="str">
        <x:v>Home Office</x:v>
      </x:c>
      <x:c r="G373" t="str">
        <x:v>West</x:v>
      </x:c>
      <x:c r="H373" t="str">
        <x:v>Maharashtra</x:v>
      </x:c>
      <x:c r="I373" t="str">
        <x:v>Mumbai</x:v>
      </x:c>
      <x:c r="J373" t="str">
        <x:v>Office Supplies</x:v>
      </x:c>
      <x:c r="K373" t="str">
        <x:v>Art</x:v>
      </x:c>
      <x:c r="L373" t="str">
        <x:v>Pro Art 906</x:v>
      </x:c>
      <x:c r="M373" t="str">
        <x:v>Standard Class</x:v>
      </x:c>
      <x:c r="N373" t="n">
        <x:v>6</x:v>
      </x:c>
      <x:c r="O373" s="7" t="n">
        <x:v>1026.06</x:v>
      </x:c>
      <x:c r="P373" s="6"/>
      <x:c r="Q373" s="7" t="n">
        <x:v>4617.27</x:v>
      </x:c>
      <x:c r="R373" s="7" t="n">
        <x:v>2981.94</x:v>
      </x:c>
      <x:c r="S373" s="7" t="n">
        <x:v>1635.33</x:v>
      </x:c>
      <x:c r="T373" t="str">
        <x:v>Refunded</x:v>
      </x:c>
      <x:c r="U373" t="str">
        <x:v>Cancelled</x:v>
      </x:c>
      <x:c r="V373" s="6" t="n">
        <x:f>IF(ISBLANK(P373),IF(AND(ISNUMBER(N373),N373&gt;0,ISNUMBER(O373),O373&gt;=0,ISNUMBER(Q373),Q373&gt;=0,ISNUMBER(R373),R373&gt;=0,ISNUMBER(S373)),0,""),P373)</x:f>
        <x:v>0</x:v>
      </x:c>
      <x:c r="W373" s="7" t="n">
        <x:f>IF(ISBLANK(V373),"",N373*O373*(1-V373))</x:f>
        <x:v>6156.36</x:v>
      </x:c>
      <x:c r="X373" s="7" t="n">
        <x:f>IF(OR(ISBLANK(W373),ISBLANK(R373)),"",W373-R373)</x:f>
        <x:v>3174.4199999999996</x:v>
      </x:c>
      <x:c r="Y373" s="8" t="n">
        <x:f>IF(OR(ISBLANK(W373),W373=0),"",X373/W373)</x:f>
        <x:v>0.5156326140771494</x:v>
      </x:c>
      <x:c r="Z373" s="9" t="n">
        <x:f>IF(OR(ISBLANK(B373),ISBLANK(C373)),"",C373-B373)</x:f>
        <x:v>2</x:v>
      </x:c>
      <x:c r="AA373" t="str">
        <x:f>IF(ISBLANK(B373),"",TEXT(B373,"mmm"))</x:f>
        <x:v>Jan</x:v>
      </x:c>
      <x:c r="AB373" s="9" t="n">
        <x:f>IF(ISBLANK(B373),"",YEAR(B373))</x:f>
        <x:v>2024</x:v>
      </x:c>
      <x:c r="AC373" s="10" t="str">
        <x:v>FLAG: Missing discount treated as 0; EXCLUDE: Cancelled order; REFUND: Summarize separately</x:v>
      </x:c>
      <x:c r="AD373" t="str">
        <x:f>IF(AND(U373="Completed",T373="Paid",ISERROR(SEARCH("INVALID",AC373)),ISERROR(SEARCH("REVIEW",AC373))),"Include","Exclude")</x:f>
        <x:v>Exclude</x:v>
      </x:c>
      <x:c r="AE373" t="str">
        <x:f>IF(T373="Refunded","Refunded","")</x:f>
        <x:v>Refunded</x:v>
      </x:c>
    </x:row>
    <x:row r="374">
      <x:c r="A374" t="str">
        <x:v>ORD-2025-10373</x:v>
      </x:c>
      <x:c r="B374" s="5" t="n">
        <x:v>45885</x:v>
      </x:c>
      <x:c r="C374" s="5" t="n">
        <x:v>45887</x:v>
      </x:c>
      <x:c r="D374" t="str">
        <x:v>CUST-4399</x:v>
      </x:c>
      <x:c r="E374" t="str">
        <x:v>Kabir Singh</x:v>
      </x:c>
      <x:c r="F374" t="str">
        <x:v>Consumer</x:v>
      </x:c>
      <x:c r="G374" t="str">
        <x:v>East</x:v>
      </x:c>
      <x:c r="H374" t="str">
        <x:v>Jharkhand</x:v>
      </x:c>
      <x:c r="I374" t="str">
        <x:v>Ranchi</x:v>
      </x:c>
      <x:c r="J374" t="str">
        <x:v>Furniture</x:v>
      </x:c>
      <x:c r="K374" t="str">
        <x:v>Chairs</x:v>
      </x:c>
      <x:c r="L374" t="str">
        <x:v>Max Chairs 181</x:v>
      </x:c>
      <x:c r="M374" t="str">
        <x:v>Same Day</x:v>
      </x:c>
      <x:c r="N374" t="n">
        <x:v>5</x:v>
      </x:c>
      <x:c r="O374" s="7" t="n">
        <x:v>1530.36</x:v>
      </x:c>
      <x:c r="P374" s="6" t="n">
        <x:v>0</x:v>
      </x:c>
      <x:c r="Q374" s="7" t="n">
        <x:v>7651.8</x:v>
      </x:c>
      <x:c r="R374" s="7" t="n">
        <x:v>5171.78</x:v>
      </x:c>
      <x:c r="S374" s="7" t="n">
        <x:v>2480.02</x:v>
      </x:c>
      <x:c r="T374" t="str">
        <x:v>Paid</x:v>
      </x:c>
      <x:c r="U374" t="str">
        <x:v>Completed</x:v>
      </x:c>
      <x:c r="V374" s="6" t="n">
        <x:f>IF(ISBLANK(P374),IF(AND(ISNUMBER(N374),N374&gt;0,ISNUMBER(O374),O374&gt;=0,ISNUMBER(Q374),Q374&gt;=0,ISNUMBER(R374),R374&gt;=0,ISNUMBER(S374)),0,""),P374)</x:f>
        <x:v>0</x:v>
      </x:c>
      <x:c r="W374" s="7" t="n">
        <x:f>IF(ISBLANK(V374),"",N374*O374*(1-V374))</x:f>
        <x:v>7651.799999999999</x:v>
      </x:c>
      <x:c r="X374" s="7" t="n">
        <x:f>IF(OR(ISBLANK(W374),ISBLANK(R374)),"",W374-R374)</x:f>
        <x:v>2480.0199999999995</x:v>
      </x:c>
      <x:c r="Y374" s="8" t="n">
        <x:f>IF(OR(ISBLANK(W374),W374=0),"",X374/W374)</x:f>
        <x:v>0.3241093598891764</x:v>
      </x:c>
      <x:c r="Z374" s="9" t="n">
        <x:f>IF(OR(ISBLANK(B374),ISBLANK(C374)),"",C374-B374)</x:f>
        <x:v>2</x:v>
      </x:c>
      <x:c r="AA374" t="str">
        <x:f>IF(ISBLANK(B374),"",TEXT(B374,"mmm"))</x:f>
        <x:v>Aug</x:v>
      </x:c>
      <x:c r="AB374" s="9" t="n">
        <x:f>IF(ISBLANK(B374),"",YEAR(B374))</x:f>
        <x:v>2025</x:v>
      </x:c>
      <x:c r="AC374" s="10" t="str"/>
      <x:c r="AD374" t="str">
        <x:f>IF(AND(U374="Completed",T374="Paid",ISERROR(SEARCH("INVALID",AC374)),ISERROR(SEARCH("REVIEW",AC374))),"Include","Exclude")</x:f>
        <x:v>Include</x:v>
      </x:c>
      <x:c r="AE374" t="str">
        <x:f>IF(T374="Refunded","Refunded","")</x:f>
      </x:c>
    </x:row>
    <x:row r="375">
      <x:c r="A375" t="str">
        <x:v>ORD-2025-10374</x:v>
      </x:c>
      <x:c r="B375" s="5" t="n">
        <x:v>45760</x:v>
      </x:c>
      <x:c r="C375" s="5" t="n">
        <x:v>45760</x:v>
      </x:c>
      <x:c r="D375" t="str">
        <x:v>CUST-8566</x:v>
      </x:c>
      <x:c r="E375" t="str">
        <x:v>Sneha Kapoor</x:v>
      </x:c>
      <x:c r="F375" t="str">
        <x:v>Small Business</x:v>
      </x:c>
      <x:c r="G375" t="str">
        <x:v>North</x:v>
      </x:c>
      <x:c r="H375" t="str">
        <x:v>Uttar Pradesh</x:v>
      </x:c>
      <x:c r="I375" t="str">
        <x:v>Noida</x:v>
      </x:c>
      <x:c r="J375" t="str">
        <x:v>Office Supplies</x:v>
      </x:c>
      <x:c r="K375" t="str">
        <x:v>Storage</x:v>
      </x:c>
      <x:c r="L375" t="str">
        <x:v>Prime Storage 951</x:v>
      </x:c>
      <x:c r="M375" t="str">
        <x:v>Second Class</x:v>
      </x:c>
      <x:c r="N375" t="n">
        <x:v>9</x:v>
      </x:c>
      <x:c r="O375" s="7" t="n">
        <x:v>1118.68</x:v>
      </x:c>
      <x:c r="P375" s="6" t="n">
        <x:v>0</x:v>
      </x:c>
      <x:c r="Q375" s="7" t="n">
        <x:v>10068.12</x:v>
      </x:c>
      <x:c r="R375" s="7" t="n">
        <x:v>8595.37</x:v>
      </x:c>
      <x:c r="S375" s="7" t="n">
        <x:v>1472.75</x:v>
      </x:c>
      <x:c r="T375" t="str">
        <x:v>Paid</x:v>
      </x:c>
      <x:c r="U375" t="str">
        <x:v>Completed</x:v>
      </x:c>
      <x:c r="V375" s="6" t="n">
        <x:f>IF(ISBLANK(P375),IF(AND(ISNUMBER(N375),N375&gt;0,ISNUMBER(O375),O375&gt;=0,ISNUMBER(Q375),Q375&gt;=0,ISNUMBER(R375),R375&gt;=0,ISNUMBER(S375)),0,""),P375)</x:f>
        <x:v>0</x:v>
      </x:c>
      <x:c r="W375" s="7" t="n">
        <x:f>IF(ISBLANK(V375),"",N375*O375*(1-V375))</x:f>
        <x:v>10068.12</x:v>
      </x:c>
      <x:c r="X375" s="7" t="n">
        <x:f>IF(OR(ISBLANK(W375),ISBLANK(R375)),"",W375-R375)</x:f>
        <x:v>1472.75</x:v>
      </x:c>
      <x:c r="Y375" s="8" t="n">
        <x:f>IF(OR(ISBLANK(W375),W375=0),"",X375/W375)</x:f>
        <x:v>0.14627855051389932</x:v>
      </x:c>
      <x:c r="Z375" s="9" t="n">
        <x:f>IF(OR(ISBLANK(B375),ISBLANK(C375)),"",C375-B375)</x:f>
        <x:v>0</x:v>
      </x:c>
      <x:c r="AA375" t="str">
        <x:f>IF(ISBLANK(B375),"",TEXT(B375,"mmm"))</x:f>
        <x:v>Apr</x:v>
      </x:c>
      <x:c r="AB375" s="9" t="n">
        <x:f>IF(ISBLANK(B375),"",YEAR(B375))</x:f>
        <x:v>2025</x:v>
      </x:c>
      <x:c r="AC375" s="10" t="str">
        <x:v>REVIEW: Conflicting duplicate order_id</x:v>
      </x:c>
      <x:c r="AD375" t="str">
        <x:f>IF(AND(U375="Completed",T375="Paid",ISERROR(SEARCH("INVALID",AC375)),ISERROR(SEARCH("REVIEW",AC375))),"Include","Exclude")</x:f>
        <x:v>Exclude</x:v>
      </x:c>
      <x:c r="AE375" t="str">
        <x:f>IF(T375="Refunded","Refunded","")</x:f>
      </x:c>
    </x:row>
    <x:row r="376">
      <x:c r="A376" t="str">
        <x:v>ORD-2025-10375</x:v>
      </x:c>
      <x:c r="B376" s="5" t="n">
        <x:v>45715</x:v>
      </x:c>
      <x:c r="C376" s="5" t="n">
        <x:v>45716</x:v>
      </x:c>
      <x:c r="D376" t="str">
        <x:v>CUST-2358</x:v>
      </x:c>
      <x:c r="E376" t="str">
        <x:v>Aditi Sen</x:v>
      </x:c>
      <x:c r="F376" t="str">
        <x:v>Small Business</x:v>
      </x:c>
      <x:c r="G376" t="str">
        <x:v>North</x:v>
      </x:c>
      <x:c r="H376" t="str">
        <x:v>Uttar Pradesh</x:v>
      </x:c>
      <x:c r="I376" t="str">
        <x:v>Noida</x:v>
      </x:c>
      <x:c r="J376" t="str">
        <x:v>Office Supplies</x:v>
      </x:c>
      <x:c r="K376" t="str">
        <x:v>Labels</x:v>
      </x:c>
      <x:c r="L376" t="str">
        <x:v>Smart Labels 668</x:v>
      </x:c>
      <x:c r="M376" t="str">
        <x:v>Standard Class</x:v>
      </x:c>
      <x:c r="N376" t="n">
        <x:v>6</x:v>
      </x:c>
      <x:c r="O376" s="7" t="n">
        <x:v>2393.25</x:v>
      </x:c>
      <x:c r="P376" s="6" t="n">
        <x:v>0</x:v>
      </x:c>
      <x:c r="Q376" s="7" t="n">
        <x:v>14359.5</x:v>
      </x:c>
      <x:c r="R376" s="7" t="n">
        <x:v>8117.71</x:v>
      </x:c>
      <x:c r="S376" s="7" t="n">
        <x:v>6241.79</x:v>
      </x:c>
      <x:c r="T376" t="str">
        <x:v>Paid</x:v>
      </x:c>
      <x:c r="U376" t="str">
        <x:v>Completed</x:v>
      </x:c>
      <x:c r="V376" s="6" t="n">
        <x:f>IF(ISBLANK(P376),IF(AND(ISNUMBER(N376),N376&gt;0,ISNUMBER(O376),O376&gt;=0,ISNUMBER(Q376),Q376&gt;=0,ISNUMBER(R376),R376&gt;=0,ISNUMBER(S376)),0,""),P376)</x:f>
        <x:v>0</x:v>
      </x:c>
      <x:c r="W376" s="7" t="n">
        <x:f>IF(ISBLANK(V376),"",N376*O376*(1-V376))</x:f>
        <x:v>14359.5</x:v>
      </x:c>
      <x:c r="X376" s="7" t="n">
        <x:f>IF(OR(ISBLANK(W376),ISBLANK(R376)),"",W376-R376)</x:f>
        <x:v>6241.79</x:v>
      </x:c>
      <x:c r="Y376" s="8" t="n">
        <x:f>IF(OR(ISBLANK(W376),W376=0),"",X376/W376)</x:f>
        <x:v>0.43468017688638183</x:v>
      </x:c>
      <x:c r="Z376" s="9" t="n">
        <x:f>IF(OR(ISBLANK(B376),ISBLANK(C376)),"",C376-B376)</x:f>
        <x:v>1</x:v>
      </x:c>
      <x:c r="AA376" t="str">
        <x:f>IF(ISBLANK(B376),"",TEXT(B376,"mmm"))</x:f>
        <x:v>Feb</x:v>
      </x:c>
      <x:c r="AB376" s="9" t="n">
        <x:f>IF(ISBLANK(B376),"",YEAR(B376))</x:f>
        <x:v>2025</x:v>
      </x:c>
      <x:c r="AC376" s="10" t="str"/>
      <x:c r="AD376" t="str">
        <x:f>IF(AND(U376="Completed",T376="Paid",ISERROR(SEARCH("INVALID",AC376)),ISERROR(SEARCH("REVIEW",AC376))),"Include","Exclude")</x:f>
        <x:v>Include</x:v>
      </x:c>
      <x:c r="AE376" t="str">
        <x:f>IF(T376="Refunded","Refunded","")</x:f>
      </x:c>
    </x:row>
    <x:row r="377">
      <x:c r="A377" t="str">
        <x:v>ORD-2024-10376</x:v>
      </x:c>
      <x:c r="B377" s="5" t="n">
        <x:v>45657</x:v>
      </x:c>
      <x:c r="C377" s="5" t="n">
        <x:v>45661</x:v>
      </x:c>
      <x:c r="D377" t="str">
        <x:v>CUST-2810</x:v>
      </x:c>
      <x:c r="E377" t="str">
        <x:v>Vikram Iyer</x:v>
      </x:c>
      <x:c r="F377" t="str">
        <x:v>Consumer</x:v>
      </x:c>
      <x:c r="G377" t="str">
        <x:v>North</x:v>
      </x:c>
      <x:c r="H377" t="str">
        <x:v>Delhi</x:v>
      </x:c>
      <x:c r="I377" t="str">
        <x:v>New Delhi</x:v>
      </x:c>
      <x:c r="J377" t="str">
        <x:v>Furniture</x:v>
      </x:c>
      <x:c r="K377" t="str">
        <x:v>Chairs</x:v>
      </x:c>
      <x:c r="L377" t="str">
        <x:v>Pro Chairs 364</x:v>
      </x:c>
      <x:c r="M377" t="str">
        <x:v>Same Day</x:v>
      </x:c>
      <x:c r="N377" t="n">
        <x:v>3</x:v>
      </x:c>
      <x:c r="O377" s="7" t="n">
        <x:v>1166.61</x:v>
      </x:c>
      <x:c r="P377" s="6" t="n">
        <x:v>0.25</x:v>
      </x:c>
      <x:c r="Q377" s="7" t="n">
        <x:v>2624.87</x:v>
      </x:c>
      <x:c r="R377" s="7" t="n">
        <x:v>2253.88</x:v>
      </x:c>
      <x:c r="S377" s="7" t="n">
        <x:v>370.99</x:v>
      </x:c>
      <x:c r="T377" t="str">
        <x:v>Paid</x:v>
      </x:c>
      <x:c r="U377" t="str">
        <x:v>Completed</x:v>
      </x:c>
      <x:c r="V377" s="6" t="n">
        <x:f>IF(ISBLANK(P377),IF(AND(ISNUMBER(N377),N377&gt;0,ISNUMBER(O377),O377&gt;=0,ISNUMBER(Q377),Q377&gt;=0,ISNUMBER(R377),R377&gt;=0,ISNUMBER(S377)),0,""),P377)</x:f>
        <x:v>0.25</x:v>
      </x:c>
      <x:c r="W377" s="7" t="n">
        <x:f>IF(ISBLANK(V377),"",N377*O377*(1-V377))</x:f>
        <x:v>2624.8725</x:v>
      </x:c>
      <x:c r="X377" s="7" t="n">
        <x:f>IF(OR(ISBLANK(W377),ISBLANK(R377)),"",W377-R377)</x:f>
        <x:v>370.99249999999984</x:v>
      </x:c>
      <x:c r="Y377" s="8" t="n">
        <x:f>IF(OR(ISBLANK(W377),W377=0),"",X377/W377)</x:f>
        <x:v>0.14133734114704613</x:v>
      </x:c>
      <x:c r="Z377" s="9" t="n">
        <x:f>IF(OR(ISBLANK(B377),ISBLANK(C377)),"",C377-B377)</x:f>
        <x:v>4</x:v>
      </x:c>
      <x:c r="AA377" t="str">
        <x:f>IF(ISBLANK(B377),"",TEXT(B377,"mmm"))</x:f>
        <x:v>Dec</x:v>
      </x:c>
      <x:c r="AB377" s="9" t="n">
        <x:f>IF(ISBLANK(B377),"",YEAR(B377))</x:f>
        <x:v>2024</x:v>
      </x:c>
      <x:c r="AC377" s="10" t="str"/>
      <x:c r="AD377" t="str">
        <x:f>IF(AND(U377="Completed",T377="Paid",ISERROR(SEARCH("INVALID",AC377)),ISERROR(SEARCH("REVIEW",AC377))),"Include","Exclude")</x:f>
        <x:v>Include</x:v>
      </x:c>
      <x:c r="AE377" t="str">
        <x:f>IF(T377="Refunded","Refunded","")</x:f>
      </x:c>
    </x:row>
    <x:row r="378">
      <x:c r="A378" t="str">
        <x:v>ORD-2024-10377</x:v>
      </x:c>
      <x:c r="B378" s="5" t="n">
        <x:v>45655</x:v>
      </x:c>
      <x:c r="C378" s="5" t="n">
        <x:v>45657</x:v>
      </x:c>
      <x:c r="D378" t="str">
        <x:v>CUST-5166</x:v>
      </x:c>
      <x:c r="E378" t="str">
        <x:v>Isha Nair</x:v>
      </x:c>
      <x:c r="F378" t="str">
        <x:v>Small Business</x:v>
      </x:c>
      <x:c r="G378" t="str">
        <x:v>East</x:v>
      </x:c>
      <x:c r="H378" t="str">
        <x:v>Bihar</x:v>
      </x:c>
      <x:c r="I378" t="str">
        <x:v>Patna</x:v>
      </x:c>
      <x:c r="J378" t="str">
        <x:v>Furniture</x:v>
      </x:c>
      <x:c r="K378" t="str">
        <x:v>Chairs</x:v>
      </x:c>
      <x:c r="L378" t="str">
        <x:v>Basic Chairs 248</x:v>
      </x:c>
      <x:c r="M378" t="str">
        <x:v>First Class</x:v>
      </x:c>
      <x:c r="N378" t="n">
        <x:v>6</x:v>
      </x:c>
      <x:c r="O378" s="7" t="n">
        <x:v>1844.78</x:v>
      </x:c>
      <x:c r="P378" s="6" t="n">
        <x:v>0.2</x:v>
      </x:c>
      <x:c r="Q378" s="7" t="n">
        <x:v>8854.94</x:v>
      </x:c>
      <x:c r="R378" s="7" t="n">
        <x:v>7433.95</x:v>
      </x:c>
      <x:c r="S378" s="7" t="n">
        <x:v>1420.99</x:v>
      </x:c>
      <x:c r="T378" t="str">
        <x:v>Paid</x:v>
      </x:c>
      <x:c r="U378" t="str">
        <x:v>Completed</x:v>
      </x:c>
      <x:c r="V378" s="6" t="n">
        <x:f>IF(ISBLANK(P378),IF(AND(ISNUMBER(N378),N378&gt;0,ISNUMBER(O378),O378&gt;=0,ISNUMBER(Q378),Q378&gt;=0,ISNUMBER(R378),R378&gt;=0,ISNUMBER(S378)),0,""),P378)</x:f>
        <x:v>0.2</x:v>
      </x:c>
      <x:c r="W378" s="7" t="n">
        <x:f>IF(ISBLANK(V378),"",N378*O378*(1-V378))</x:f>
        <x:v>8854.944000000001</x:v>
      </x:c>
      <x:c r="X378" s="7" t="n">
        <x:f>IF(OR(ISBLANK(W378),ISBLANK(R378)),"",W378-R378)</x:f>
        <x:v>1420.9940000000015</x:v>
      </x:c>
      <x:c r="Y378" s="8" t="n">
        <x:f>IF(OR(ISBLANK(W378),W378=0),"",X378/W378)</x:f>
        <x:v>0.1604746455765278</x:v>
      </x:c>
      <x:c r="Z378" s="9" t="n">
        <x:f>IF(OR(ISBLANK(B378),ISBLANK(C378)),"",C378-B378)</x:f>
        <x:v>2</x:v>
      </x:c>
      <x:c r="AA378" t="str">
        <x:f>IF(ISBLANK(B378),"",TEXT(B378,"mmm"))</x:f>
        <x:v>Dec</x:v>
      </x:c>
      <x:c r="AB378" s="9" t="n">
        <x:f>IF(ISBLANK(B378),"",YEAR(B378))</x:f>
        <x:v>2024</x:v>
      </x:c>
      <x:c r="AC378" s="10" t="str"/>
      <x:c r="AD378" t="str">
        <x:f>IF(AND(U378="Completed",T378="Paid",ISERROR(SEARCH("INVALID",AC378)),ISERROR(SEARCH("REVIEW",AC378))),"Include","Exclude")</x:f>
        <x:v>Include</x:v>
      </x:c>
      <x:c r="AE378" t="str">
        <x:f>IF(T378="Refunded","Refunded","")</x:f>
      </x:c>
    </x:row>
    <x:row r="379">
      <x:c r="A379" t="str">
        <x:v>ORD-2025-10378</x:v>
      </x:c>
      <x:c r="B379" s="5" t="n">
        <x:v>45801</x:v>
      </x:c>
      <x:c r="C379" s="5" t="n">
        <x:v>45807</x:v>
      </x:c>
      <x:c r="D379" t="str">
        <x:v>CUST-4875</x:v>
      </x:c>
      <x:c r="E379" t="str">
        <x:v>Kabir Singh</x:v>
      </x:c>
      <x:c r="F379" t="str">
        <x:v>Small Business</x:v>
      </x:c>
      <x:c r="G379" t="str">
        <x:v>East</x:v>
      </x:c>
      <x:c r="H379" t="str">
        <x:v>Odisha</x:v>
      </x:c>
      <x:c r="I379" t="str">
        <x:v>Bhubaneswar</x:v>
      </x:c>
      <x:c r="J379" t="str">
        <x:v>Office Supplies</x:v>
      </x:c>
      <x:c r="K379" t="str">
        <x:v>Storage</x:v>
      </x:c>
      <x:c r="L379" t="str">
        <x:v>Basic Storage 360</x:v>
      </x:c>
      <x:c r="M379" t="str">
        <x:v>Same Day</x:v>
      </x:c>
      <x:c r="N379" t="n">
        <x:v>1</x:v>
      </x:c>
      <x:c r="O379" s="7" t="n">
        <x:v>2564.74</x:v>
      </x:c>
      <x:c r="P379" s="6" t="n">
        <x:v>0</x:v>
      </x:c>
      <x:c r="Q379" s="7" t="n">
        <x:v>2564.74</x:v>
      </x:c>
      <x:c r="R379" s="7" t="n">
        <x:v>1754.58</x:v>
      </x:c>
      <x:c r="S379" s="7" t="n">
        <x:v>810.16</x:v>
      </x:c>
      <x:c r="T379" t="str">
        <x:v>Paid</x:v>
      </x:c>
      <x:c r="U379" t="str">
        <x:v>Completed</x:v>
      </x:c>
      <x:c r="V379" s="6" t="n">
        <x:f>IF(ISBLANK(P379),IF(AND(ISNUMBER(N379),N379&gt;0,ISNUMBER(O379),O379&gt;=0,ISNUMBER(Q379),Q379&gt;=0,ISNUMBER(R379),R379&gt;=0,ISNUMBER(S379)),0,""),P379)</x:f>
        <x:v>0</x:v>
      </x:c>
      <x:c r="W379" s="7" t="n">
        <x:f>IF(ISBLANK(V379),"",N379*O379*(1-V379))</x:f>
        <x:v>2564.74</x:v>
      </x:c>
      <x:c r="X379" s="7" t="n">
        <x:f>IF(OR(ISBLANK(W379),ISBLANK(R379)),"",W379-R379)</x:f>
        <x:v>810.1599999999999</x:v>
      </x:c>
      <x:c r="Y379" s="8" t="n">
        <x:f>IF(OR(ISBLANK(W379),W379=0),"",X379/W379)</x:f>
        <x:v>0.3158838712696023</x:v>
      </x:c>
      <x:c r="Z379" s="9" t="n">
        <x:f>IF(OR(ISBLANK(B379),ISBLANK(C379)),"",C379-B379)</x:f>
        <x:v>6</x:v>
      </x:c>
      <x:c r="AA379" t="str">
        <x:f>IF(ISBLANK(B379),"",TEXT(B379,"mmm"))</x:f>
        <x:v>May</x:v>
      </x:c>
      <x:c r="AB379" s="9" t="n">
        <x:f>IF(ISBLANK(B379),"",YEAR(B379))</x:f>
        <x:v>2025</x:v>
      </x:c>
      <x:c r="AC379" s="10" t="str"/>
      <x:c r="AD379" t="str">
        <x:f>IF(AND(U379="Completed",T379="Paid",ISERROR(SEARCH("INVALID",AC379)),ISERROR(SEARCH("REVIEW",AC379))),"Include","Exclude")</x:f>
        <x:v>Include</x:v>
      </x:c>
      <x:c r="AE379" t="str">
        <x:f>IF(T379="Refunded","Refunded","")</x:f>
      </x:c>
    </x:row>
    <x:row r="380">
      <x:c r="A380" t="str">
        <x:v>ORD-2025-10379</x:v>
      </x:c>
      <x:c r="B380" s="5" t="n">
        <x:v>45799</x:v>
      </x:c>
      <x:c r="C380" s="5" t="n">
        <x:v>45799</x:v>
      </x:c>
      <x:c r="D380" t="str">
        <x:v>CUST-3154</x:v>
      </x:c>
      <x:c r="E380" t="str">
        <x:v>Mira Das</x:v>
      </x:c>
      <x:c r="F380" t="str">
        <x:v>Consumer</x:v>
      </x:c>
      <x:c r="G380" t="str">
        <x:v>West</x:v>
      </x:c>
      <x:c r="H380" t="str">
        <x:v>Goa</x:v>
      </x:c>
      <x:c r="I380" t="str">
        <x:v>Panaji</x:v>
      </x:c>
      <x:c r="J380" t="str">
        <x:v>Technology</x:v>
      </x:c>
      <x:c r="K380" t="str">
        <x:v>Accessories</x:v>
      </x:c>
      <x:c r="L380" t="str">
        <x:v>Basic Accessories 988</x:v>
      </x:c>
      <x:c r="M380" t="str">
        <x:v>Standard Class</x:v>
      </x:c>
      <x:c r="N380" t="n">
        <x:v>2</x:v>
      </x:c>
      <x:c r="O380" s="7" t="n">
        <x:v>3910.61</x:v>
      </x:c>
      <x:c r="P380" s="6" t="n">
        <x:v>0</x:v>
      </x:c>
      <x:c r="Q380" s="7" t="n">
        <x:v>7821.22</x:v>
      </x:c>
      <x:c r="R380" s="7" t="n">
        <x:v>4994.46</x:v>
      </x:c>
      <x:c r="S380" s="7" t="n">
        <x:v>2826.76</x:v>
      </x:c>
      <x:c r="T380" t="str">
        <x:v>Paid</x:v>
      </x:c>
      <x:c r="U380" t="str">
        <x:v>Completed</x:v>
      </x:c>
      <x:c r="V380" s="6" t="n">
        <x:f>IF(ISBLANK(P380),IF(AND(ISNUMBER(N380),N380&gt;0,ISNUMBER(O380),O380&gt;=0,ISNUMBER(Q380),Q380&gt;=0,ISNUMBER(R380),R380&gt;=0,ISNUMBER(S380)),0,""),P380)</x:f>
        <x:v>0</x:v>
      </x:c>
      <x:c r="W380" s="7" t="n">
        <x:f>IF(ISBLANK(V380),"",N380*O380*(1-V380))</x:f>
        <x:v>7821.22</x:v>
      </x:c>
      <x:c r="X380" s="7" t="n">
        <x:f>IF(OR(ISBLANK(W380),ISBLANK(R380)),"",W380-R380)</x:f>
        <x:v>2826.76</x:v>
      </x:c>
      <x:c r="Y380" s="8" t="n">
        <x:f>IF(OR(ISBLANK(W380),W380=0),"",X380/W380)</x:f>
        <x:v>0.36142187535959863</x:v>
      </x:c>
      <x:c r="Z380" s="9" t="n">
        <x:f>IF(OR(ISBLANK(B380),ISBLANK(C380)),"",C380-B380)</x:f>
        <x:v>0</x:v>
      </x:c>
      <x:c r="AA380" t="str">
        <x:f>IF(ISBLANK(B380),"",TEXT(B380,"mmm"))</x:f>
        <x:v>May</x:v>
      </x:c>
      <x:c r="AB380" s="9" t="n">
        <x:f>IF(ISBLANK(B380),"",YEAR(B380))</x:f>
        <x:v>2025</x:v>
      </x:c>
      <x:c r="AC380" s="10" t="str"/>
      <x:c r="AD380" t="str">
        <x:f>IF(AND(U380="Completed",T380="Paid",ISERROR(SEARCH("INVALID",AC380)),ISERROR(SEARCH("REVIEW",AC380))),"Include","Exclude")</x:f>
        <x:v>Include</x:v>
      </x:c>
      <x:c r="AE380" t="str">
        <x:f>IF(T380="Refunded","Refunded","")</x:f>
      </x:c>
    </x:row>
    <x:row r="381">
      <x:c r="A381" t="str">
        <x:v>ORD-2024-10380</x:v>
      </x:c>
      <x:c r="B381" s="5" t="n">
        <x:v>45554</x:v>
      </x:c>
      <x:c r="C381" s="5" t="n">
        <x:v>45558</x:v>
      </x:c>
      <x:c r="D381" t="str">
        <x:v>CUST-6405</x:v>
      </x:c>
      <x:c r="E381" t="str">
        <x:v>Mira Das</x:v>
      </x:c>
      <x:c r="F381" t="str">
        <x:v>Small Business</x:v>
      </x:c>
      <x:c r="G381" t="str">
        <x:v>South</x:v>
      </x:c>
      <x:c r="H381" t="str">
        <x:v>Kerala</x:v>
      </x:c>
      <x:c r="I381" t="str">
        <x:v>Kochi</x:v>
      </x:c>
      <x:c r="J381" t="str">
        <x:v>Office Supplies</x:v>
      </x:c>
      <x:c r="K381" t="str">
        <x:v>Paper</x:v>
      </x:c>
      <x:c r="L381" t="str">
        <x:v>Max Paper 334</x:v>
      </x:c>
      <x:c r="M381" t="str">
        <x:v>Standard Class</x:v>
      </x:c>
      <x:c r="N381" t="n">
        <x:v>7</x:v>
      </x:c>
      <x:c r="O381" s="7" t="n">
        <x:v>1136.68</x:v>
      </x:c>
      <x:c r="P381" s="6"/>
      <x:c r="Q381" s="7" t="n">
        <x:v>7956.76</x:v>
      </x:c>
      <x:c r="R381" s="7" t="n">
        <x:v>4799.54</x:v>
      </x:c>
      <x:c r="S381" s="7" t="n">
        <x:v>3157.22</x:v>
      </x:c>
      <x:c r="T381" t="str">
        <x:v>Paid</x:v>
      </x:c>
      <x:c r="U381" t="str">
        <x:v>Completed</x:v>
      </x:c>
      <x:c r="V381" s="6" t="n">
        <x:f>IF(ISBLANK(P381),IF(AND(ISNUMBER(N381),N381&gt;0,ISNUMBER(O381),O381&gt;=0,ISNUMBER(Q381),Q381&gt;=0,ISNUMBER(R381),R381&gt;=0,ISNUMBER(S381)),0,""),P381)</x:f>
        <x:v>0</x:v>
      </x:c>
      <x:c r="W381" s="7" t="n">
        <x:f>IF(ISBLANK(V381),"",N381*O381*(1-V381))</x:f>
        <x:v>7956.76</x:v>
      </x:c>
      <x:c r="X381" s="7" t="n">
        <x:f>IF(OR(ISBLANK(W381),ISBLANK(R381)),"",W381-R381)</x:f>
        <x:v>3157.2200000000003</x:v>
      </x:c>
      <x:c r="Y381" s="8" t="n">
        <x:f>IF(OR(ISBLANK(W381),W381=0),"",X381/W381)</x:f>
        <x:v>0.3967971888054937</x:v>
      </x:c>
      <x:c r="Z381" s="9" t="n">
        <x:f>IF(OR(ISBLANK(B381),ISBLANK(C381)),"",C381-B381)</x:f>
        <x:v>4</x:v>
      </x:c>
      <x:c r="AA381" t="str">
        <x:f>IF(ISBLANK(B381),"",TEXT(B381,"mmm"))</x:f>
        <x:v>Sep</x:v>
      </x:c>
      <x:c r="AB381" s="9" t="n">
        <x:f>IF(ISBLANK(B381),"",YEAR(B381))</x:f>
        <x:v>2024</x:v>
      </x:c>
      <x:c r="AC381" s="10" t="str">
        <x:v>FLAG: Missing discount treated as 0</x:v>
      </x:c>
      <x:c r="AD381" t="str">
        <x:f>IF(AND(U381="Completed",T381="Paid",ISERROR(SEARCH("INVALID",AC381)),ISERROR(SEARCH("REVIEW",AC381))),"Include","Exclude")</x:f>
        <x:v>Include</x:v>
      </x:c>
      <x:c r="AE381" t="str">
        <x:f>IF(T381="Refunded","Refunded","")</x:f>
      </x:c>
    </x:row>
    <x:row r="382">
      <x:c r="A382" t="str">
        <x:v>ORD-2024-10381</x:v>
      </x:c>
      <x:c r="B382" s="5" t="n">
        <x:v>45389</x:v>
      </x:c>
      <x:c r="C382" s="5" t="n">
        <x:v>45396</x:v>
      </x:c>
      <x:c r="D382" t="str">
        <x:v>CUST-5779</x:v>
      </x:c>
      <x:c r="E382" t="str">
        <x:v>Vikram Iyer</x:v>
      </x:c>
      <x:c r="F382" t="str">
        <x:v>Consumer</x:v>
      </x:c>
      <x:c r="G382" t="str">
        <x:v>West</x:v>
      </x:c>
      <x:c r="H382" t="str">
        <x:v>Maharashtra</x:v>
      </x:c>
      <x:c r="I382" t="str">
        <x:v>Mumbai</x:v>
      </x:c>
      <x:c r="J382" t="str">
        <x:v>Furniture</x:v>
      </x:c>
      <x:c r="K382" t="str">
        <x:v>Bookcases</x:v>
      </x:c>
      <x:c r="L382" t="str">
        <x:v>Prime Bookcases 952</x:v>
      </x:c>
      <x:c r="M382" t="str">
        <x:v>Same Day</x:v>
      </x:c>
      <x:c r="N382" t="n">
        <x:v>5</x:v>
      </x:c>
      <x:c r="O382" s="7" t="n">
        <x:v>2235.85</x:v>
      </x:c>
      <x:c r="P382" s="6" t="n">
        <x:v>0.25</x:v>
      </x:c>
      <x:c r="Q382" s="7" t="n">
        <x:v>8384.44</x:v>
      </x:c>
      <x:c r="R382" s="7" t="n">
        <x:v>4765.96</x:v>
      </x:c>
      <x:c r="S382" s="7" t="n">
        <x:v>3618.48</x:v>
      </x:c>
      <x:c r="T382" t="str">
        <x:v>Paid</x:v>
      </x:c>
      <x:c r="U382" t="str">
        <x:v>Returned</x:v>
      </x:c>
      <x:c r="V382" s="6" t="n">
        <x:f>IF(ISBLANK(P382),IF(AND(ISNUMBER(N382),N382&gt;0,ISNUMBER(O382),O382&gt;=0,ISNUMBER(Q382),Q382&gt;=0,ISNUMBER(R382),R382&gt;=0,ISNUMBER(S382)),0,""),P382)</x:f>
        <x:v>0.25</x:v>
      </x:c>
      <x:c r="W382" s="7" t="n">
        <x:f>IF(ISBLANK(V382),"",N382*O382*(1-V382))</x:f>
        <x:v>8384.4375</x:v>
      </x:c>
      <x:c r="X382" s="7" t="n">
        <x:f>IF(OR(ISBLANK(W382),ISBLANK(R382)),"",W382-R382)</x:f>
        <x:v>3618.4775</x:v>
      </x:c>
      <x:c r="Y382" s="8" t="n">
        <x:f>IF(OR(ISBLANK(W382),W382=0),"",X382/W382)</x:f>
        <x:v>0.43157069272685256</x:v>
      </x:c>
      <x:c r="Z382" s="9" t="n">
        <x:f>IF(OR(ISBLANK(B382),ISBLANK(C382)),"",C382-B382)</x:f>
        <x:v>7</x:v>
      </x:c>
      <x:c r="AA382" t="str">
        <x:f>IF(ISBLANK(B382),"",TEXT(B382,"mmm"))</x:f>
        <x:v>Apr</x:v>
      </x:c>
      <x:c r="AB382" s="9" t="n">
        <x:f>IF(ISBLANK(B382),"",YEAR(B382))</x:f>
        <x:v>2024</x:v>
      </x:c>
      <x:c r="AC382" s="10" t="str"/>
      <x:c r="AD382" t="str">
        <x:f>IF(AND(U382="Completed",T382="Paid",ISERROR(SEARCH("INVALID",AC382)),ISERROR(SEARCH("REVIEW",AC382))),"Include","Exclude")</x:f>
        <x:v>Exclude</x:v>
      </x:c>
      <x:c r="AE382" t="str">
        <x:f>IF(T382="Refunded","Refunded","")</x:f>
      </x:c>
    </x:row>
    <x:row r="383">
      <x:c r="A383" t="str">
        <x:v>ORD-2025-10382</x:v>
      </x:c>
      <x:c r="B383" s="5" t="n">
        <x:v>45919</x:v>
      </x:c>
      <x:c r="C383" s="5" t="n">
        <x:v>45923</x:v>
      </x:c>
      <x:c r="D383" t="str">
        <x:v>CUST-9943</x:v>
      </x:c>
      <x:c r="E383" t="str">
        <x:v>Arjun Bose</x:v>
      </x:c>
      <x:c r="F383" t="str">
        <x:v>Home Office</x:v>
      </x:c>
      <x:c r="G383" t="str">
        <x:v>North</x:v>
      </x:c>
      <x:c r="H383" t="str">
        <x:v>Delhi</x:v>
      </x:c>
      <x:c r="I383" t="str">
        <x:v>New Delhi</x:v>
      </x:c>
      <x:c r="J383" t="str">
        <x:v>Office Supplies</x:v>
      </x:c>
      <x:c r="K383" t="str">
        <x:v>Binders</x:v>
      </x:c>
      <x:c r="L383" t="str">
        <x:v>Prime Binders 523</x:v>
      </x:c>
      <x:c r="M383" t="str">
        <x:v>Standard Class</x:v>
      </x:c>
      <x:c r="N383" t="n">
        <x:v>4</x:v>
      </x:c>
      <x:c r="O383" s="7" t="n">
        <x:v>4387.15</x:v>
      </x:c>
      <x:c r="P383" s="6" t="n">
        <x:v>0.05</x:v>
      </x:c>
      <x:c r="Q383" s="7" t="n">
        <x:v>16671.17</x:v>
      </x:c>
      <x:c r="R383" s="7" t="n">
        <x:v>10833.19</x:v>
      </x:c>
      <x:c r="S383" s="7" t="n">
        <x:v>5837.98</x:v>
      </x:c>
      <x:c r="T383" t="str">
        <x:v>Failed</x:v>
      </x:c>
      <x:c r="U383" t="str">
        <x:v>Cancelled</x:v>
      </x:c>
      <x:c r="V383" s="6" t="n">
        <x:f>IF(ISBLANK(P383),IF(AND(ISNUMBER(N383),N383&gt;0,ISNUMBER(O383),O383&gt;=0,ISNUMBER(Q383),Q383&gt;=0,ISNUMBER(R383),R383&gt;=0,ISNUMBER(S383)),0,""),P383)</x:f>
        <x:v>0.05</x:v>
      </x:c>
      <x:c r="W383" s="7" t="n">
        <x:f>IF(ISBLANK(V383),"",N383*O383*(1-V383))</x:f>
        <x:v>16671.17</x:v>
      </x:c>
      <x:c r="X383" s="7" t="n">
        <x:f>IF(OR(ISBLANK(W383),ISBLANK(R383)),"",W383-R383)</x:f>
        <x:v>5837.979999999998</x:v>
      </x:c>
      <x:c r="Y383" s="8" t="n">
        <x:f>IF(OR(ISBLANK(W383),W383=0),"",X383/W383)</x:f>
        <x:v>0.35018418023450054</x:v>
      </x:c>
      <x:c r="Z383" s="9" t="n">
        <x:f>IF(OR(ISBLANK(B383),ISBLANK(C383)),"",C383-B383)</x:f>
        <x:v>4</x:v>
      </x:c>
      <x:c r="AA383" t="str">
        <x:f>IF(ISBLANK(B383),"",TEXT(B383,"mmm"))</x:f>
        <x:v>Sep</x:v>
      </x:c>
      <x:c r="AB383" s="9" t="n">
        <x:f>IF(ISBLANK(B383),"",YEAR(B383))</x:f>
        <x:v>2025</x:v>
      </x:c>
      <x:c r="AC383" s="10" t="str">
        <x:v>EXCLUDE: Cancelled order; EXCLUDE: Failed payment</x:v>
      </x:c>
      <x:c r="AD383" t="str">
        <x:f>IF(AND(U383="Completed",T383="Paid",ISERROR(SEARCH("INVALID",AC383)),ISERROR(SEARCH("REVIEW",AC383))),"Include","Exclude")</x:f>
        <x:v>Exclude</x:v>
      </x:c>
      <x:c r="AE383" t="str">
        <x:f>IF(T383="Refunded","Refunded","")</x:f>
      </x:c>
    </x:row>
    <x:row r="384">
      <x:c r="A384" t="str">
        <x:v>ORD-2025-10383</x:v>
      </x:c>
      <x:c r="B384" s="5" t="n">
        <x:v>45720</x:v>
      </x:c>
      <x:c r="C384" s="5" t="n">
        <x:v>45724</x:v>
      </x:c>
      <x:c r="D384" t="str">
        <x:v>CUST-7098</x:v>
      </x:c>
      <x:c r="E384" t="str">
        <x:v>Arjun Bose</x:v>
      </x:c>
      <x:c r="F384" t="str">
        <x:v>Small Business</x:v>
      </x:c>
      <x:c r="G384" t="str">
        <x:v>East</x:v>
      </x:c>
      <x:c r="H384" t="str">
        <x:v>Bihar</x:v>
      </x:c>
      <x:c r="I384" t="str">
        <x:v>Patna</x:v>
      </x:c>
      <x:c r="J384" t="str">
        <x:v>Technology</x:v>
      </x:c>
      <x:c r="K384" t="str">
        <x:v>Phones</x:v>
      </x:c>
      <x:c r="L384" t="str">
        <x:v>Pro Phones 538</x:v>
      </x:c>
      <x:c r="M384" t="str">
        <x:v>First Class</x:v>
      </x:c>
      <x:c r="N384" t="n">
        <x:v>3</x:v>
      </x:c>
      <x:c r="O384" s="7" t="n">
        <x:v>4361.85</x:v>
      </x:c>
      <x:c r="P384" s="6" t="n">
        <x:v>0.2</x:v>
      </x:c>
      <x:c r="Q384" s="7" t="n">
        <x:v>10468.44</x:v>
      </x:c>
      <x:c r="R384" s="7" t="n">
        <x:v>8399.87</x:v>
      </x:c>
      <x:c r="S384" s="7" t="n">
        <x:v>2068.57</x:v>
      </x:c>
      <x:c r="T384" t="str">
        <x:v>Paid</x:v>
      </x:c>
      <x:c r="U384" t="str">
        <x:v>Completed</x:v>
      </x:c>
      <x:c r="V384" s="6" t="n">
        <x:f>IF(ISBLANK(P384),IF(AND(ISNUMBER(N384),N384&gt;0,ISNUMBER(O384),O384&gt;=0,ISNUMBER(Q384),Q384&gt;=0,ISNUMBER(R384),R384&gt;=0,ISNUMBER(S384)),0,""),P384)</x:f>
        <x:v>0.2</x:v>
      </x:c>
      <x:c r="W384" s="7" t="n">
        <x:f>IF(ISBLANK(V384),"",N384*O384*(1-V384))</x:f>
        <x:v>10468.440000000002</x:v>
      </x:c>
      <x:c r="X384" s="7" t="n">
        <x:f>IF(OR(ISBLANK(W384),ISBLANK(R384)),"",W384-R384)</x:f>
        <x:v>2068.5700000000015</x:v>
      </x:c>
      <x:c r="Y384" s="8" t="n">
        <x:f>IF(OR(ISBLANK(W384),W384=0),"",X384/W384)</x:f>
        <x:v>0.19760059760575607</x:v>
      </x:c>
      <x:c r="Z384" s="9" t="n">
        <x:f>IF(OR(ISBLANK(B384),ISBLANK(C384)),"",C384-B384)</x:f>
        <x:v>4</x:v>
      </x:c>
      <x:c r="AA384" t="str">
        <x:f>IF(ISBLANK(B384),"",TEXT(B384,"mmm"))</x:f>
        <x:v>Mar</x:v>
      </x:c>
      <x:c r="AB384" s="9" t="n">
        <x:f>IF(ISBLANK(B384),"",YEAR(B384))</x:f>
        <x:v>2025</x:v>
      </x:c>
      <x:c r="AC384" s="10" t="str"/>
      <x:c r="AD384" t="str">
        <x:f>IF(AND(U384="Completed",T384="Paid",ISERROR(SEARCH("INVALID",AC384)),ISERROR(SEARCH("REVIEW",AC384))),"Include","Exclude")</x:f>
        <x:v>Include</x:v>
      </x:c>
      <x:c r="AE384" t="str">
        <x:f>IF(T384="Refunded","Refunded","")</x:f>
      </x:c>
    </x:row>
    <x:row r="385">
      <x:c r="A385" t="str">
        <x:v>ORD-2025-10384</x:v>
      </x:c>
      <x:c r="B385" s="5" t="n">
        <x:v>45836</x:v>
      </x:c>
      <x:c r="C385" s="5" t="n">
        <x:v>45843</x:v>
      </x:c>
      <x:c r="D385" t="str">
        <x:v>CUST-7438</x:v>
      </x:c>
      <x:c r="E385" t="str">
        <x:v>Vikram Iyer</x:v>
      </x:c>
      <x:c r="F385" t="str">
        <x:v>Corporate</x:v>
      </x:c>
      <x:c r="G385" t="str">
        <x:v>East</x:v>
      </x:c>
      <x:c r="H385" t="str">
        <x:v>West Bengal</x:v>
      </x:c>
      <x:c r="I385" t="str">
        <x:v>Kolkata</x:v>
      </x:c>
      <x:c r="J385" t="str">
        <x:v>Office Supplies</x:v>
      </x:c>
      <x:c r="K385" t="str">
        <x:v>Art</x:v>
      </x:c>
      <x:c r="L385" t="str">
        <x:v>Basic Art 608</x:v>
      </x:c>
      <x:c r="M385" t="str">
        <x:v>First Class</x:v>
      </x:c>
      <x:c r="N385" t="n">
        <x:v>2</x:v>
      </x:c>
      <x:c r="O385" s="7" t="n">
        <x:v>2242.75</x:v>
      </x:c>
      <x:c r="P385" s="6" t="n">
        <x:v>0</x:v>
      </x:c>
      <x:c r="Q385" s="7" t="n">
        <x:v>4485.5</x:v>
      </x:c>
      <x:c r="R385" s="7" t="n">
        <x:v>3131.86</x:v>
      </x:c>
      <x:c r="S385" s="7" t="n">
        <x:v>1353.64</x:v>
      </x:c>
      <x:c r="T385" t="str">
        <x:v>Paid</x:v>
      </x:c>
      <x:c r="U385" t="str">
        <x:v>Cancelled</x:v>
      </x:c>
      <x:c r="V385" s="6" t="n">
        <x:f>IF(ISBLANK(P385),IF(AND(ISNUMBER(N385),N385&gt;0,ISNUMBER(O385),O385&gt;=0,ISNUMBER(Q385),Q385&gt;=0,ISNUMBER(R385),R385&gt;=0,ISNUMBER(S385)),0,""),P385)</x:f>
        <x:v>0</x:v>
      </x:c>
      <x:c r="W385" s="7" t="n">
        <x:f>IF(ISBLANK(V385),"",N385*O385*(1-V385))</x:f>
        <x:v>4485.5</x:v>
      </x:c>
      <x:c r="X385" s="7" t="n">
        <x:f>IF(OR(ISBLANK(W385),ISBLANK(R385)),"",W385-R385)</x:f>
        <x:v>1353.6399999999999</x:v>
      </x:c>
      <x:c r="Y385" s="8" t="n">
        <x:f>IF(OR(ISBLANK(W385),W385=0),"",X385/W385)</x:f>
        <x:v>0.30178129528480657</x:v>
      </x:c>
      <x:c r="Z385" s="9" t="n">
        <x:f>IF(OR(ISBLANK(B385),ISBLANK(C385)),"",C385-B385)</x:f>
        <x:v>7</x:v>
      </x:c>
      <x:c r="AA385" t="str">
        <x:f>IF(ISBLANK(B385),"",TEXT(B385,"mmm"))</x:f>
        <x:v>Jun</x:v>
      </x:c>
      <x:c r="AB385" s="9" t="n">
        <x:f>IF(ISBLANK(B385),"",YEAR(B385))</x:f>
        <x:v>2025</x:v>
      </x:c>
      <x:c r="AC385" s="10" t="str">
        <x:v>EXCLUDE: Cancelled order</x:v>
      </x:c>
      <x:c r="AD385" t="str">
        <x:f>IF(AND(U385="Completed",T385="Paid",ISERROR(SEARCH("INVALID",AC385)),ISERROR(SEARCH("REVIEW",AC385))),"Include","Exclude")</x:f>
        <x:v>Exclude</x:v>
      </x:c>
      <x:c r="AE385" t="str">
        <x:f>IF(T385="Refunded","Refunded","")</x:f>
      </x:c>
    </x:row>
    <x:row r="386">
      <x:c r="A386" t="str">
        <x:v>ORD-2024-10385</x:v>
      </x:c>
      <x:c r="B386" s="5" t="n">
        <x:v>45366</x:v>
      </x:c>
      <x:c r="C386" s="5" t="n">
        <x:v>45371</x:v>
      </x:c>
      <x:c r="D386" t="str">
        <x:v>CUST-8432</x:v>
      </x:c>
      <x:c r="E386" t="str">
        <x:v>Rohan Mehta</x:v>
      </x:c>
      <x:c r="F386" t="str">
        <x:v>Consumer</x:v>
      </x:c>
      <x:c r="G386" t="str">
        <x:v>East</x:v>
      </x:c>
      <x:c r="H386" t="str">
        <x:v>Jharkhand</x:v>
      </x:c>
      <x:c r="I386" t="str">
        <x:v>Ranchi</x:v>
      </x:c>
      <x:c r="J386" t="str">
        <x:v>Technology</x:v>
      </x:c>
      <x:c r="K386" t="str">
        <x:v>Copiers</x:v>
      </x:c>
      <x:c r="L386" t="str">
        <x:v>Prime Copiers 820</x:v>
      </x:c>
      <x:c r="M386" t="str">
        <x:v>Standard Class</x:v>
      </x:c>
      <x:c r="N386" t="n">
        <x:v>2</x:v>
      </x:c>
      <x:c r="O386" s="7" t="n">
        <x:v>1881.4</x:v>
      </x:c>
      <x:c r="P386" s="6" t="n">
        <x:v>0.25</x:v>
      </x:c>
      <x:c r="Q386" s="7" t="n">
        <x:v>2822.1</x:v>
      </x:c>
      <x:c r="R386" s="7" t="n">
        <x:v>1624.57</x:v>
      </x:c>
      <x:c r="S386" s="7" t="n">
        <x:v>1197.53</x:v>
      </x:c>
      <x:c r="T386" t="str">
        <x:v>Paid</x:v>
      </x:c>
      <x:c r="U386" t="str">
        <x:v>Returned</x:v>
      </x:c>
      <x:c r="V386" s="6" t="n">
        <x:f>IF(ISBLANK(P386),IF(AND(ISNUMBER(N386),N386&gt;0,ISNUMBER(O386),O386&gt;=0,ISNUMBER(Q386),Q386&gt;=0,ISNUMBER(R386),R386&gt;=0,ISNUMBER(S386)),0,""),P386)</x:f>
        <x:v>0.25</x:v>
      </x:c>
      <x:c r="W386" s="7" t="n">
        <x:f>IF(ISBLANK(V386),"",N386*O386*(1-V386))</x:f>
        <x:v>2822.1000000000004</x:v>
      </x:c>
      <x:c r="X386" s="7" t="n">
        <x:f>IF(OR(ISBLANK(W386),ISBLANK(R386)),"",W386-R386)</x:f>
        <x:v>1197.5300000000004</x:v>
      </x:c>
      <x:c r="Y386" s="8" t="n">
        <x:f>IF(OR(ISBLANK(W386),W386=0),"",X386/W386)</x:f>
        <x:v>0.4243400304737608</x:v>
      </x:c>
      <x:c r="Z386" s="9" t="n">
        <x:f>IF(OR(ISBLANK(B386),ISBLANK(C386)),"",C386-B386)</x:f>
        <x:v>5</x:v>
      </x:c>
      <x:c r="AA386" t="str">
        <x:f>IF(ISBLANK(B386),"",TEXT(B386,"mmm"))</x:f>
        <x:v>Mar</x:v>
      </x:c>
      <x:c r="AB386" s="9" t="n">
        <x:f>IF(ISBLANK(B386),"",YEAR(B386))</x:f>
        <x:v>2024</x:v>
      </x:c>
      <x:c r="AC386" s="10" t="str"/>
      <x:c r="AD386" t="str">
        <x:f>IF(AND(U386="Completed",T386="Paid",ISERROR(SEARCH("INVALID",AC386)),ISERROR(SEARCH("REVIEW",AC386))),"Include","Exclude")</x:f>
        <x:v>Exclude</x:v>
      </x:c>
      <x:c r="AE386" t="str">
        <x:f>IF(T386="Refunded","Refunded","")</x:f>
      </x:c>
    </x:row>
    <x:row r="387">
      <x:c r="A387" t="str">
        <x:v>ORD-2025-10386</x:v>
      </x:c>
      <x:c r="B387" s="5" t="n">
        <x:v>45832</x:v>
      </x:c>
      <x:c r="C387" s="5" t="n">
        <x:v>45838</x:v>
      </x:c>
      <x:c r="D387" t="str">
        <x:v>CUST-2834</x:v>
      </x:c>
      <x:c r="E387" t="str">
        <x:v>Arjun Bose</x:v>
      </x:c>
      <x:c r="F387" t="str">
        <x:v>Consumer</x:v>
      </x:c>
      <x:c r="G387" t="str">
        <x:v>North</x:v>
      </x:c>
      <x:c r="H387" t="str">
        <x:v>Haryana</x:v>
      </x:c>
      <x:c r="I387" t="str">
        <x:v>Gurugram</x:v>
      </x:c>
      <x:c r="J387" t="str">
        <x:v>Office Supplies</x:v>
      </x:c>
      <x:c r="K387" t="str">
        <x:v>Labels</x:v>
      </x:c>
      <x:c r="L387" t="str">
        <x:v>Classic Labels 670</x:v>
      </x:c>
      <x:c r="M387" t="str">
        <x:v>Standard Class</x:v>
      </x:c>
      <x:c r="N387" t="n">
        <x:v>6</x:v>
      </x:c>
      <x:c r="O387" s="7" t="n">
        <x:v>365.76</x:v>
      </x:c>
      <x:c r="P387" s="6" t="n">
        <x:v>0.1</x:v>
      </x:c>
      <x:c r="Q387" s="7" t="n">
        <x:v>1975.1</x:v>
      </x:c>
      <x:c r="R387" s="7" t="n">
        <x:v>1115.35</x:v>
      </x:c>
      <x:c r="S387" s="7" t="n">
        <x:v>859.75</x:v>
      </x:c>
      <x:c r="T387" t="str">
        <x:v>Paid</x:v>
      </x:c>
      <x:c r="U387" t="str">
        <x:v>Completed</x:v>
      </x:c>
      <x:c r="V387" s="6" t="n">
        <x:f>IF(ISBLANK(P387),IF(AND(ISNUMBER(N387),N387&gt;0,ISNUMBER(O387),O387&gt;=0,ISNUMBER(Q387),Q387&gt;=0,ISNUMBER(R387),R387&gt;=0,ISNUMBER(S387)),0,""),P387)</x:f>
        <x:v>0.1</x:v>
      </x:c>
      <x:c r="W387" s="7" t="n">
        <x:f>IF(ISBLANK(V387),"",N387*O387*(1-V387))</x:f>
        <x:v>1975.104</x:v>
      </x:c>
      <x:c r="X387" s="7" t="n">
        <x:f>IF(OR(ISBLANK(W387),ISBLANK(R387)),"",W387-R387)</x:f>
        <x:v>859.7540000000001</x:v>
      </x:c>
      <x:c r="Y387" s="8" t="n">
        <x:f>IF(OR(ISBLANK(W387),W387=0),"",X387/W387)</x:f>
        <x:v>0.4352955591199249</x:v>
      </x:c>
      <x:c r="Z387" s="9" t="n">
        <x:f>IF(OR(ISBLANK(B387),ISBLANK(C387)),"",C387-B387)</x:f>
        <x:v>6</x:v>
      </x:c>
      <x:c r="AA387" t="str">
        <x:f>IF(ISBLANK(B387),"",TEXT(B387,"mmm"))</x:f>
        <x:v>Jun</x:v>
      </x:c>
      <x:c r="AB387" s="9" t="n">
        <x:f>IF(ISBLANK(B387),"",YEAR(B387))</x:f>
        <x:v>2025</x:v>
      </x:c>
      <x:c r="AC387" s="10" t="str"/>
      <x:c r="AD387" t="str">
        <x:f>IF(AND(U387="Completed",T387="Paid",ISERROR(SEARCH("INVALID",AC387)),ISERROR(SEARCH("REVIEW",AC387))),"Include","Exclude")</x:f>
        <x:v>Include</x:v>
      </x:c>
      <x:c r="AE387" t="str">
        <x:f>IF(T387="Refunded","Refunded","")</x:f>
      </x:c>
    </x:row>
    <x:row r="388">
      <x:c r="A388" t="str">
        <x:v>ORD-2025-10387</x:v>
      </x:c>
      <x:c r="B388" s="5" t="n">
        <x:v>45700</x:v>
      </x:c>
      <x:c r="C388" s="5" t="n">
        <x:v>45702</x:v>
      </x:c>
      <x:c r="D388" t="str">
        <x:v>CUST-4222</x:v>
      </x:c>
      <x:c r="E388" t="str">
        <x:v>Sneha Kapoor</x:v>
      </x:c>
      <x:c r="F388" t="str">
        <x:v>Consumer</x:v>
      </x:c>
      <x:c r="G388" t="str">
        <x:v>West</x:v>
      </x:c>
      <x:c r="H388" t="str">
        <x:v>Maharashtra</x:v>
      </x:c>
      <x:c r="I388" t="str">
        <x:v>Mumbai</x:v>
      </x:c>
      <x:c r="J388" t="str">
        <x:v>Furniture</x:v>
      </x:c>
      <x:c r="K388" t="str">
        <x:v>Furnishings</x:v>
      </x:c>
      <x:c r="L388" t="str">
        <x:v>Prime Furnishings 597</x:v>
      </x:c>
      <x:c r="M388" t="str">
        <x:v>Second Class</x:v>
      </x:c>
      <x:c r="N388" t="n">
        <x:v>8</x:v>
      </x:c>
      <x:c r="O388" s="7" t="n">
        <x:v>2786.66</x:v>
      </x:c>
      <x:c r="P388" s="6" t="n">
        <x:v>0.1</x:v>
      </x:c>
      <x:c r="Q388" s="7" t="n">
        <x:v>20063.95</x:v>
      </x:c>
      <x:c r="R388" s="7" t="n">
        <x:v>14363.38</x:v>
      </x:c>
      <x:c r="S388" s="7" t="n">
        <x:v>5700.57</x:v>
      </x:c>
      <x:c r="T388" t="str">
        <x:v>Paid</x:v>
      </x:c>
      <x:c r="U388" t="str">
        <x:v>Completed</x:v>
      </x:c>
      <x:c r="V388" s="6" t="n">
        <x:f>IF(ISBLANK(P388),IF(AND(ISNUMBER(N388),N388&gt;0,ISNUMBER(O388),O388&gt;=0,ISNUMBER(Q388),Q388&gt;=0,ISNUMBER(R388),R388&gt;=0,ISNUMBER(S388)),0,""),P388)</x:f>
        <x:v>0.1</x:v>
      </x:c>
      <x:c r="W388" s="7" t="n">
        <x:f>IF(ISBLANK(V388),"",N388*O388*(1-V388))</x:f>
        <x:v>20063.952</x:v>
      </x:c>
      <x:c r="X388" s="7" t="n">
        <x:f>IF(OR(ISBLANK(W388),ISBLANK(R388)),"",W388-R388)</x:f>
        <x:v>5700.572000000002</x:v>
      </x:c>
      <x:c r="Y388" s="8" t="n">
        <x:f>IF(OR(ISBLANK(W388),W388=0),"",X388/W388)</x:f>
        <x:v>0.2841200975759911</x:v>
      </x:c>
      <x:c r="Z388" s="9" t="n">
        <x:f>IF(OR(ISBLANK(B388),ISBLANK(C388)),"",C388-B388)</x:f>
        <x:v>2</x:v>
      </x:c>
      <x:c r="AA388" t="str">
        <x:f>IF(ISBLANK(B388),"",TEXT(B388,"mmm"))</x:f>
        <x:v>Feb</x:v>
      </x:c>
      <x:c r="AB388" s="9" t="n">
        <x:f>IF(ISBLANK(B388),"",YEAR(B388))</x:f>
        <x:v>2025</x:v>
      </x:c>
      <x:c r="AC388" s="10" t="str"/>
      <x:c r="AD388" t="str">
        <x:f>IF(AND(U388="Completed",T388="Paid",ISERROR(SEARCH("INVALID",AC388)),ISERROR(SEARCH("REVIEW",AC388))),"Include","Exclude")</x:f>
        <x:v>Include</x:v>
      </x:c>
      <x:c r="AE388" t="str">
        <x:f>IF(T388="Refunded","Refunded","")</x:f>
      </x:c>
    </x:row>
    <x:row r="389">
      <x:c r="A389" t="str">
        <x:v>ORD-2025-10388</x:v>
      </x:c>
      <x:c r="B389" s="5" t="n">
        <x:v>45879</x:v>
      </x:c>
      <x:c r="C389" s="5" t="n">
        <x:v>45882</x:v>
      </x:c>
      <x:c r="D389" t="str">
        <x:v>CUST-1053</x:v>
      </x:c>
      <x:c r="E389" t="str">
        <x:v>Priya Menon</x:v>
      </x:c>
      <x:c r="F389" t="str">
        <x:v>Small Business</x:v>
      </x:c>
      <x:c r="G389" t="str">
        <x:v>West</x:v>
      </x:c>
      <x:c r="H389" t="str">
        <x:v>Madhya Pradesh</x:v>
      </x:c>
      <x:c r="I389" t="str">
        <x:v>Indore</x:v>
      </x:c>
      <x:c r="J389" t="str">
        <x:v>Furniture</x:v>
      </x:c>
      <x:c r="K389" t="str">
        <x:v>Chairs</x:v>
      </x:c>
      <x:c r="L389" t="str">
        <x:v>Prime Chairs 196</x:v>
      </x:c>
      <x:c r="M389" t="str">
        <x:v>Standard Class</x:v>
      </x:c>
      <x:c r="N389" t="n">
        <x:v>5</x:v>
      </x:c>
      <x:c r="O389" s="7" t="n">
        <x:v>352.86</x:v>
      </x:c>
      <x:c r="P389" s="6" t="n">
        <x:v>0</x:v>
      </x:c>
      <x:c r="Q389" s="7" t="n">
        <x:v>1764.3</x:v>
      </x:c>
      <x:c r="R389" s="7" t="n">
        <x:v>1332.49</x:v>
      </x:c>
      <x:c r="S389" s="7" t="n">
        <x:v>431.81</x:v>
      </x:c>
      <x:c r="T389" t="str">
        <x:v>Pending</x:v>
      </x:c>
      <x:c r="U389" t="str">
        <x:v>Cancelled</x:v>
      </x:c>
      <x:c r="V389" s="6" t="n">
        <x:f>IF(ISBLANK(P389),IF(AND(ISNUMBER(N389),N389&gt;0,ISNUMBER(O389),O389&gt;=0,ISNUMBER(Q389),Q389&gt;=0,ISNUMBER(R389),R389&gt;=0,ISNUMBER(S389)),0,""),P389)</x:f>
        <x:v>0</x:v>
      </x:c>
      <x:c r="W389" s="7" t="n">
        <x:f>IF(ISBLANK(V389),"",N389*O389*(1-V389))</x:f>
        <x:v>1764.3000000000002</x:v>
      </x:c>
      <x:c r="X389" s="7" t="n">
        <x:f>IF(OR(ISBLANK(W389),ISBLANK(R389)),"",W389-R389)</x:f>
        <x:v>431.8100000000002</x:v>
      </x:c>
      <x:c r="Y389" s="8" t="n">
        <x:f>IF(OR(ISBLANK(W389),W389=0),"",X389/W389)</x:f>
        <x:v>0.24474862551720236</x:v>
      </x:c>
      <x:c r="Z389" s="9" t="n">
        <x:f>IF(OR(ISBLANK(B389),ISBLANK(C389)),"",C389-B389)</x:f>
        <x:v>3</x:v>
      </x:c>
      <x:c r="AA389" t="str">
        <x:f>IF(ISBLANK(B389),"",TEXT(B389,"mmm"))</x:f>
        <x:v>Aug</x:v>
      </x:c>
      <x:c r="AB389" s="9" t="n">
        <x:f>IF(ISBLANK(B389),"",YEAR(B389))</x:f>
        <x:v>2025</x:v>
      </x:c>
      <x:c r="AC389" s="10" t="str">
        <x:v>EXCLUDE: Cancelled order</x:v>
      </x:c>
      <x:c r="AD389" t="str">
        <x:f>IF(AND(U389="Completed",T389="Paid",ISERROR(SEARCH("INVALID",AC389)),ISERROR(SEARCH("REVIEW",AC389))),"Include","Exclude")</x:f>
        <x:v>Exclude</x:v>
      </x:c>
      <x:c r="AE389" t="str">
        <x:f>IF(T389="Refunded","Refunded","")</x:f>
      </x:c>
    </x:row>
    <x:row r="390">
      <x:c r="A390" t="str">
        <x:v>ORD-2024-10389</x:v>
      </x:c>
      <x:c r="B390" s="5" t="n">
        <x:v>45425</x:v>
      </x:c>
      <x:c r="C390" s="5" t="n">
        <x:v>45430</x:v>
      </x:c>
      <x:c r="D390" t="str">
        <x:v>CUST-1457</x:v>
      </x:c>
      <x:c r="E390" t="str">
        <x:v>Isha Nair</x:v>
      </x:c>
      <x:c r="F390" t="str">
        <x:v>Small Business</x:v>
      </x:c>
      <x:c r="G390" t="str">
        <x:v>West</x:v>
      </x:c>
      <x:c r="H390" t="str">
        <x:v>Gujarat</x:v>
      </x:c>
      <x:c r="I390" t="str">
        <x:v>Ahmedabad</x:v>
      </x:c>
      <x:c r="J390" t="str">
        <x:v>Furniture</x:v>
      </x:c>
      <x:c r="K390" t="str">
        <x:v>Chairs</x:v>
      </x:c>
      <x:c r="L390" t="str">
        <x:v>Elite Chairs 639</x:v>
      </x:c>
      <x:c r="M390" t="str">
        <x:v>Standard Class</x:v>
      </x:c>
      <x:c r="N390" t="n">
        <x:v>3</x:v>
      </x:c>
      <x:c r="O390" s="7" t="n">
        <x:v>3128.59</x:v>
      </x:c>
      <x:c r="P390" s="6" t="n">
        <x:v>0</x:v>
      </x:c>
      <x:c r="Q390" s="7" t="n">
        <x:v>9385.77</x:v>
      </x:c>
      <x:c r="R390" s="7" t="n">
        <x:v>6872.44</x:v>
      </x:c>
      <x:c r="S390" s="7" t="n">
        <x:v>2783.66</x:v>
      </x:c>
      <x:c r="T390" t="str">
        <x:v>Paid</x:v>
      </x:c>
      <x:c r="U390" t="str">
        <x:v>Completed</x:v>
      </x:c>
      <x:c r="V390" s="6" t="n">
        <x:f>IF(ISBLANK(P390),IF(AND(ISNUMBER(N390),N390&gt;0,ISNUMBER(O390),O390&gt;=0,ISNUMBER(Q390),Q390&gt;=0,ISNUMBER(R390),R390&gt;=0,ISNUMBER(S390)),0,""),P390)</x:f>
        <x:v>0</x:v>
      </x:c>
      <x:c r="W390" s="7" t="n">
        <x:f>IF(ISBLANK(V390),"",N390*O390*(1-V390))</x:f>
        <x:v>9385.77</x:v>
      </x:c>
      <x:c r="X390" s="7" t="n">
        <x:f>IF(OR(ISBLANK(W390),ISBLANK(R390)),"",W390-R390)</x:f>
        <x:v>2513.330000000001</x:v>
      </x:c>
      <x:c r="Y390" s="8" t="n">
        <x:f>IF(OR(ISBLANK(W390),W390=0),"",X390/W390)</x:f>
        <x:v>0.2677809066277994</x:v>
      </x:c>
      <x:c r="Z390" s="9" t="n">
        <x:f>IF(OR(ISBLANK(B390),ISBLANK(C390)),"",C390-B390)</x:f>
        <x:v>5</x:v>
      </x:c>
      <x:c r="AA390" t="str">
        <x:f>IF(ISBLANK(B390),"",TEXT(B390,"mmm"))</x:f>
        <x:v>May</x:v>
      </x:c>
      <x:c r="AB390" s="9" t="n">
        <x:f>IF(ISBLANK(B390),"",YEAR(B390))</x:f>
        <x:v>2024</x:v>
      </x:c>
      <x:c r="AC390" s="10" t="str"/>
      <x:c r="AD390" t="str">
        <x:f>IF(AND(U390="Completed",T390="Paid",ISERROR(SEARCH("INVALID",AC390)),ISERROR(SEARCH("REVIEW",AC390))),"Include","Exclude")</x:f>
        <x:v>Include</x:v>
      </x:c>
      <x:c r="AE390" t="str">
        <x:f>IF(T390="Refunded","Refunded","")</x:f>
      </x:c>
    </x:row>
    <x:row r="391">
      <x:c r="A391" t="str">
        <x:v>ORD-2024-10390</x:v>
      </x:c>
      <x:c r="B391" s="5" t="n">
        <x:v>45387</x:v>
      </x:c>
      <x:c r="C391" s="5" t="n">
        <x:v>45395</x:v>
      </x:c>
      <x:c r="D391" t="str">
        <x:v>CUST-3930</x:v>
      </x:c>
      <x:c r="E391" t="str">
        <x:v>Diya Patel</x:v>
      </x:c>
      <x:c r="F391" t="str">
        <x:v>Corporate</x:v>
      </x:c>
      <x:c r="G391" t="str">
        <x:v>West</x:v>
      </x:c>
      <x:c r="H391" t="str">
        <x:v>Gujarat</x:v>
      </x:c>
      <x:c r="I391" t="str">
        <x:v>Ahmedabad</x:v>
      </x:c>
      <x:c r="J391" t="str">
        <x:v>Technology</x:v>
      </x:c>
      <x:c r="K391" t="str">
        <x:v>Machines</x:v>
      </x:c>
      <x:c r="L391" t="str">
        <x:v>Elite Machines 563</x:v>
      </x:c>
      <x:c r="M391" t="str">
        <x:v>Second Class</x:v>
      </x:c>
      <x:c r="N391" t="n">
        <x:v>5</x:v>
      </x:c>
      <x:c r="O391" s="7" t="n">
        <x:v>1937.54</x:v>
      </x:c>
      <x:c r="P391" s="6" t="n">
        <x:v>0.2</x:v>
      </x:c>
      <x:c r="Q391" s="7" t="n">
        <x:v>7750.16</x:v>
      </x:c>
      <x:c r="R391" s="7" t="n">
        <x:v>5434.3</x:v>
      </x:c>
      <x:c r="S391" s="7" t="n">
        <x:v>2315.86</x:v>
      </x:c>
      <x:c r="T391" t="str">
        <x:v>Pending</x:v>
      </x:c>
      <x:c r="U391" t="str">
        <x:v>Cancelled</x:v>
      </x:c>
      <x:c r="V391" s="6" t="n">
        <x:f>IF(ISBLANK(P391),IF(AND(ISNUMBER(N391),N391&gt;0,ISNUMBER(O391),O391&gt;=0,ISNUMBER(Q391),Q391&gt;=0,ISNUMBER(R391),R391&gt;=0,ISNUMBER(S391)),0,""),P391)</x:f>
        <x:v>0.2</x:v>
      </x:c>
      <x:c r="W391" s="7" t="n">
        <x:f>IF(ISBLANK(V391),"",N391*O391*(1-V391))</x:f>
        <x:v>7750.160000000001</x:v>
      </x:c>
      <x:c r="X391" s="7" t="n">
        <x:f>IF(OR(ISBLANK(W391),ISBLANK(R391)),"",W391-R391)</x:f>
        <x:v>2315.8600000000006</x:v>
      </x:c>
      <x:c r="Y391" s="8" t="n">
        <x:f>IF(OR(ISBLANK(W391),W391=0),"",X391/W391)</x:f>
        <x:v>0.29881447608823564</x:v>
      </x:c>
      <x:c r="Z391" s="9" t="n">
        <x:f>IF(OR(ISBLANK(B391),ISBLANK(C391)),"",C391-B391)</x:f>
        <x:v>8</x:v>
      </x:c>
      <x:c r="AA391" t="str">
        <x:f>IF(ISBLANK(B391),"",TEXT(B391,"mmm"))</x:f>
        <x:v>Apr</x:v>
      </x:c>
      <x:c r="AB391" s="9" t="n">
        <x:f>IF(ISBLANK(B391),"",YEAR(B391))</x:f>
        <x:v>2024</x:v>
      </x:c>
      <x:c r="AC391" s="10" t="str">
        <x:v>EXCLUDE: Cancelled order</x:v>
      </x:c>
      <x:c r="AD391" t="str">
        <x:f>IF(AND(U391="Completed",T391="Paid",ISERROR(SEARCH("INVALID",AC391)),ISERROR(SEARCH("REVIEW",AC391))),"Include","Exclude")</x:f>
        <x:v>Exclude</x:v>
      </x:c>
      <x:c r="AE391" t="str">
        <x:f>IF(T391="Refunded","Refunded","")</x:f>
      </x:c>
    </x:row>
    <x:row r="392">
      <x:c r="A392" t="str">
        <x:v>ORD-2024-10391</x:v>
      </x:c>
      <x:c r="B392" s="5" t="n">
        <x:v>45602</x:v>
      </x:c>
      <x:c r="C392" s="5" t="n">
        <x:v>45607</x:v>
      </x:c>
      <x:c r="D392" t="str">
        <x:v>CUST-7853</x:v>
      </x:c>
      <x:c r="E392" t="str">
        <x:v>Isha Nair</x:v>
      </x:c>
      <x:c r="F392" t="str">
        <x:v>Consumer</x:v>
      </x:c>
      <x:c r="G392" t="str">
        <x:v>West</x:v>
      </x:c>
      <x:c r="H392" t="str">
        <x:v>Gujarat</x:v>
      </x:c>
      <x:c r="I392" t="str">
        <x:v>Ahmedabad</x:v>
      </x:c>
      <x:c r="J392" t="str">
        <x:v>Furniture</x:v>
      </x:c>
      <x:c r="K392" t="str">
        <x:v>Furnishings</x:v>
      </x:c>
      <x:c r="L392" t="str">
        <x:v>Pro Furnishings 281</x:v>
      </x:c>
      <x:c r="M392" t="str">
        <x:v>Standard Class</x:v>
      </x:c>
      <x:c r="N392" t="n">
        <x:v>4</x:v>
      </x:c>
      <x:c r="O392" s="7" t="n">
        <x:v>1917.26</x:v>
      </x:c>
      <x:c r="P392" s="6" t="n">
        <x:v>0.2</x:v>
      </x:c>
      <x:c r="Q392" s="7" t="n">
        <x:v>6135.23</x:v>
      </x:c>
      <x:c r="R392" s="7" t="n">
        <x:v>3439.79</x:v>
      </x:c>
      <x:c r="S392" s="7" t="n">
        <x:v>2695.44</x:v>
      </x:c>
      <x:c r="T392" t="str">
        <x:v>Paid</x:v>
      </x:c>
      <x:c r="U392" t="str">
        <x:v>Completed</x:v>
      </x:c>
      <x:c r="V392" s="6" t="n">
        <x:f>IF(ISBLANK(P392),IF(AND(ISNUMBER(N392),N392&gt;0,ISNUMBER(O392),O392&gt;=0,ISNUMBER(Q392),Q392&gt;=0,ISNUMBER(R392),R392&gt;=0,ISNUMBER(S392)),0,""),P392)</x:f>
        <x:v>0.2</x:v>
      </x:c>
      <x:c r="W392" s="7" t="n">
        <x:f>IF(ISBLANK(V392),"",N392*O392*(1-V392))</x:f>
        <x:v>6135.232</x:v>
      </x:c>
      <x:c r="X392" s="7" t="n">
        <x:f>IF(OR(ISBLANK(W392),ISBLANK(R392)),"",W392-R392)</x:f>
        <x:v>2695.442</x:v>
      </x:c>
      <x:c r="Y392" s="8" t="n">
        <x:f>IF(OR(ISBLANK(W392),W392=0),"",X392/W392)</x:f>
        <x:v>0.43933823529411764</x:v>
      </x:c>
      <x:c r="Z392" s="9" t="n">
        <x:f>IF(OR(ISBLANK(B392),ISBLANK(C392)),"",C392-B392)</x:f>
        <x:v>5</x:v>
      </x:c>
      <x:c r="AA392" t="str">
        <x:f>IF(ISBLANK(B392),"",TEXT(B392,"mmm"))</x:f>
        <x:v>Nov</x:v>
      </x:c>
      <x:c r="AB392" s="9" t="n">
        <x:f>IF(ISBLANK(B392),"",YEAR(B392))</x:f>
        <x:v>2024</x:v>
      </x:c>
      <x:c r="AC392" s="10" t="str"/>
      <x:c r="AD392" t="str">
        <x:f>IF(AND(U392="Completed",T392="Paid",ISERROR(SEARCH("INVALID",AC392)),ISERROR(SEARCH("REVIEW",AC392))),"Include","Exclude")</x:f>
        <x:v>Include</x:v>
      </x:c>
      <x:c r="AE392" t="str">
        <x:f>IF(T392="Refunded","Refunded","")</x:f>
      </x:c>
    </x:row>
    <x:row r="393">
      <x:c r="A393" t="str">
        <x:v>ORD-2025-10392</x:v>
      </x:c>
      <x:c r="B393" s="5" t="n">
        <x:v>45702</x:v>
      </x:c>
      <x:c r="C393" s="5" t="n">
        <x:v>45702</x:v>
      </x:c>
      <x:c r="D393" t="str">
        <x:v>CUST-2267</x:v>
      </x:c>
      <x:c r="E393" t="str">
        <x:v>Diya Patel</x:v>
      </x:c>
      <x:c r="F393" t="str">
        <x:v>Consumer</x:v>
      </x:c>
      <x:c r="G393" t="str">
        <x:v>South</x:v>
      </x:c>
      <x:c r="H393" t="str">
        <x:v>Karnataka</x:v>
      </x:c>
      <x:c r="I393" t="str">
        <x:v>Bengaluru</x:v>
      </x:c>
      <x:c r="J393" t="str">
        <x:v>Office Supplies</x:v>
      </x:c>
      <x:c r="K393" t="str">
        <x:v>Storage</x:v>
      </x:c>
      <x:c r="L393" t="str">
        <x:v>Eco Storage 285</x:v>
      </x:c>
      <x:c r="M393" t="str">
        <x:v>First Class</x:v>
      </x:c>
      <x:c r="N393" t="n">
        <x:v>1</x:v>
      </x:c>
      <x:c r="O393" s="7" t="n">
        <x:v>714.43</x:v>
      </x:c>
      <x:c r="P393" s="6" t="n">
        <x:v>0</x:v>
      </x:c>
      <x:c r="Q393" s="7" t="n">
        <x:v>714.43</x:v>
      </x:c>
      <x:c r="R393" s="7" t="n">
        <x:v>565.44</x:v>
      </x:c>
      <x:c r="S393" s="7" t="n">
        <x:v>148.99</x:v>
      </x:c>
      <x:c r="T393" t="str">
        <x:v>Paid</x:v>
      </x:c>
      <x:c r="U393" t="str">
        <x:v>Completed</x:v>
      </x:c>
      <x:c r="V393" s="6" t="n">
        <x:f>IF(ISBLANK(P393),IF(AND(ISNUMBER(N393),N393&gt;0,ISNUMBER(O393),O393&gt;=0,ISNUMBER(Q393),Q393&gt;=0,ISNUMBER(R393),R393&gt;=0,ISNUMBER(S393)),0,""),P393)</x:f>
        <x:v>0</x:v>
      </x:c>
      <x:c r="W393" s="7" t="n">
        <x:f>IF(ISBLANK(V393),"",N393*O393*(1-V393))</x:f>
        <x:v>714.43</x:v>
      </x:c>
      <x:c r="X393" s="7" t="n">
        <x:f>IF(OR(ISBLANK(W393),ISBLANK(R393)),"",W393-R393)</x:f>
        <x:v>148.9899999999999</x:v>
      </x:c>
      <x:c r="Y393" s="8" t="n">
        <x:f>IF(OR(ISBLANK(W393),W393=0),"",X393/W393)</x:f>
        <x:v>0.20854387413742412</x:v>
      </x:c>
      <x:c r="Z393" s="9" t="n">
        <x:f>IF(OR(ISBLANK(B393),ISBLANK(C393)),"",C393-B393)</x:f>
        <x:v>0</x:v>
      </x:c>
      <x:c r="AA393" t="str">
        <x:f>IF(ISBLANK(B393),"",TEXT(B393,"mmm"))</x:f>
        <x:v>Feb</x:v>
      </x:c>
      <x:c r="AB393" s="9" t="n">
        <x:f>IF(ISBLANK(B393),"",YEAR(B393))</x:f>
        <x:v>2025</x:v>
      </x:c>
      <x:c r="AC393" s="10" t="str"/>
      <x:c r="AD393" t="str">
        <x:f>IF(AND(U393="Completed",T393="Paid",ISERROR(SEARCH("INVALID",AC393)),ISERROR(SEARCH("REVIEW",AC393))),"Include","Exclude")</x:f>
        <x:v>Include</x:v>
      </x:c>
      <x:c r="AE393" t="str">
        <x:f>IF(T393="Refunded","Refunded","")</x:f>
      </x:c>
    </x:row>
    <x:row r="394">
      <x:c r="A394" t="str">
        <x:v>ORD-2024-10393</x:v>
      </x:c>
      <x:c r="B394" s="5" t="n">
        <x:v>45341</x:v>
      </x:c>
      <x:c r="C394" s="5" t="n">
        <x:v>45344</x:v>
      </x:c>
      <x:c r="D394" t="str">
        <x:v>CUST-6866</x:v>
      </x:c>
      <x:c r="E394" t="str">
        <x:v>Aditi Sen</x:v>
      </x:c>
      <x:c r="F394" t="str">
        <x:v>Small Business</x:v>
      </x:c>
      <x:c r="G394" t="str">
        <x:v>South</x:v>
      </x:c>
      <x:c r="H394" t="str">
        <x:v>Kerala</x:v>
      </x:c>
      <x:c r="I394" t="str">
        <x:v>Kochi</x:v>
      </x:c>
      <x:c r="J394" t="str">
        <x:v>Furniture</x:v>
      </x:c>
      <x:c r="K394" t="str">
        <x:v>Furnishings</x:v>
      </x:c>
      <x:c r="L394" t="str">
        <x:v>Classic Furnishings 746</x:v>
      </x:c>
      <x:c r="M394" t="str">
        <x:v>Same Day</x:v>
      </x:c>
      <x:c r="N394" t="n">
        <x:v>9</x:v>
      </x:c>
      <x:c r="O394" s="7" t="n">
        <x:v>4053.01</x:v>
      </x:c>
      <x:c r="P394" s="6" t="n">
        <x:v>0</x:v>
      </x:c>
      <x:c r="Q394" s="7" t="n">
        <x:v>36477.09</x:v>
      </x:c>
      <x:c r="R394" s="7" t="n">
        <x:v>24525.48</x:v>
      </x:c>
      <x:c r="S394" s="7" t="n">
        <x:v>11951.61</x:v>
      </x:c>
      <x:c r="T394" t="str">
        <x:v>Paid</x:v>
      </x:c>
      <x:c r="U394" t="str">
        <x:v>Completed</x:v>
      </x:c>
      <x:c r="V394" s="6" t="n">
        <x:f>IF(ISBLANK(P394),IF(AND(ISNUMBER(N394),N394&gt;0,ISNUMBER(O394),O394&gt;=0,ISNUMBER(Q394),Q394&gt;=0,ISNUMBER(R394),R394&gt;=0,ISNUMBER(S394)),0,""),P394)</x:f>
        <x:v>0</x:v>
      </x:c>
      <x:c r="W394" s="7" t="n">
        <x:f>IF(ISBLANK(V394),"",N394*O394*(1-V394))</x:f>
        <x:v>36477.090000000004</x:v>
      </x:c>
      <x:c r="X394" s="7" t="n">
        <x:f>IF(OR(ISBLANK(W394),ISBLANK(R394)),"",W394-R394)</x:f>
        <x:v>11951.610000000004</x:v>
      </x:c>
      <x:c r="Y394" s="8" t="n">
        <x:f>IF(OR(ISBLANK(W394),W394=0),"",X394/W394)</x:f>
        <x:v>0.32764702447481425</x:v>
      </x:c>
      <x:c r="Z394" s="9" t="n">
        <x:f>IF(OR(ISBLANK(B394),ISBLANK(C394)),"",C394-B394)</x:f>
        <x:v>3</x:v>
      </x:c>
      <x:c r="AA394" t="str">
        <x:f>IF(ISBLANK(B394),"",TEXT(B394,"mmm"))</x:f>
        <x:v>Feb</x:v>
      </x:c>
      <x:c r="AB394" s="9" t="n">
        <x:f>IF(ISBLANK(B394),"",YEAR(B394))</x:f>
        <x:v>2024</x:v>
      </x:c>
      <x:c r="AC394" s="10" t="str"/>
      <x:c r="AD394" t="str">
        <x:f>IF(AND(U394="Completed",T394="Paid",ISERROR(SEARCH("INVALID",AC394)),ISERROR(SEARCH("REVIEW",AC394))),"Include","Exclude")</x:f>
        <x:v>Include</x:v>
      </x:c>
      <x:c r="AE394" t="str">
        <x:f>IF(T394="Refunded","Refunded","")</x:f>
      </x:c>
    </x:row>
    <x:row r="395">
      <x:c r="A395" t="str">
        <x:v>ORD-2024-10394</x:v>
      </x:c>
      <x:c r="B395" s="5" t="n">
        <x:v>45527</x:v>
      </x:c>
      <x:c r="C395" s="5" t="n">
        <x:v>45533</x:v>
      </x:c>
      <x:c r="D395" t="str">
        <x:v>CUST-3160</x:v>
      </x:c>
      <x:c r="E395" t="str">
        <x:v>Mira Das</x:v>
      </x:c>
      <x:c r="F395" t="str">
        <x:v>Corporate</x:v>
      </x:c>
      <x:c r="G395" t="str">
        <x:v>North</x:v>
      </x:c>
      <x:c r="H395" t="str">
        <x:v>Uttar Pradesh</x:v>
      </x:c>
      <x:c r="I395" t="str">
        <x:v>Noida</x:v>
      </x:c>
      <x:c r="J395" t="str">
        <x:v>Office Supplies</x:v>
      </x:c>
      <x:c r="K395" t="str">
        <x:v>Labels</x:v>
      </x:c>
      <x:c r="L395" t="str">
        <x:v>Eco Labels 815</x:v>
      </x:c>
      <x:c r="M395" t="str">
        <x:v>Same Day</x:v>
      </x:c>
      <x:c r="N395" t="n">
        <x:v>2</x:v>
      </x:c>
      <x:c r="O395" s="7" t="n">
        <x:v>1936.91</x:v>
      </x:c>
      <x:c r="P395" s="6" t="n">
        <x:v>0.05</x:v>
      </x:c>
      <x:c r="Q395" s="7" t="n">
        <x:v>3680.13</x:v>
      </x:c>
      <x:c r="R395" s="7" t="n">
        <x:v>2967.46</x:v>
      </x:c>
      <x:c r="S395" s="7" t="n">
        <x:v>712.67</x:v>
      </x:c>
      <x:c r="T395" t="str">
        <x:v>Paid</x:v>
      </x:c>
      <x:c r="U395" t="str">
        <x:v>Completed</x:v>
      </x:c>
      <x:c r="V395" s="6" t="n">
        <x:f>IF(ISBLANK(P395),IF(AND(ISNUMBER(N395),N395&gt;0,ISNUMBER(O395),O395&gt;=0,ISNUMBER(Q395),Q395&gt;=0,ISNUMBER(R395),R395&gt;=0,ISNUMBER(S395)),0,""),P395)</x:f>
        <x:v>0.05</x:v>
      </x:c>
      <x:c r="W395" s="7" t="n">
        <x:f>IF(ISBLANK(V395),"",N395*O395*(1-V395))</x:f>
        <x:v>3680.129</x:v>
      </x:c>
      <x:c r="X395" s="7" t="n">
        <x:f>IF(OR(ISBLANK(W395),ISBLANK(R395)),"",W395-R395)</x:f>
        <x:v>712.6689999999999</x:v>
      </x:c>
      <x:c r="Y395" s="8" t="n">
        <x:f>IF(OR(ISBLANK(W395),W395=0),"",X395/W395)</x:f>
        <x:v>0.19365326595888346</x:v>
      </x:c>
      <x:c r="Z395" s="9" t="n">
        <x:f>IF(OR(ISBLANK(B395),ISBLANK(C395)),"",C395-B395)</x:f>
        <x:v>6</x:v>
      </x:c>
      <x:c r="AA395" t="str">
        <x:f>IF(ISBLANK(B395),"",TEXT(B395,"mmm"))</x:f>
        <x:v>Aug</x:v>
      </x:c>
      <x:c r="AB395" s="9" t="n">
        <x:f>IF(ISBLANK(B395),"",YEAR(B395))</x:f>
        <x:v>2024</x:v>
      </x:c>
      <x:c r="AC395" s="10" t="str"/>
      <x:c r="AD395" t="str">
        <x:f>IF(AND(U395="Completed",T395="Paid",ISERROR(SEARCH("INVALID",AC395)),ISERROR(SEARCH("REVIEW",AC395))),"Include","Exclude")</x:f>
        <x:v>Include</x:v>
      </x:c>
      <x:c r="AE395" t="str">
        <x:f>IF(T395="Refunded","Refunded","")</x:f>
      </x:c>
    </x:row>
    <x:row r="396">
      <x:c r="A396" t="str">
        <x:v>ORD-2024-10395</x:v>
      </x:c>
      <x:c r="B396" s="5" t="n">
        <x:v>45385</x:v>
      </x:c>
      <x:c r="C396" s="5" t="n">
        <x:v>45386</x:v>
      </x:c>
      <x:c r="D396" t="str">
        <x:v>CUST-8444</x:v>
      </x:c>
      <x:c r="E396" t="str">
        <x:v>Kabir Singh</x:v>
      </x:c>
      <x:c r="F396" t="str">
        <x:v>Consumer</x:v>
      </x:c>
      <x:c r="G396" t="str">
        <x:v>West</x:v>
      </x:c>
      <x:c r="H396" t="str">
        <x:v>Maharashtra</x:v>
      </x:c>
      <x:c r="I396" t="str">
        <x:v>Mumbai</x:v>
      </x:c>
      <x:c r="J396" t="str">
        <x:v>Furniture</x:v>
      </x:c>
      <x:c r="K396" t="str">
        <x:v>Furnishings</x:v>
      </x:c>
      <x:c r="L396" t="str">
        <x:v>Prime Furnishings 879</x:v>
      </x:c>
      <x:c r="M396" t="str">
        <x:v>First Class</x:v>
      </x:c>
      <x:c r="N396" t="n">
        <x:v>7</x:v>
      </x:c>
      <x:c r="O396" s="7" t="n">
        <x:v>3945.21</x:v>
      </x:c>
      <x:c r="P396" s="6" t="n">
        <x:v>0</x:v>
      </x:c>
      <x:c r="Q396" s="7" t="n">
        <x:v>27616.47</x:v>
      </x:c>
      <x:c r="R396" s="7" t="n">
        <x:v>21225.26</x:v>
      </x:c>
      <x:c r="S396" s="7" t="n">
        <x:v>6391.21</x:v>
      </x:c>
      <x:c r="T396" t="str">
        <x:v>Paid</x:v>
      </x:c>
      <x:c r="U396" t="str">
        <x:v>Completed</x:v>
      </x:c>
      <x:c r="V396" s="6" t="n">
        <x:f>IF(ISBLANK(P396),IF(AND(ISNUMBER(N396),N396&gt;0,ISNUMBER(O396),O396&gt;=0,ISNUMBER(Q396),Q396&gt;=0,ISNUMBER(R396),R396&gt;=0,ISNUMBER(S396)),0,""),P396)</x:f>
        <x:v>0</x:v>
      </x:c>
      <x:c r="W396" s="7" t="n">
        <x:f>IF(ISBLANK(V396),"",N396*O396*(1-V396))</x:f>
        <x:v>27616.47</x:v>
      </x:c>
      <x:c r="X396" s="7" t="n">
        <x:f>IF(OR(ISBLANK(W396),ISBLANK(R396)),"",W396-R396)</x:f>
        <x:v>6391.210000000003</x:v>
      </x:c>
      <x:c r="Y396" s="8" t="n">
        <x:f>IF(OR(ISBLANK(W396),W396=0),"",X396/W396)</x:f>
        <x:v>0.23142747787823725</x:v>
      </x:c>
      <x:c r="Z396" s="9" t="n">
        <x:f>IF(OR(ISBLANK(B396),ISBLANK(C396)),"",C396-B396)</x:f>
        <x:v>1</x:v>
      </x:c>
      <x:c r="AA396" t="str">
        <x:f>IF(ISBLANK(B396),"",TEXT(B396,"mmm"))</x:f>
        <x:v>Apr</x:v>
      </x:c>
      <x:c r="AB396" s="9" t="n">
        <x:f>IF(ISBLANK(B396),"",YEAR(B396))</x:f>
        <x:v>2024</x:v>
      </x:c>
      <x:c r="AC396" s="10" t="str"/>
      <x:c r="AD396" t="str">
        <x:f>IF(AND(U396="Completed",T396="Paid",ISERROR(SEARCH("INVALID",AC396)),ISERROR(SEARCH("REVIEW",AC396))),"Include","Exclude")</x:f>
        <x:v>Include</x:v>
      </x:c>
      <x:c r="AE396" t="str">
        <x:f>IF(T396="Refunded","Refunded","")</x:f>
      </x:c>
    </x:row>
    <x:row r="397">
      <x:c r="A397" t="str">
        <x:v>ORD-2024-10396</x:v>
      </x:c>
      <x:c r="B397" s="5" t="n">
        <x:v>45449</x:v>
      </x:c>
      <x:c r="C397" s="5" t="n">
        <x:v>45450</x:v>
      </x:c>
      <x:c r="D397" t="str">
        <x:v>CUST-4765</x:v>
      </x:c>
      <x:c r="E397" t="str">
        <x:v>Rahul Verma</x:v>
      </x:c>
      <x:c r="F397" t="str">
        <x:v>Home Office</x:v>
      </x:c>
      <x:c r="G397" t="str">
        <x:v>South</x:v>
      </x:c>
      <x:c r="H397" t="str">
        <x:v>Tamil Nadu</x:v>
      </x:c>
      <x:c r="I397" t="str">
        <x:v>Chennai</x:v>
      </x:c>
      <x:c r="J397" t="str">
        <x:v>Furniture</x:v>
      </x:c>
      <x:c r="K397" t="str">
        <x:v>Tables</x:v>
      </x:c>
      <x:c r="L397" t="str">
        <x:v>Pro Tables 142</x:v>
      </x:c>
      <x:c r="M397" t="str">
        <x:v>Same Day</x:v>
      </x:c>
      <x:c r="N397" t="n">
        <x:v>7</x:v>
      </x:c>
      <x:c r="O397" s="7" t="n">
        <x:v>861.91</x:v>
      </x:c>
      <x:c r="P397" s="6" t="n">
        <x:v>0.05</x:v>
      </x:c>
      <x:c r="Q397" s="7" t="n">
        <x:v>5731.7</x:v>
      </x:c>
      <x:c r="R397" s="7" t="n">
        <x:v>4115.56</x:v>
      </x:c>
      <x:c r="S397" s="7" t="n">
        <x:v>1616.14</x:v>
      </x:c>
      <x:c r="T397" t="str">
        <x:v>Paid</x:v>
      </x:c>
      <x:c r="U397" t="str">
        <x:v>Completed</x:v>
      </x:c>
      <x:c r="V397" s="6" t="n">
        <x:f>IF(ISBLANK(P397),IF(AND(ISNUMBER(N397),N397&gt;0,ISNUMBER(O397),O397&gt;=0,ISNUMBER(Q397),Q397&gt;=0,ISNUMBER(R397),R397&gt;=0,ISNUMBER(S397)),0,""),P397)</x:f>
        <x:v>0.05</x:v>
      </x:c>
      <x:c r="W397" s="7" t="n">
        <x:f>IF(ISBLANK(V397),"",N397*O397*(1-V397))</x:f>
        <x:v>5731.701499999999</x:v>
      </x:c>
      <x:c r="X397" s="7" t="n">
        <x:f>IF(OR(ISBLANK(W397),ISBLANK(R397)),"",W397-R397)</x:f>
        <x:v>1616.1414999999988</x:v>
      </x:c>
      <x:c r="Y397" s="8" t="n">
        <x:f>IF(OR(ISBLANK(W397),W397=0),"",X397/W397)</x:f>
        <x:v>0.2819653989308409</x:v>
      </x:c>
      <x:c r="Z397" s="9" t="n">
        <x:f>IF(OR(ISBLANK(B397),ISBLANK(C397)),"",C397-B397)</x:f>
        <x:v>1</x:v>
      </x:c>
      <x:c r="AA397" t="str">
        <x:f>IF(ISBLANK(B397),"",TEXT(B397,"mmm"))</x:f>
        <x:v>Jun</x:v>
      </x:c>
      <x:c r="AB397" s="9" t="n">
        <x:f>IF(ISBLANK(B397),"",YEAR(B397))</x:f>
        <x:v>2024</x:v>
      </x:c>
      <x:c r="AC397" s="10" t="str"/>
      <x:c r="AD397" t="str">
        <x:f>IF(AND(U397="Completed",T397="Paid",ISERROR(SEARCH("INVALID",AC397)),ISERROR(SEARCH("REVIEW",AC397))),"Include","Exclude")</x:f>
        <x:v>Include</x:v>
      </x:c>
      <x:c r="AE397" t="str">
        <x:f>IF(T397="Refunded","Refunded","")</x:f>
      </x:c>
    </x:row>
    <x:row r="398">
      <x:c r="A398" t="str">
        <x:v>ORD-2025-10397</x:v>
      </x:c>
      <x:c r="B398" s="5" t="n">
        <x:v>45761</x:v>
      </x:c>
      <x:c r="C398" s="5" t="n">
        <x:v>45769</x:v>
      </x:c>
      <x:c r="D398" t="str">
        <x:v>CUST-2280</x:v>
      </x:c>
      <x:c r="E398" t="str">
        <x:v>Aditi Sen</x:v>
      </x:c>
      <x:c r="F398" t="str">
        <x:v>Small Business</x:v>
      </x:c>
      <x:c r="G398" t="str">
        <x:v>South</x:v>
      </x:c>
      <x:c r="H398" t="str">
        <x:v>Karnataka</x:v>
      </x:c>
      <x:c r="I398" t="str">
        <x:v>Bengaluru</x:v>
      </x:c>
      <x:c r="J398" t="str">
        <x:v>Technology</x:v>
      </x:c>
      <x:c r="K398" t="str">
        <x:v>Machines</x:v>
      </x:c>
      <x:c r="L398" t="str">
        <x:v>Prime Machines 267</x:v>
      </x:c>
      <x:c r="M398" t="str">
        <x:v>Standard Class</x:v>
      </x:c>
      <x:c r="N398" t="n">
        <x:v>2</x:v>
      </x:c>
      <x:c r="O398" s="7" t="n">
        <x:v>638.73</x:v>
      </x:c>
      <x:c r="P398" s="6" t="n">
        <x:v>0.05</x:v>
      </x:c>
      <x:c r="Q398" s="7" t="n">
        <x:v>1213.59</x:v>
      </x:c>
      <x:c r="R398" s="7" t="n">
        <x:v>956.22</x:v>
      </x:c>
      <x:c r="S398" s="7" t="n">
        <x:v>257.37</x:v>
      </x:c>
      <x:c r="T398" t="str">
        <x:v>Paid</x:v>
      </x:c>
      <x:c r="U398" t="str">
        <x:v>Completed</x:v>
      </x:c>
      <x:c r="V398" s="6" t="n">
        <x:f>IF(ISBLANK(P398),IF(AND(ISNUMBER(N398),N398&gt;0,ISNUMBER(O398),O398&gt;=0,ISNUMBER(Q398),Q398&gt;=0,ISNUMBER(R398),R398&gt;=0,ISNUMBER(S398)),0,""),P398)</x:f>
        <x:v>0.05</x:v>
      </x:c>
      <x:c r="W398" s="7" t="n">
        <x:f>IF(ISBLANK(V398),"",N398*O398*(1-V398))</x:f>
        <x:v>1213.587</x:v>
      </x:c>
      <x:c r="X398" s="7" t="n">
        <x:f>IF(OR(ISBLANK(W398),ISBLANK(R398)),"",W398-R398)</x:f>
        <x:v>257.36699999999996</x:v>
      </x:c>
      <x:c r="Y398" s="8" t="n">
        <x:f>IF(OR(ISBLANK(W398),W398=0),"",X398/W398)</x:f>
        <x:v>0.2120713224515424</x:v>
      </x:c>
      <x:c r="Z398" s="9" t="n">
        <x:f>IF(OR(ISBLANK(B398),ISBLANK(C398)),"",C398-B398)</x:f>
        <x:v>8</x:v>
      </x:c>
      <x:c r="AA398" t="str">
        <x:f>IF(ISBLANK(B398),"",TEXT(B398,"mmm"))</x:f>
        <x:v>Apr</x:v>
      </x:c>
      <x:c r="AB398" s="9" t="n">
        <x:f>IF(ISBLANK(B398),"",YEAR(B398))</x:f>
        <x:v>2025</x:v>
      </x:c>
      <x:c r="AC398" s="10" t="str"/>
      <x:c r="AD398" t="str">
        <x:f>IF(AND(U398="Completed",T398="Paid",ISERROR(SEARCH("INVALID",AC398)),ISERROR(SEARCH("REVIEW",AC398))),"Include","Exclude")</x:f>
        <x:v>Include</x:v>
      </x:c>
      <x:c r="AE398" t="str">
        <x:f>IF(T398="Refunded","Refunded","")</x:f>
      </x:c>
    </x:row>
    <x:row r="399">
      <x:c r="A399" t="str">
        <x:v>ORD-2025-10398</x:v>
      </x:c>
      <x:c r="B399" s="5" t="n">
        <x:v>45817</x:v>
      </x:c>
      <x:c r="C399" s="5" t="n">
        <x:v>45818</x:v>
      </x:c>
      <x:c r="D399" t="str">
        <x:v>CUST-3177</x:v>
      </x:c>
      <x:c r="E399" t="str">
        <x:v>Sneha Kapoor</x:v>
      </x:c>
      <x:c r="F399" t="str">
        <x:v>Small Business</x:v>
      </x:c>
      <x:c r="G399" t="str">
        <x:v>North</x:v>
      </x:c>
      <x:c r="H399" t="str">
        <x:v>Uttar Pradesh</x:v>
      </x:c>
      <x:c r="I399" t="str">
        <x:v>Noida</x:v>
      </x:c>
      <x:c r="J399" t="str">
        <x:v>Furniture</x:v>
      </x:c>
      <x:c r="K399" t="str">
        <x:v>Tables</x:v>
      </x:c>
      <x:c r="L399" t="str">
        <x:v>Eco Tables 378</x:v>
      </x:c>
      <x:c r="M399" t="str">
        <x:v>Second Class</x:v>
      </x:c>
      <x:c r="N399" t="n">
        <x:v>2</x:v>
      </x:c>
      <x:c r="O399" s="7" t="n">
        <x:v>1731.88</x:v>
      </x:c>
      <x:c r="P399" s="6" t="n">
        <x:v>0</x:v>
      </x:c>
      <x:c r="Q399" s="7" t="n">
        <x:v>3463.76</x:v>
      </x:c>
      <x:c r="R399" s="7" t="n">
        <x:v>2143.74</x:v>
      </x:c>
      <x:c r="S399" s="7" t="n">
        <x:v>1320.02</x:v>
      </x:c>
      <x:c r="T399" t="str">
        <x:v>Paid</x:v>
      </x:c>
      <x:c r="U399" t="str">
        <x:v>Completed</x:v>
      </x:c>
      <x:c r="V399" s="6" t="n">
        <x:f>IF(ISBLANK(P399),IF(AND(ISNUMBER(N399),N399&gt;0,ISNUMBER(O399),O399&gt;=0,ISNUMBER(Q399),Q399&gt;=0,ISNUMBER(R399),R399&gt;=0,ISNUMBER(S399)),0,""),P399)</x:f>
        <x:v>0</x:v>
      </x:c>
      <x:c r="W399" s="7" t="n">
        <x:f>IF(ISBLANK(V399),"",N399*O399*(1-V399))</x:f>
        <x:v>3463.76</x:v>
      </x:c>
      <x:c r="X399" s="7" t="n">
        <x:f>IF(OR(ISBLANK(W399),ISBLANK(R399)),"",W399-R399)</x:f>
        <x:v>1320.0200000000004</x:v>
      </x:c>
      <x:c r="Y399" s="8" t="n">
        <x:f>IF(OR(ISBLANK(W399),W399=0),"",X399/W399)</x:f>
        <x:v>0.3810945331085296</x:v>
      </x:c>
      <x:c r="Z399" s="9" t="n">
        <x:f>IF(OR(ISBLANK(B399),ISBLANK(C399)),"",C399-B399)</x:f>
        <x:v>1</x:v>
      </x:c>
      <x:c r="AA399" t="str">
        <x:f>IF(ISBLANK(B399),"",TEXT(B399,"mmm"))</x:f>
        <x:v>Jun</x:v>
      </x:c>
      <x:c r="AB399" s="9" t="n">
        <x:f>IF(ISBLANK(B399),"",YEAR(B399))</x:f>
        <x:v>2025</x:v>
      </x:c>
      <x:c r="AC399" s="10" t="str"/>
      <x:c r="AD399" t="str">
        <x:f>IF(AND(U399="Completed",T399="Paid",ISERROR(SEARCH("INVALID",AC399)),ISERROR(SEARCH("REVIEW",AC399))),"Include","Exclude")</x:f>
        <x:v>Include</x:v>
      </x:c>
      <x:c r="AE399" t="str">
        <x:f>IF(T399="Refunded","Refunded","")</x:f>
      </x:c>
    </x:row>
    <x:row r="400">
      <x:c r="A400" t="str">
        <x:v>ORD-2024-10399</x:v>
      </x:c>
      <x:c r="B400" s="5" t="n">
        <x:v>45492</x:v>
      </x:c>
      <x:c r="C400" s="5" t="n">
        <x:v>45499</x:v>
      </x:c>
      <x:c r="D400" t="str">
        <x:v>CUST-4718</x:v>
      </x:c>
      <x:c r="E400" t="str">
        <x:v>Vikram Iyer</x:v>
      </x:c>
      <x:c r="F400" t="str">
        <x:v>Corporate</x:v>
      </x:c>
      <x:c r="G400" t="str">
        <x:v>North</x:v>
      </x:c>
      <x:c r="H400" t="str">
        <x:v>Punjab</x:v>
      </x:c>
      <x:c r="I400" t="str">
        <x:v>Ludhiana</x:v>
      </x:c>
      <x:c r="J400" t="str">
        <x:v>Technology</x:v>
      </x:c>
      <x:c r="K400" t="str">
        <x:v>Machines</x:v>
      </x:c>
      <x:c r="L400" t="str">
        <x:v>Elite Machines 523</x:v>
      </x:c>
      <x:c r="M400" t="str">
        <x:v>Same Day</x:v>
      </x:c>
      <x:c r="N400" t="n">
        <x:v>2</x:v>
      </x:c>
      <x:c r="O400" s="7" t="n">
        <x:v>1263.65</x:v>
      </x:c>
      <x:c r="P400" s="6" t="n">
        <x:v>0.2</x:v>
      </x:c>
      <x:c r="Q400" s="7" t="n">
        <x:v>2021.84</x:v>
      </x:c>
      <x:c r="R400" s="7" t="n">
        <x:v>1355.22</x:v>
      </x:c>
      <x:c r="S400" s="7" t="n">
        <x:v>666.62</x:v>
      </x:c>
      <x:c r="T400" t="str">
        <x:v>Paid</x:v>
      </x:c>
      <x:c r="U400" t="str">
        <x:v>Completed</x:v>
      </x:c>
      <x:c r="V400" s="6" t="n">
        <x:f>IF(ISBLANK(P400),IF(AND(ISNUMBER(N400),N400&gt;0,ISNUMBER(O400),O400&gt;=0,ISNUMBER(Q400),Q400&gt;=0,ISNUMBER(R400),R400&gt;=0,ISNUMBER(S400)),0,""),P400)</x:f>
        <x:v>0.2</x:v>
      </x:c>
      <x:c r="W400" s="7" t="n">
        <x:f>IF(ISBLANK(V400),"",N400*O400*(1-V400))</x:f>
        <x:v>2021.8400000000001</x:v>
      </x:c>
      <x:c r="X400" s="7" t="n">
        <x:f>IF(OR(ISBLANK(W400),ISBLANK(R400)),"",W400-R400)</x:f>
        <x:v>666.6200000000001</x:v>
      </x:c>
      <x:c r="Y400" s="8" t="n">
        <x:f>IF(OR(ISBLANK(W400),W400=0),"",X400/W400)</x:f>
        <x:v>0.3297095714794445</x:v>
      </x:c>
      <x:c r="Z400" s="9" t="n">
        <x:f>IF(OR(ISBLANK(B400),ISBLANK(C400)),"",C400-B400)</x:f>
        <x:v>7</x:v>
      </x:c>
      <x:c r="AA400" t="str">
        <x:f>IF(ISBLANK(B400),"",TEXT(B400,"mmm"))</x:f>
        <x:v>Jul</x:v>
      </x:c>
      <x:c r="AB400" s="9" t="n">
        <x:f>IF(ISBLANK(B400),"",YEAR(B400))</x:f>
        <x:v>2024</x:v>
      </x:c>
      <x:c r="AC400" s="10" t="str"/>
      <x:c r="AD400" t="str">
        <x:f>IF(AND(U400="Completed",T400="Paid",ISERROR(SEARCH("INVALID",AC400)),ISERROR(SEARCH("REVIEW",AC400))),"Include","Exclude")</x:f>
        <x:v>Include</x:v>
      </x:c>
      <x:c r="AE400" t="str">
        <x:f>IF(T400="Refunded","Refunded","")</x:f>
      </x:c>
    </x:row>
    <x:row r="401">
      <x:c r="A401" t="str">
        <x:v>ORD-2025-10400</x:v>
      </x:c>
      <x:c r="B401" s="5" t="n">
        <x:v>45771</x:v>
      </x:c>
      <x:c r="C401" s="5" t="n">
        <x:v>45776</x:v>
      </x:c>
      <x:c r="D401" t="str">
        <x:v>CUST-5647</x:v>
      </x:c>
      <x:c r="E401" t="str">
        <x:v>Diya Patel</x:v>
      </x:c>
      <x:c r="F401" t="str">
        <x:v>Small Business</x:v>
      </x:c>
      <x:c r="G401" t="str">
        <x:v>South</x:v>
      </x:c>
      <x:c r="H401" t="str">
        <x:v>Andhra Pradesh</x:v>
      </x:c>
      <x:c r="I401" t="str">
        <x:v>Vijayawada</x:v>
      </x:c>
      <x:c r="J401" t="str">
        <x:v>Office Supplies</x:v>
      </x:c>
      <x:c r="K401" t="str">
        <x:v>Paper</x:v>
      </x:c>
      <x:c r="L401" t="str">
        <x:v>Elite Paper 308</x:v>
      </x:c>
      <x:c r="M401" t="str">
        <x:v>Same Day</x:v>
      </x:c>
      <x:c r="N401" t="n">
        <x:v>1</x:v>
      </x:c>
      <x:c r="O401" s="7" t="n">
        <x:v>4358.5</x:v>
      </x:c>
      <x:c r="P401" s="6" t="n">
        <x:v>0.25</x:v>
      </x:c>
      <x:c r="Q401" s="7" t="n">
        <x:v>3268.88</x:v>
      </x:c>
      <x:c r="R401" s="7" t="n">
        <x:v>1993.74</x:v>
      </x:c>
      <x:c r="S401" s="7" t="n">
        <x:v>1275.14</x:v>
      </x:c>
      <x:c r="T401" t="str">
        <x:v>Paid</x:v>
      </x:c>
      <x:c r="U401" t="str">
        <x:v>Completed</x:v>
      </x:c>
      <x:c r="V401" s="6" t="n">
        <x:f>IF(ISBLANK(P401),IF(AND(ISNUMBER(N401),N401&gt;0,ISNUMBER(O401),O401&gt;=0,ISNUMBER(Q401),Q401&gt;=0,ISNUMBER(R401),R401&gt;=0,ISNUMBER(S401)),0,""),P401)</x:f>
        <x:v>0.25</x:v>
      </x:c>
      <x:c r="W401" s="7" t="n">
        <x:f>IF(ISBLANK(V401),"",N401*O401*(1-V401))</x:f>
        <x:v>3268.875</x:v>
      </x:c>
      <x:c r="X401" s="7" t="n">
        <x:f>IF(OR(ISBLANK(W401),ISBLANK(R401)),"",W401-R401)</x:f>
        <x:v>1275.135</x:v>
      </x:c>
      <x:c r="Y401" s="8" t="n">
        <x:f>IF(OR(ISBLANK(W401),W401=0),"",X401/W401)</x:f>
        <x:v>0.3900837444074796</x:v>
      </x:c>
      <x:c r="Z401" s="9" t="n">
        <x:f>IF(OR(ISBLANK(B401),ISBLANK(C401)),"",C401-B401)</x:f>
        <x:v>5</x:v>
      </x:c>
      <x:c r="AA401" t="str">
        <x:f>IF(ISBLANK(B401),"",TEXT(B401,"mmm"))</x:f>
        <x:v>Apr</x:v>
      </x:c>
      <x:c r="AB401" s="9" t="n">
        <x:f>IF(ISBLANK(B401),"",YEAR(B401))</x:f>
        <x:v>2025</x:v>
      </x:c>
      <x:c r="AC401" s="10" t="str"/>
      <x:c r="AD401" t="str">
        <x:f>IF(AND(U401="Completed",T401="Paid",ISERROR(SEARCH("INVALID",AC401)),ISERROR(SEARCH("REVIEW",AC401))),"Include","Exclude")</x:f>
        <x:v>Include</x:v>
      </x:c>
      <x:c r="AE401" t="str">
        <x:f>IF(T401="Refunded","Refunded","")</x:f>
      </x:c>
    </x:row>
    <x:row r="402">
      <x:c r="A402" t="str">
        <x:v>ORD-2025-10401</x:v>
      </x:c>
      <x:c r="B402" s="5" t="n">
        <x:v>45814</x:v>
      </x:c>
      <x:c r="C402" s="5" t="n">
        <x:v>45819</x:v>
      </x:c>
      <x:c r="D402" t="str">
        <x:v>CUST-7150</x:v>
      </x:c>
      <x:c r="E402" t="str">
        <x:v>Sneha Kapoor</x:v>
      </x:c>
      <x:c r="F402" t="str">
        <x:v>Small Business</x:v>
      </x:c>
      <x:c r="G402" t="str">
        <x:v>North</x:v>
      </x:c>
      <x:c r="H402" t="str">
        <x:v>Uttar Pradesh</x:v>
      </x:c>
      <x:c r="I402" t="str">
        <x:v>Noida</x:v>
      </x:c>
      <x:c r="J402" t="str">
        <x:v>Office Supplies</x:v>
      </x:c>
      <x:c r="K402" t="str">
        <x:v>Paper</x:v>
      </x:c>
      <x:c r="L402" t="str">
        <x:v>Prime Paper 851</x:v>
      </x:c>
      <x:c r="M402" t="str">
        <x:v>Same Day</x:v>
      </x:c>
      <x:c r="N402" t="n">
        <x:v>7</x:v>
      </x:c>
      <x:c r="O402" s="7" t="n">
        <x:v>878.09</x:v>
      </x:c>
      <x:c r="P402" s="6" t="n">
        <x:v>-0.1</x:v>
      </x:c>
      <x:c r="Q402" s="7" t="n">
        <x:v>5839.3</x:v>
      </x:c>
      <x:c r="R402" s="7" t="n">
        <x:v>4877.38</x:v>
      </x:c>
      <x:c r="S402" s="7" t="n">
        <x:v>961.92</x:v>
      </x:c>
      <x:c r="T402" t="str">
        <x:v>Paid</x:v>
      </x:c>
      <x:c r="U402" t="str">
        <x:v>Completed</x:v>
      </x:c>
      <x:c r="V402" s="6" t="n">
        <x:f>IF(ISBLANK(P402),IF(AND(ISNUMBER(N402),N402&gt;0,ISNUMBER(O402),O402&gt;=0,ISNUMBER(Q402),Q402&gt;=0,ISNUMBER(R402),R402&gt;=0,ISNUMBER(S402)),0,""),P402)</x:f>
        <x:v>-0.1</x:v>
      </x:c>
      <x:c r="W402" s="7" t="n">
        <x:f>IF(ISBLANK(V402),"",N402*O402*(1-V402))</x:f>
        <x:v>6761.293000000001</x:v>
      </x:c>
      <x:c r="X402" s="7" t="n">
        <x:f>IF(OR(ISBLANK(W402),ISBLANK(R402)),"",W402-R402)</x:f>
        <x:v>1883.9130000000005</x:v>
      </x:c>
      <x:c r="Y402" s="8" t="n">
        <x:f>IF(OR(ISBLANK(W402),W402=0),"",X402/W402)</x:f>
        <x:v>0.27863206046535777</x:v>
      </x:c>
      <x:c r="Z402" s="9" t="n">
        <x:f>IF(OR(ISBLANK(B402),ISBLANK(C402)),"",C402-B402)</x:f>
        <x:v>5</x:v>
      </x:c>
      <x:c r="AA402" t="str">
        <x:f>IF(ISBLANK(B402),"",TEXT(B402,"mmm"))</x:f>
        <x:v>Jun</x:v>
      </x:c>
      <x:c r="AB402" s="9" t="n">
        <x:f>IF(ISBLANK(B402),"",YEAR(B402))</x:f>
        <x:v>2025</x:v>
      </x:c>
      <x:c r="AC402" s="10" t="str">
        <x:v>INVALID: Negative discount</x:v>
      </x:c>
      <x:c r="AD402" t="str">
        <x:f>IF(AND(U402="Completed",T402="Paid",ISERROR(SEARCH("INVALID",AC402)),ISERROR(SEARCH("REVIEW",AC402))),"Include","Exclude")</x:f>
        <x:v>Exclude</x:v>
      </x:c>
      <x:c r="AE402" t="str">
        <x:f>IF(T402="Refunded","Refunded","")</x:f>
      </x:c>
    </x:row>
    <x:row r="403">
      <x:c r="A403" t="str">
        <x:v>ORD-2025-10402</x:v>
      </x:c>
      <x:c r="B403" s="5" t="n">
        <x:v>45725</x:v>
      </x:c>
      <x:c r="C403" s="5" t="n">
        <x:v>45732</x:v>
      </x:c>
      <x:c r="D403" t="str">
        <x:v>CUST-6694</x:v>
      </x:c>
      <x:c r="E403" t="str">
        <x:v>Arjun Bose</x:v>
      </x:c>
      <x:c r="F403" t="str">
        <x:v>Small Business</x:v>
      </x:c>
      <x:c r="G403" t="str">
        <x:v>East</x:v>
      </x:c>
      <x:c r="H403" t="str">
        <x:v>Jharkhand</x:v>
      </x:c>
      <x:c r="I403" t="str">
        <x:v>Ranchi</x:v>
      </x:c>
      <x:c r="J403" t="str">
        <x:v>Furniture</x:v>
      </x:c>
      <x:c r="K403" t="str">
        <x:v>Tables</x:v>
      </x:c>
      <x:c r="L403" t="str">
        <x:v>Classic Tables 151</x:v>
      </x:c>
      <x:c r="M403" t="str">
        <x:v>Same Day</x:v>
      </x:c>
      <x:c r="N403" t="n">
        <x:v>3</x:v>
      </x:c>
      <x:c r="O403" s="7" t="n">
        <x:v>2625.85</x:v>
      </x:c>
      <x:c r="P403" s="6" t="n">
        <x:v>0</x:v>
      </x:c>
      <x:c r="Q403" s="7" t="n">
        <x:v>7877.55</x:v>
      </x:c>
      <x:c r="R403" s="7" t="n">
        <x:v>5562.77</x:v>
      </x:c>
      <x:c r="S403" s="7" t="n">
        <x:v>2314.78</x:v>
      </x:c>
      <x:c r="T403" t="str">
        <x:v>Paid</x:v>
      </x:c>
      <x:c r="U403" t="str">
        <x:v>Completed</x:v>
      </x:c>
      <x:c r="V403" s="6" t="n">
        <x:f>IF(ISBLANK(P403),IF(AND(ISNUMBER(N403),N403&gt;0,ISNUMBER(O403),O403&gt;=0,ISNUMBER(Q403),Q403&gt;=0,ISNUMBER(R403),R403&gt;=0,ISNUMBER(S403)),0,""),P403)</x:f>
        <x:v>0</x:v>
      </x:c>
      <x:c r="W403" s="7" t="n">
        <x:f>IF(ISBLANK(V403),"",N403*O403*(1-V403))</x:f>
        <x:v>7877.549999999999</x:v>
      </x:c>
      <x:c r="X403" s="7" t="n">
        <x:f>IF(OR(ISBLANK(W403),ISBLANK(R403)),"",W403-R403)</x:f>
        <x:v>2314.779999999999</x:v>
      </x:c>
      <x:c r="Y403" s="8" t="n">
        <x:f>IF(OR(ISBLANK(W403),W403=0),"",X403/W403)</x:f>
        <x:v>0.2938451675965242</x:v>
      </x:c>
      <x:c r="Z403" s="9" t="n">
        <x:f>IF(OR(ISBLANK(B403),ISBLANK(C403)),"",C403-B403)</x:f>
        <x:v>7</x:v>
      </x:c>
      <x:c r="AA403" t="str">
        <x:f>IF(ISBLANK(B403),"",TEXT(B403,"mmm"))</x:f>
        <x:v>Mar</x:v>
      </x:c>
      <x:c r="AB403" s="9" t="n">
        <x:f>IF(ISBLANK(B403),"",YEAR(B403))</x:f>
        <x:v>2025</x:v>
      </x:c>
      <x:c r="AC403" s="10" t="str"/>
      <x:c r="AD403" t="str">
        <x:f>IF(AND(U403="Completed",T403="Paid",ISERROR(SEARCH("INVALID",AC403)),ISERROR(SEARCH("REVIEW",AC403))),"Include","Exclude")</x:f>
        <x:v>Include</x:v>
      </x:c>
      <x:c r="AE403" t="str">
        <x:f>IF(T403="Refunded","Refunded","")</x:f>
      </x:c>
    </x:row>
    <x:row r="404">
      <x:c r="A404" t="str">
        <x:v>ORD-2024-10403</x:v>
      </x:c>
      <x:c r="B404" s="5" t="n">
        <x:v>45373</x:v>
      </x:c>
      <x:c r="C404" s="5" t="n">
        <x:v>45373</x:v>
      </x:c>
      <x:c r="D404" t="str">
        <x:v>CUST-7680</x:v>
      </x:c>
      <x:c r="E404" t="str">
        <x:v>Priya Menon</x:v>
      </x:c>
      <x:c r="F404" t="str">
        <x:v>Small Business</x:v>
      </x:c>
      <x:c r="G404" t="str">
        <x:v>South</x:v>
      </x:c>
      <x:c r="H404" t="str">
        <x:v>Karnataka</x:v>
      </x:c>
      <x:c r="I404" t="str">
        <x:v>Bengaluru</x:v>
      </x:c>
      <x:c r="J404" t="str">
        <x:v>Furniture</x:v>
      </x:c>
      <x:c r="K404" t="str">
        <x:v>Tables</x:v>
      </x:c>
      <x:c r="L404" t="str">
        <x:v>Smart Tables 829</x:v>
      </x:c>
      <x:c r="M404" t="str">
        <x:v>Unknown</x:v>
      </x:c>
      <x:c r="N404" t="n">
        <x:v>3</x:v>
      </x:c>
      <x:c r="O404" s="7" t="n">
        <x:v>1365.26</x:v>
      </x:c>
      <x:c r="P404" s="6" t="n">
        <x:v>0</x:v>
      </x:c>
      <x:c r="Q404" s="7" t="n">
        <x:v>4095.78</x:v>
      </x:c>
      <x:c r="R404" s="7" t="n">
        <x:v>2807.77</x:v>
      </x:c>
      <x:c r="S404" s="7" t="n">
        <x:v>1288.01</x:v>
      </x:c>
      <x:c r="T404" t="str">
        <x:v>Paid</x:v>
      </x:c>
      <x:c r="U404" t="str">
        <x:v>Completed</x:v>
      </x:c>
      <x:c r="V404" s="6" t="n">
        <x:f>IF(ISBLANK(P404),IF(AND(ISNUMBER(N404),N404&gt;0,ISNUMBER(O404),O404&gt;=0,ISNUMBER(Q404),Q404&gt;=0,ISNUMBER(R404),R404&gt;=0,ISNUMBER(S404)),0,""),P404)</x:f>
        <x:v>0</x:v>
      </x:c>
      <x:c r="W404" s="7" t="n">
        <x:f>IF(ISBLANK(V404),"",N404*O404*(1-V404))</x:f>
        <x:v>4095.7799999999997</x:v>
      </x:c>
      <x:c r="X404" s="7" t="n">
        <x:f>IF(OR(ISBLANK(W404),ISBLANK(R404)),"",W404-R404)</x:f>
        <x:v>1288.0099999999998</x:v>
      </x:c>
      <x:c r="Y404" s="8" t="n">
        <x:f>IF(OR(ISBLANK(W404),W404=0),"",X404/W404)</x:f>
        <x:v>0.31447245701673426</x:v>
      </x:c>
      <x:c r="Z404" s="9" t="n">
        <x:f>IF(OR(ISBLANK(B404),ISBLANK(C404)),"",C404-B404)</x:f>
        <x:v>0</x:v>
      </x:c>
      <x:c r="AA404" t="str">
        <x:f>IF(ISBLANK(B404),"",TEXT(B404,"mmm"))</x:f>
        <x:v>Mar</x:v>
      </x:c>
      <x:c r="AB404" s="9" t="n">
        <x:f>IF(ISBLANK(B404),"",YEAR(B404))</x:f>
        <x:v>2024</x:v>
      </x:c>
      <x:c r="AC404" s="10" t="str">
        <x:v>FLAG: Missing ship mode filled as Unknown</x:v>
      </x:c>
      <x:c r="AD404" t="str">
        <x:f>IF(AND(U404="Completed",T404="Paid",ISERROR(SEARCH("INVALID",AC404)),ISERROR(SEARCH("REVIEW",AC404))),"Include","Exclude")</x:f>
        <x:v>Include</x:v>
      </x:c>
      <x:c r="AE404" t="str">
        <x:f>IF(T404="Refunded","Refunded","")</x:f>
      </x:c>
    </x:row>
    <x:row r="405">
      <x:c r="A405" t="str">
        <x:v>ORD-2024-10404</x:v>
      </x:c>
      <x:c r="B405" s="5" t="n">
        <x:v>45565</x:v>
      </x:c>
      <x:c r="C405" s="5" t="n">
        <x:v>45569</x:v>
      </x:c>
      <x:c r="D405" t="str">
        <x:v>CUST-2700</x:v>
      </x:c>
      <x:c r="E405" t="str">
        <x:v>Arjun Bose</x:v>
      </x:c>
      <x:c r="F405" t="str">
        <x:v>Small Business</x:v>
      </x:c>
      <x:c r="G405" t="str">
        <x:v>South</x:v>
      </x:c>
      <x:c r="H405" t="str">
        <x:v>Kerala</x:v>
      </x:c>
      <x:c r="I405" t="str">
        <x:v>Kochi</x:v>
      </x:c>
      <x:c r="J405" t="str">
        <x:v>Office Supplies</x:v>
      </x:c>
      <x:c r="K405" t="str">
        <x:v>Paper</x:v>
      </x:c>
      <x:c r="L405" t="str">
        <x:v>Classic Paper 237</x:v>
      </x:c>
      <x:c r="M405" t="str">
        <x:v>Same Day</x:v>
      </x:c>
      <x:c r="N405" t="n">
        <x:v>5</x:v>
      </x:c>
      <x:c r="O405" s="7" t="n">
        <x:v>3512.25</x:v>
      </x:c>
      <x:c r="P405" s="6" t="n">
        <x:v>0.05</x:v>
      </x:c>
      <x:c r="Q405" s="7" t="n">
        <x:v>16683.19</x:v>
      </x:c>
      <x:c r="R405" s="7" t="n">
        <x:v>10301.16</x:v>
      </x:c>
      <x:c r="S405" s="7" t="n">
        <x:v>6382.03</x:v>
      </x:c>
      <x:c r="T405" t="str">
        <x:v>Paid</x:v>
      </x:c>
      <x:c r="U405" t="str">
        <x:v>Returned</x:v>
      </x:c>
      <x:c r="V405" s="6" t="n">
        <x:f>IF(ISBLANK(P405),IF(AND(ISNUMBER(N405),N405&gt;0,ISNUMBER(O405),O405&gt;=0,ISNUMBER(Q405),Q405&gt;=0,ISNUMBER(R405),R405&gt;=0,ISNUMBER(S405)),0,""),P405)</x:f>
        <x:v>0.05</x:v>
      </x:c>
      <x:c r="W405" s="7" t="n">
        <x:f>IF(ISBLANK(V405),"",N405*O405*(1-V405))</x:f>
        <x:v>16683.1875</x:v>
      </x:c>
      <x:c r="X405" s="7" t="n">
        <x:f>IF(OR(ISBLANK(W405),ISBLANK(R405)),"",W405-R405)</x:f>
        <x:v>6382.0275</x:v>
      </x:c>
      <x:c r="Y405" s="8" t="n">
        <x:f>IF(OR(ISBLANK(W405),W405=0),"",X405/W405)</x:f>
        <x:v>0.38254245479168775</x:v>
      </x:c>
      <x:c r="Z405" s="9" t="n">
        <x:f>IF(OR(ISBLANK(B405),ISBLANK(C405)),"",C405-B405)</x:f>
        <x:v>4</x:v>
      </x:c>
      <x:c r="AA405" t="str">
        <x:f>IF(ISBLANK(B405),"",TEXT(B405,"mmm"))</x:f>
        <x:v>Sep</x:v>
      </x:c>
      <x:c r="AB405" s="9" t="n">
        <x:f>IF(ISBLANK(B405),"",YEAR(B405))</x:f>
        <x:v>2024</x:v>
      </x:c>
      <x:c r="AC405" s="10" t="str"/>
      <x:c r="AD405" t="str">
        <x:f>IF(AND(U405="Completed",T405="Paid",ISERROR(SEARCH("INVALID",AC405)),ISERROR(SEARCH("REVIEW",AC405))),"Include","Exclude")</x:f>
        <x:v>Exclude</x:v>
      </x:c>
      <x:c r="AE405" t="str">
        <x:f>IF(T405="Refunded","Refunded","")</x:f>
      </x:c>
    </x:row>
    <x:row r="406">
      <x:c r="A406" t="str">
        <x:v>ORD-2024-10405</x:v>
      </x:c>
      <x:c r="B406" s="5" t="n">
        <x:v>45318</x:v>
      </x:c>
      <x:c r="C406" s="5" t="n">
        <x:v>45325</x:v>
      </x:c>
      <x:c r="D406" t="str">
        <x:v>CUST-2904</x:v>
      </x:c>
      <x:c r="E406" t="str">
        <x:v>Aditi Sen</x:v>
      </x:c>
      <x:c r="F406" t="str">
        <x:v>Corporate</x:v>
      </x:c>
      <x:c r="G406" t="str">
        <x:v>West</x:v>
      </x:c>
      <x:c r="H406" t="str">
        <x:v>Rajasthan</x:v>
      </x:c>
      <x:c r="I406" t="str">
        <x:v>Udaipur</x:v>
      </x:c>
      <x:c r="J406" t="str">
        <x:v>Furniture</x:v>
      </x:c>
      <x:c r="K406" t="str">
        <x:v>Chairs</x:v>
      </x:c>
      <x:c r="L406" t="str">
        <x:v>Prime Chairs 891</x:v>
      </x:c>
      <x:c r="M406" t="str">
        <x:v>Same Day</x:v>
      </x:c>
      <x:c r="N406" t="n">
        <x:v>3</x:v>
      </x:c>
      <x:c r="O406" s="7" t="n">
        <x:v>359.61</x:v>
      </x:c>
      <x:c r="P406" s="6" t="n">
        <x:v>0</x:v>
      </x:c>
      <x:c r="Q406" s="7" t="n">
        <x:v>1078.83</x:v>
      </x:c>
      <x:c r="R406" s="7" t="n">
        <x:v>926.35</x:v>
      </x:c>
      <x:c r="S406" s="7" t="n">
        <x:v>152.48</x:v>
      </x:c>
      <x:c r="T406" t="str">
        <x:v>Paid</x:v>
      </x:c>
      <x:c r="U406" t="str">
        <x:v>Completed</x:v>
      </x:c>
      <x:c r="V406" s="6" t="n">
        <x:f>IF(ISBLANK(P406),IF(AND(ISNUMBER(N406),N406&gt;0,ISNUMBER(O406),O406&gt;=0,ISNUMBER(Q406),Q406&gt;=0,ISNUMBER(R406),R406&gt;=0,ISNUMBER(S406)),0,""),P406)</x:f>
        <x:v>0</x:v>
      </x:c>
      <x:c r="W406" s="7" t="n">
        <x:f>IF(ISBLANK(V406),"",N406*O406*(1-V406))</x:f>
        <x:v>1078.83</x:v>
      </x:c>
      <x:c r="X406" s="7" t="n">
        <x:f>IF(OR(ISBLANK(W406),ISBLANK(R406)),"",W406-R406)</x:f>
        <x:v>152.4799999999999</x:v>
      </x:c>
      <x:c r="Y406" s="8" t="n">
        <x:f>IF(OR(ISBLANK(W406),W406=0),"",X406/W406)</x:f>
        <x:v>0.14133830167867034</x:v>
      </x:c>
      <x:c r="Z406" s="9" t="n">
        <x:f>IF(OR(ISBLANK(B406),ISBLANK(C406)),"",C406-B406)</x:f>
        <x:v>7</x:v>
      </x:c>
      <x:c r="AA406" t="str">
        <x:f>IF(ISBLANK(B406),"",TEXT(B406,"mmm"))</x:f>
        <x:v>Jan</x:v>
      </x:c>
      <x:c r="AB406" s="9" t="n">
        <x:f>IF(ISBLANK(B406),"",YEAR(B406))</x:f>
        <x:v>2024</x:v>
      </x:c>
      <x:c r="AC406" s="10" t="str"/>
      <x:c r="AD406" t="str">
        <x:f>IF(AND(U406="Completed",T406="Paid",ISERROR(SEARCH("INVALID",AC406)),ISERROR(SEARCH("REVIEW",AC406))),"Include","Exclude")</x:f>
        <x:v>Include</x:v>
      </x:c>
      <x:c r="AE406" t="str">
        <x:f>IF(T406="Refunded","Refunded","")</x:f>
      </x:c>
    </x:row>
    <x:row r="407">
      <x:c r="A407" t="str">
        <x:v>ORD-2024-10406</x:v>
      </x:c>
      <x:c r="B407" s="5" t="n">
        <x:v>45558</x:v>
      </x:c>
      <x:c r="C407" s="5" t="n">
        <x:v>45559</x:v>
      </x:c>
      <x:c r="D407" t="str">
        <x:v>CUST-9961</x:v>
      </x:c>
      <x:c r="E407" t="str">
        <x:v>Aditi Sen</x:v>
      </x:c>
      <x:c r="F407" t="str">
        <x:v>Home Office</x:v>
      </x:c>
      <x:c r="G407" t="str">
        <x:v>West</x:v>
      </x:c>
      <x:c r="H407" t="str">
        <x:v>Gujarat</x:v>
      </x:c>
      <x:c r="I407" t="str">
        <x:v>Ahmedabad</x:v>
      </x:c>
      <x:c r="J407" t="str">
        <x:v>Furniture</x:v>
      </x:c>
      <x:c r="K407" t="str">
        <x:v>Bookcases</x:v>
      </x:c>
      <x:c r="L407" t="str">
        <x:v>Max Bookcases 812</x:v>
      </x:c>
      <x:c r="M407" t="str">
        <x:v>Unknown</x:v>
      </x:c>
      <x:c r="N407" t="n">
        <x:v>7</x:v>
      </x:c>
      <x:c r="O407" s="7" t="n">
        <x:v>3878.01</x:v>
      </x:c>
      <x:c r="P407" s="6" t="n">
        <x:v>0.1</x:v>
      </x:c>
      <x:c r="Q407" s="7" t="n">
        <x:v>24431.46</x:v>
      </x:c>
      <x:c r="R407" s="7" t="n">
        <x:v>18202.36</x:v>
      </x:c>
      <x:c r="S407" s="7" t="n">
        <x:v>6229.1</x:v>
      </x:c>
      <x:c r="T407" t="str">
        <x:v>Paid</x:v>
      </x:c>
      <x:c r="U407" t="str">
        <x:v>Completed</x:v>
      </x:c>
      <x:c r="V407" s="6" t="n">
        <x:f>IF(ISBLANK(P407),IF(AND(ISNUMBER(N407),N407&gt;0,ISNUMBER(O407),O407&gt;=0,ISNUMBER(Q407),Q407&gt;=0,ISNUMBER(R407),R407&gt;=0,ISNUMBER(S407)),0,""),P407)</x:f>
        <x:v>0.1</x:v>
      </x:c>
      <x:c r="W407" s="7" t="n">
        <x:f>IF(ISBLANK(V407),"",N407*O407*(1-V407))</x:f>
        <x:v>24431.463</x:v>
      </x:c>
      <x:c r="X407" s="7" t="n">
        <x:f>IF(OR(ISBLANK(W407),ISBLANK(R407)),"",W407-R407)</x:f>
        <x:v>6229.102999999999</x:v>
      </x:c>
      <x:c r="Y407" s="8" t="n">
        <x:f>IF(OR(ISBLANK(W407),W407=0),"",X407/W407)</x:f>
        <x:v>0.25496234097810677</x:v>
      </x:c>
      <x:c r="Z407" s="9" t="n">
        <x:f>IF(OR(ISBLANK(B407),ISBLANK(C407)),"",C407-B407)</x:f>
        <x:v>1</x:v>
      </x:c>
      <x:c r="AA407" t="str">
        <x:f>IF(ISBLANK(B407),"",TEXT(B407,"mmm"))</x:f>
        <x:v>Sep</x:v>
      </x:c>
      <x:c r="AB407" s="9" t="n">
        <x:f>IF(ISBLANK(B407),"",YEAR(B407))</x:f>
        <x:v>2024</x:v>
      </x:c>
      <x:c r="AC407" s="10" t="str">
        <x:v>FLAG: Missing ship mode filled as Unknown</x:v>
      </x:c>
      <x:c r="AD407" t="str">
        <x:f>IF(AND(U407="Completed",T407="Paid",ISERROR(SEARCH("INVALID",AC407)),ISERROR(SEARCH("REVIEW",AC407))),"Include","Exclude")</x:f>
        <x:v>Include</x:v>
      </x:c>
      <x:c r="AE407" t="str">
        <x:f>IF(T407="Refunded","Refunded","")</x:f>
      </x:c>
    </x:row>
    <x:row r="408">
      <x:c r="A408" t="str">
        <x:v>ORD-2025-10407</x:v>
      </x:c>
      <x:c r="B408" s="5" t="n">
        <x:v>45713</x:v>
      </x:c>
      <x:c r="C408" s="5" t="n">
        <x:v>45713</x:v>
      </x:c>
      <x:c r="D408" t="str">
        <x:v>CUST-9909</x:v>
      </x:c>
      <x:c r="E408" t="str">
        <x:v>Kabir Singh</x:v>
      </x:c>
      <x:c r="F408" t="str">
        <x:v>Small Business</x:v>
      </x:c>
      <x:c r="G408" t="str">
        <x:v>West</x:v>
      </x:c>
      <x:c r="H408" t="str">
        <x:v>Goa</x:v>
      </x:c>
      <x:c r="I408" t="str">
        <x:v>Panaji</x:v>
      </x:c>
      <x:c r="J408" t="str">
        <x:v>Furniture</x:v>
      </x:c>
      <x:c r="K408" t="str">
        <x:v>Furnishings</x:v>
      </x:c>
      <x:c r="L408" t="str">
        <x:v>Basic Furnishings 164</x:v>
      </x:c>
      <x:c r="M408" t="str">
        <x:v>Standard Class</x:v>
      </x:c>
      <x:c r="N408" t="n">
        <x:v>2</x:v>
      </x:c>
      <x:c r="O408" s="7" t="n">
        <x:v>3924.2</x:v>
      </x:c>
      <x:c r="P408" s="6" t="n">
        <x:v>0.25</x:v>
      </x:c>
      <x:c r="Q408" s="7" t="n">
        <x:v>5886.3</x:v>
      </x:c>
      <x:c r="R408" s="7" t="n">
        <x:v>3621.76</x:v>
      </x:c>
      <x:c r="S408" s="7" t="n">
        <x:v>2264.54</x:v>
      </x:c>
      <x:c r="T408" t="str">
        <x:v>Pending</x:v>
      </x:c>
      <x:c r="U408" t="str">
        <x:v>Returned</x:v>
      </x:c>
      <x:c r="V408" s="6" t="n">
        <x:f>IF(ISBLANK(P408),IF(AND(ISNUMBER(N408),N408&gt;0,ISNUMBER(O408),O408&gt;=0,ISNUMBER(Q408),Q408&gt;=0,ISNUMBER(R408),R408&gt;=0,ISNUMBER(S408)),0,""),P408)</x:f>
        <x:v>0.25</x:v>
      </x:c>
      <x:c r="W408" s="7" t="n">
        <x:f>IF(ISBLANK(V408),"",N408*O408*(1-V408))</x:f>
        <x:v>5886.299999999999</x:v>
      </x:c>
      <x:c r="X408" s="7" t="n">
        <x:f>IF(OR(ISBLANK(W408),ISBLANK(R408)),"",W408-R408)</x:f>
        <x:v>2264.539999999999</x:v>
      </x:c>
      <x:c r="Y408" s="8" t="n">
        <x:f>IF(OR(ISBLANK(W408),W408=0),"",X408/W408)</x:f>
        <x:v>0.3847136571360616</x:v>
      </x:c>
      <x:c r="Z408" s="9" t="n">
        <x:f>IF(OR(ISBLANK(B408),ISBLANK(C408)),"",C408-B408)</x:f>
        <x:v>0</x:v>
      </x:c>
      <x:c r="AA408" t="str">
        <x:f>IF(ISBLANK(B408),"",TEXT(B408,"mmm"))</x:f>
        <x:v>Feb</x:v>
      </x:c>
      <x:c r="AB408" s="9" t="n">
        <x:f>IF(ISBLANK(B408),"",YEAR(B408))</x:f>
        <x:v>2025</x:v>
      </x:c>
      <x:c r="AC408" s="10" t="str"/>
      <x:c r="AD408" t="str">
        <x:f>IF(AND(U408="Completed",T408="Paid",ISERROR(SEARCH("INVALID",AC408)),ISERROR(SEARCH("REVIEW",AC408))),"Include","Exclude")</x:f>
        <x:v>Exclude</x:v>
      </x:c>
      <x:c r="AE408" t="str">
        <x:f>IF(T408="Refunded","Refunded","")</x:f>
      </x:c>
    </x:row>
    <x:row r="409">
      <x:c r="A409" t="str">
        <x:v>ORD-2024-10408</x:v>
      </x:c>
      <x:c r="B409" s="5" t="n">
        <x:v>45424</x:v>
      </x:c>
      <x:c r="C409" s="5" t="n">
        <x:v>45425</x:v>
      </x:c>
      <x:c r="D409" t="str">
        <x:v>CUST-8520</x:v>
      </x:c>
      <x:c r="E409" t="str">
        <x:v>Rahul Verma</x:v>
      </x:c>
      <x:c r="F409" t="str">
        <x:v>Corporate</x:v>
      </x:c>
      <x:c r="G409" t="str">
        <x:v>West</x:v>
      </x:c>
      <x:c r="H409" t="str">
        <x:v>Goa</x:v>
      </x:c>
      <x:c r="I409" t="str">
        <x:v>Panaji</x:v>
      </x:c>
      <x:c r="J409" t="str">
        <x:v>Office Supplies</x:v>
      </x:c>
      <x:c r="K409" t="str">
        <x:v>Labels</x:v>
      </x:c>
      <x:c r="L409" t="str">
        <x:v>Smart Labels 261</x:v>
      </x:c>
      <x:c r="M409" t="str">
        <x:v>Second Class</x:v>
      </x:c>
      <x:c r="N409" t="n">
        <x:v>3</x:v>
      </x:c>
      <x:c r="O409" s="7" t="n">
        <x:v>2644.55</x:v>
      </x:c>
      <x:c r="P409" s="6" t="n">
        <x:v>0</x:v>
      </x:c>
      <x:c r="Q409" s="7" t="n">
        <x:v>7933.65</x:v>
      </x:c>
      <x:c r="R409" s="7" t="n">
        <x:v>5698.42</x:v>
      </x:c>
      <x:c r="S409" s="7" t="n">
        <x:v>2235.23</x:v>
      </x:c>
      <x:c r="T409" t="str">
        <x:v>Paid</x:v>
      </x:c>
      <x:c r="U409" t="str">
        <x:v>Completed</x:v>
      </x:c>
      <x:c r="V409" s="6" t="n">
        <x:f>IF(ISBLANK(P409),IF(AND(ISNUMBER(N409),N409&gt;0,ISNUMBER(O409),O409&gt;=0,ISNUMBER(Q409),Q409&gt;=0,ISNUMBER(R409),R409&gt;=0,ISNUMBER(S409)),0,""),P409)</x:f>
        <x:v>0</x:v>
      </x:c>
      <x:c r="W409" s="7" t="n">
        <x:f>IF(ISBLANK(V409),"",N409*O409*(1-V409))</x:f>
        <x:v>7933.650000000001</x:v>
      </x:c>
      <x:c r="X409" s="7" t="n">
        <x:f>IF(OR(ISBLANK(W409),ISBLANK(R409)),"",W409-R409)</x:f>
        <x:v>2235.2300000000005</x:v>
      </x:c>
      <x:c r="Y409" s="8" t="n">
        <x:f>IF(OR(ISBLANK(W409),W409=0),"",X409/W409)</x:f>
        <x:v>0.2817404347305465</x:v>
      </x:c>
      <x:c r="Z409" s="9" t="n">
        <x:f>IF(OR(ISBLANK(B409),ISBLANK(C409)),"",C409-B409)</x:f>
        <x:v>1</x:v>
      </x:c>
      <x:c r="AA409" t="str">
        <x:f>IF(ISBLANK(B409),"",TEXT(B409,"mmm"))</x:f>
        <x:v>May</x:v>
      </x:c>
      <x:c r="AB409" s="9" t="n">
        <x:f>IF(ISBLANK(B409),"",YEAR(B409))</x:f>
        <x:v>2024</x:v>
      </x:c>
      <x:c r="AC409" s="10" t="str"/>
      <x:c r="AD409" t="str">
        <x:f>IF(AND(U409="Completed",T409="Paid",ISERROR(SEARCH("INVALID",AC409)),ISERROR(SEARCH("REVIEW",AC409))),"Include","Exclude")</x:f>
        <x:v>Include</x:v>
      </x:c>
      <x:c r="AE409" t="str">
        <x:f>IF(T409="Refunded","Refunded","")</x:f>
      </x:c>
    </x:row>
    <x:row r="410">
      <x:c r="A410" t="str">
        <x:v>ORD-2025-10409</x:v>
      </x:c>
      <x:c r="B410" s="5" t="n">
        <x:v>45870</x:v>
      </x:c>
      <x:c r="C410" s="5" t="n">
        <x:v>45872</x:v>
      </x:c>
      <x:c r="D410" t="str">
        <x:v>CUST-5036</x:v>
      </x:c>
      <x:c r="E410" t="str">
        <x:v>Sneha Kapoor</x:v>
      </x:c>
      <x:c r="F410" t="str">
        <x:v>Consumer</x:v>
      </x:c>
      <x:c r="G410" t="str">
        <x:v>West</x:v>
      </x:c>
      <x:c r="H410" t="str">
        <x:v>Maharashtra</x:v>
      </x:c>
      <x:c r="I410" t="str">
        <x:v>Mumbai</x:v>
      </x:c>
      <x:c r="J410" t="str">
        <x:v>Furniture</x:v>
      </x:c>
      <x:c r="K410" t="str">
        <x:v>Chairs</x:v>
      </x:c>
      <x:c r="L410" t="str">
        <x:v>Max Chairs 765</x:v>
      </x:c>
      <x:c r="M410" t="str">
        <x:v>First Class</x:v>
      </x:c>
      <x:c r="N410" t="n">
        <x:v>4</x:v>
      </x:c>
      <x:c r="O410" s="7" t="n">
        <x:v>1773.46</x:v>
      </x:c>
      <x:c r="P410" s="6" t="n">
        <x:v>0</x:v>
      </x:c>
      <x:c r="Q410" s="7" t="n">
        <x:v>7093.84</x:v>
      </x:c>
      <x:c r="R410" s="7" t="n">
        <x:v>4587.49</x:v>
      </x:c>
      <x:c r="S410" s="7" t="n">
        <x:v>2506.35</x:v>
      </x:c>
      <x:c r="T410" t="str">
        <x:v>Failed</x:v>
      </x:c>
      <x:c r="U410" t="str">
        <x:v>Returned</x:v>
      </x:c>
      <x:c r="V410" s="6" t="n">
        <x:f>IF(ISBLANK(P410),IF(AND(ISNUMBER(N410),N410&gt;0,ISNUMBER(O410),O410&gt;=0,ISNUMBER(Q410),Q410&gt;=0,ISNUMBER(R410),R410&gt;=0,ISNUMBER(S410)),0,""),P410)</x:f>
        <x:v>0</x:v>
      </x:c>
      <x:c r="W410" s="7" t="n">
        <x:f>IF(ISBLANK(V410),"",N410*O410*(1-V410))</x:f>
        <x:v>7093.84</x:v>
      </x:c>
      <x:c r="X410" s="7" t="n">
        <x:f>IF(OR(ISBLANK(W410),ISBLANK(R410)),"",W410-R410)</x:f>
        <x:v>2506.3500000000004</x:v>
      </x:c>
      <x:c r="Y410" s="8" t="n">
        <x:f>IF(OR(ISBLANK(W410),W410=0),"",X410/W410)</x:f>
        <x:v>0.3533135791052519</x:v>
      </x:c>
      <x:c r="Z410" s="9" t="n">
        <x:f>IF(OR(ISBLANK(B410),ISBLANK(C410)),"",C410-B410)</x:f>
        <x:v>2</x:v>
      </x:c>
      <x:c r="AA410" t="str">
        <x:f>IF(ISBLANK(B410),"",TEXT(B410,"mmm"))</x:f>
        <x:v>Aug</x:v>
      </x:c>
      <x:c r="AB410" s="9" t="n">
        <x:f>IF(ISBLANK(B410),"",YEAR(B410))</x:f>
        <x:v>2025</x:v>
      </x:c>
      <x:c r="AC410" s="10" t="str">
        <x:v>EXCLUDE: Failed payment</x:v>
      </x:c>
      <x:c r="AD410" t="str">
        <x:f>IF(AND(U410="Completed",T410="Paid",ISERROR(SEARCH("INVALID",AC410)),ISERROR(SEARCH("REVIEW",AC410))),"Include","Exclude")</x:f>
        <x:v>Exclude</x:v>
      </x:c>
      <x:c r="AE410" t="str">
        <x:f>IF(T410="Refunded","Refunded","")</x:f>
      </x:c>
    </x:row>
    <x:row r="411">
      <x:c r="A411" t="str">
        <x:v>ORD-2025-10410</x:v>
      </x:c>
      <x:c r="B411" s="5" t="n">
        <x:v>45701</x:v>
      </x:c>
      <x:c r="C411" s="5" t="n">
        <x:v>45703</x:v>
      </x:c>
      <x:c r="D411" t="str">
        <x:v>CUST-7721</x:v>
      </x:c>
      <x:c r="E411" t="str">
        <x:v>Karan Malhotra</x:v>
      </x:c>
      <x:c r="F411" t="str">
        <x:v>Consumer</x:v>
      </x:c>
      <x:c r="G411" t="str">
        <x:v>East</x:v>
      </x:c>
      <x:c r="H411" t="str">
        <x:v>Assam</x:v>
      </x:c>
      <x:c r="I411" t="str">
        <x:v>Guwahati</x:v>
      </x:c>
      <x:c r="J411" t="str">
        <x:v>Technology</x:v>
      </x:c>
      <x:c r="K411" t="str">
        <x:v>Accessories</x:v>
      </x:c>
      <x:c r="L411" t="str">
        <x:v>Pro Accessories 686</x:v>
      </x:c>
      <x:c r="M411" t="str">
        <x:v>Same Day</x:v>
      </x:c>
      <x:c r="N411" t="n">
        <x:v>1</x:v>
      </x:c>
      <x:c r="O411" s="7" t="n">
        <x:v>3025.46</x:v>
      </x:c>
      <x:c r="P411" s="6" t="n">
        <x:v>0.25</x:v>
      </x:c>
      <x:c r="Q411" s="7" t="n">
        <x:v>2269.1</x:v>
      </x:c>
      <x:c r="R411" s="7" t="n">
        <x:v>1593.59</x:v>
      </x:c>
      <x:c r="S411" s="7" t="n">
        <x:v>675.51</x:v>
      </x:c>
      <x:c r="T411" t="str">
        <x:v>Refunded</x:v>
      </x:c>
      <x:c r="U411" t="str">
        <x:v>Returned</x:v>
      </x:c>
      <x:c r="V411" s="6" t="n">
        <x:f>IF(ISBLANK(P411),IF(AND(ISNUMBER(N411),N411&gt;0,ISNUMBER(O411),O411&gt;=0,ISNUMBER(Q411),Q411&gt;=0,ISNUMBER(R411),R411&gt;=0,ISNUMBER(S411)),0,""),P411)</x:f>
        <x:v>0.25</x:v>
      </x:c>
      <x:c r="W411" s="7" t="n">
        <x:f>IF(ISBLANK(V411),"",N411*O411*(1-V411))</x:f>
        <x:v>2269.0950000000003</x:v>
      </x:c>
      <x:c r="X411" s="7" t="n">
        <x:f>IF(OR(ISBLANK(W411),ISBLANK(R411)),"",W411-R411)</x:f>
        <x:v>675.5050000000003</x:v>
      </x:c>
      <x:c r="Y411" s="8" t="n">
        <x:f>IF(OR(ISBLANK(W411),W411=0),"",X411/W411)</x:f>
        <x:v>0.2976979809130954</x:v>
      </x:c>
      <x:c r="Z411" s="9" t="n">
        <x:f>IF(OR(ISBLANK(B411),ISBLANK(C411)),"",C411-B411)</x:f>
        <x:v>2</x:v>
      </x:c>
      <x:c r="AA411" t="str">
        <x:f>IF(ISBLANK(B411),"",TEXT(B411,"mmm"))</x:f>
        <x:v>Feb</x:v>
      </x:c>
      <x:c r="AB411" s="9" t="n">
        <x:f>IF(ISBLANK(B411),"",YEAR(B411))</x:f>
        <x:v>2025</x:v>
      </x:c>
      <x:c r="AC411" s="10" t="str">
        <x:v>REFUND: Summarize separately</x:v>
      </x:c>
      <x:c r="AD411" t="str">
        <x:f>IF(AND(U411="Completed",T411="Paid",ISERROR(SEARCH("INVALID",AC411)),ISERROR(SEARCH("REVIEW",AC411))),"Include","Exclude")</x:f>
        <x:v>Exclude</x:v>
      </x:c>
      <x:c r="AE411" t="str">
        <x:f>IF(T411="Refunded","Refunded","")</x:f>
        <x:v>Refunded</x:v>
      </x:c>
    </x:row>
    <x:row r="412">
      <x:c r="A412" t="str">
        <x:v>ORD-2024-10411</x:v>
      </x:c>
      <x:c r="B412" s="5" t="n">
        <x:v>45394</x:v>
      </x:c>
      <x:c r="C412" s="5" t="n">
        <x:v>45402</x:v>
      </x:c>
      <x:c r="D412" t="str">
        <x:v>CUST-9495</x:v>
      </x:c>
      <x:c r="E412" t="str">
        <x:v>Diya Patel</x:v>
      </x:c>
      <x:c r="F412" t="str">
        <x:v>Consumer</x:v>
      </x:c>
      <x:c r="G412" t="str">
        <x:v>West</x:v>
      </x:c>
      <x:c r="H412" t="str">
        <x:v>Goa</x:v>
      </x:c>
      <x:c r="I412" t="str">
        <x:v>Panaji</x:v>
      </x:c>
      <x:c r="J412" t="str">
        <x:v>Furniture</x:v>
      </x:c>
      <x:c r="K412" t="str">
        <x:v>Tables</x:v>
      </x:c>
      <x:c r="L412" t="str">
        <x:v>Smart Tables 100</x:v>
      </x:c>
      <x:c r="M412" t="str">
        <x:v>First Class</x:v>
      </x:c>
      <x:c r="N412" t="n">
        <x:v>9</x:v>
      </x:c>
      <x:c r="O412" s="7" t="n">
        <x:v>1302.61</x:v>
      </x:c>
      <x:c r="P412" s="6" t="n">
        <x:v>0.2</x:v>
      </x:c>
      <x:c r="Q412" s="7" t="n">
        <x:v>9378.79</x:v>
      </x:c>
      <x:c r="R412" s="7" t="n">
        <x:v>6774.48</x:v>
      </x:c>
      <x:c r="S412" s="7" t="n">
        <x:v>2604.31</x:v>
      </x:c>
      <x:c r="T412" t="str">
        <x:v>Paid</x:v>
      </x:c>
      <x:c r="U412" t="str">
        <x:v>Completed</x:v>
      </x:c>
      <x:c r="V412" s="6" t="n">
        <x:f>IF(ISBLANK(P412),IF(AND(ISNUMBER(N412),N412&gt;0,ISNUMBER(O412),O412&gt;=0,ISNUMBER(Q412),Q412&gt;=0,ISNUMBER(R412),R412&gt;=0,ISNUMBER(S412)),0,""),P412)</x:f>
        <x:v>0.2</x:v>
      </x:c>
      <x:c r="W412" s="7" t="n">
        <x:f>IF(ISBLANK(V412),"",N412*O412*(1-V412))</x:f>
        <x:v>9378.792</x:v>
      </x:c>
      <x:c r="X412" s="7" t="n">
        <x:f>IF(OR(ISBLANK(W412),ISBLANK(R412)),"",W412-R412)</x:f>
        <x:v>2604.312</x:v>
      </x:c>
      <x:c r="Y412" s="8" t="n">
        <x:f>IF(OR(ISBLANK(W412),W412=0),"",X412/W412)</x:f>
        <x:v>0.27768096360384154</x:v>
      </x:c>
      <x:c r="Z412" s="9" t="n">
        <x:f>IF(OR(ISBLANK(B412),ISBLANK(C412)),"",C412-B412)</x:f>
        <x:v>8</x:v>
      </x:c>
      <x:c r="AA412" t="str">
        <x:f>IF(ISBLANK(B412),"",TEXT(B412,"mmm"))</x:f>
        <x:v>Apr</x:v>
      </x:c>
      <x:c r="AB412" s="9" t="n">
        <x:f>IF(ISBLANK(B412),"",YEAR(B412))</x:f>
        <x:v>2024</x:v>
      </x:c>
      <x:c r="AC412" s="10" t="str"/>
      <x:c r="AD412" t="str">
        <x:f>IF(AND(U412="Completed",T412="Paid",ISERROR(SEARCH("INVALID",AC412)),ISERROR(SEARCH("REVIEW",AC412))),"Include","Exclude")</x:f>
        <x:v>Include</x:v>
      </x:c>
      <x:c r="AE412" t="str">
        <x:f>IF(T412="Refunded","Refunded","")</x:f>
      </x:c>
    </x:row>
    <x:row r="413">
      <x:c r="A413" t="str">
        <x:v>ORD-2025-10412</x:v>
      </x:c>
      <x:c r="B413" s="5" t="n">
        <x:v>45892</x:v>
      </x:c>
      <x:c r="C413" s="5" t="n">
        <x:v>45897</x:v>
      </x:c>
      <x:c r="D413" t="str">
        <x:v>CUST-2855</x:v>
      </x:c>
      <x:c r="E413" t="str">
        <x:v>Arjun Bose</x:v>
      </x:c>
      <x:c r="F413" t="str">
        <x:v>Home Office</x:v>
      </x:c>
      <x:c r="G413" t="str">
        <x:v>West</x:v>
      </x:c>
      <x:c r="H413" t="str">
        <x:v>Rajasthan</x:v>
      </x:c>
      <x:c r="I413" t="str">
        <x:v>Udaipur</x:v>
      </x:c>
      <x:c r="J413" t="str">
        <x:v>Furniture</x:v>
      </x:c>
      <x:c r="K413" t="str">
        <x:v>Tables</x:v>
      </x:c>
      <x:c r="L413" t="str">
        <x:v>Basic Tables 615</x:v>
      </x:c>
      <x:c r="M413" t="str">
        <x:v>First Class</x:v>
      </x:c>
      <x:c r="N413" t="n">
        <x:v>1</x:v>
      </x:c>
      <x:c r="O413" s="7" t="n">
        <x:v>4167.81</x:v>
      </x:c>
      <x:c r="P413" s="6" t="n">
        <x:v>0.2</x:v>
      </x:c>
      <x:c r="Q413" s="7" t="n">
        <x:v>3334.25</x:v>
      </x:c>
      <x:c r="R413" s="7" t="n">
        <x:v>2768.77</x:v>
      </x:c>
      <x:c r="S413" s="7" t="n">
        <x:v>565.48</x:v>
      </x:c>
      <x:c r="T413" t="str">
        <x:v>Failed</x:v>
      </x:c>
      <x:c r="U413" t="str">
        <x:v>Returned</x:v>
      </x:c>
      <x:c r="V413" s="6" t="n">
        <x:f>IF(ISBLANK(P413),IF(AND(ISNUMBER(N413),N413&gt;0,ISNUMBER(O413),O413&gt;=0,ISNUMBER(Q413),Q413&gt;=0,ISNUMBER(R413),R413&gt;=0,ISNUMBER(S413)),0,""),P413)</x:f>
        <x:v>0.2</x:v>
      </x:c>
      <x:c r="W413" s="7" t="n">
        <x:f>IF(ISBLANK(V413),"",N413*O413*(1-V413))</x:f>
        <x:v>3334.2480000000005</x:v>
      </x:c>
      <x:c r="X413" s="7" t="n">
        <x:f>IF(OR(ISBLANK(W413),ISBLANK(R413)),"",W413-R413)</x:f>
        <x:v>565.4780000000005</x:v>
      </x:c>
      <x:c r="Y413" s="8" t="n">
        <x:f>IF(OR(ISBLANK(W413),W413=0),"",X413/W413)</x:f>
        <x:v>0.16959686262089696</x:v>
      </x:c>
      <x:c r="Z413" s="9" t="n">
        <x:f>IF(OR(ISBLANK(B413),ISBLANK(C413)),"",C413-B413)</x:f>
        <x:v>5</x:v>
      </x:c>
      <x:c r="AA413" t="str">
        <x:f>IF(ISBLANK(B413),"",TEXT(B413,"mmm"))</x:f>
        <x:v>Aug</x:v>
      </x:c>
      <x:c r="AB413" s="9" t="n">
        <x:f>IF(ISBLANK(B413),"",YEAR(B413))</x:f>
        <x:v>2025</x:v>
      </x:c>
      <x:c r="AC413" s="10" t="str">
        <x:v>EXCLUDE: Failed payment</x:v>
      </x:c>
      <x:c r="AD413" t="str">
        <x:f>IF(AND(U413="Completed",T413="Paid",ISERROR(SEARCH("INVALID",AC413)),ISERROR(SEARCH("REVIEW",AC413))),"Include","Exclude")</x:f>
        <x:v>Exclude</x:v>
      </x:c>
      <x:c r="AE413" t="str">
        <x:f>IF(T413="Refunded","Refunded","")</x:f>
      </x:c>
    </x:row>
    <x:row r="414">
      <x:c r="A414" t="str">
        <x:v>ORD-2024-10413</x:v>
      </x:c>
      <x:c r="B414" s="5" t="n">
        <x:v>45313</x:v>
      </x:c>
      <x:c r="C414" s="5" t="n">
        <x:v>45321</x:v>
      </x:c>
      <x:c r="D414" t="str">
        <x:v>CUST-4329</x:v>
      </x:c>
      <x:c r="E414" t="str">
        <x:v>Isha Nair</x:v>
      </x:c>
      <x:c r="F414" t="str">
        <x:v>Corporate</x:v>
      </x:c>
      <x:c r="G414" t="str">
        <x:v>South</x:v>
      </x:c>
      <x:c r="H414" t="str">
        <x:v>Karnataka</x:v>
      </x:c>
      <x:c r="I414" t="str">
        <x:v>Bengaluru</x:v>
      </x:c>
      <x:c r="J414" t="str">
        <x:v>Furniture</x:v>
      </x:c>
      <x:c r="K414" t="str">
        <x:v>Chairs</x:v>
      </x:c>
      <x:c r="L414" t="str">
        <x:v>Basic Chairs 790</x:v>
      </x:c>
      <x:c r="M414" t="str">
        <x:v>Same Day</x:v>
      </x:c>
      <x:c r="N414" t="n">
        <x:v>1</x:v>
      </x:c>
      <x:c r="O414" s="7" t="n">
        <x:v>2111.39</x:v>
      </x:c>
      <x:c r="P414" s="6" t="n">
        <x:v>0.25</x:v>
      </x:c>
      <x:c r="Q414" s="7" t="n">
        <x:v>1583.54</x:v>
      </x:c>
      <x:c r="R414" s="7" t="n">
        <x:v>1014.19</x:v>
      </x:c>
      <x:c r="S414" s="7" t="n">
        <x:v>569.35</x:v>
      </x:c>
      <x:c r="T414" t="str">
        <x:v>Paid</x:v>
      </x:c>
      <x:c r="U414" t="str">
        <x:v>Completed</x:v>
      </x:c>
      <x:c r="V414" s="6" t="n">
        <x:f>IF(ISBLANK(P414),IF(AND(ISNUMBER(N414),N414&gt;0,ISNUMBER(O414),O414&gt;=0,ISNUMBER(Q414),Q414&gt;=0,ISNUMBER(R414),R414&gt;=0,ISNUMBER(S414)),0,""),P414)</x:f>
        <x:v>0.25</x:v>
      </x:c>
      <x:c r="W414" s="7" t="n">
        <x:f>IF(ISBLANK(V414),"",N414*O414*(1-V414))</x:f>
        <x:v>1583.5425</x:v>
      </x:c>
      <x:c r="X414" s="7" t="n">
        <x:f>IF(OR(ISBLANK(W414),ISBLANK(R414)),"",W414-R414)</x:f>
        <x:v>569.3525</x:v>
      </x:c>
      <x:c r="Y414" s="8" t="n">
        <x:f>IF(OR(ISBLANK(W414),W414=0),"",X414/W414)</x:f>
        <x:v>0.35954355503562424</x:v>
      </x:c>
      <x:c r="Z414" s="9" t="n">
        <x:f>IF(OR(ISBLANK(B414),ISBLANK(C414)),"",C414-B414)</x:f>
        <x:v>8</x:v>
      </x:c>
      <x:c r="AA414" t="str">
        <x:f>IF(ISBLANK(B414),"",TEXT(B414,"mmm"))</x:f>
        <x:v>Jan</x:v>
      </x:c>
      <x:c r="AB414" s="9" t="n">
        <x:f>IF(ISBLANK(B414),"",YEAR(B414))</x:f>
        <x:v>2024</x:v>
      </x:c>
      <x:c r="AC414" s="10" t="str"/>
      <x:c r="AD414" t="str">
        <x:f>IF(AND(U414="Completed",T414="Paid",ISERROR(SEARCH("INVALID",AC414)),ISERROR(SEARCH("REVIEW",AC414))),"Include","Exclude")</x:f>
        <x:v>Include</x:v>
      </x:c>
      <x:c r="AE414" t="str">
        <x:f>IF(T414="Refunded","Refunded","")</x:f>
      </x:c>
    </x:row>
    <x:row r="415">
      <x:c r="A415" t="str">
        <x:v>ORD-2025-10414</x:v>
      </x:c>
      <x:c r="B415" s="5" t="n">
        <x:v>45882</x:v>
      </x:c>
      <x:c r="C415" s="5" t="n">
        <x:v>45886</x:v>
      </x:c>
      <x:c r="D415" t="str">
        <x:v>CUST-5094</x:v>
      </x:c>
      <x:c r="E415" t="str">
        <x:v>Neha Gupta</x:v>
      </x:c>
      <x:c r="F415" t="str">
        <x:v>Home Office</x:v>
      </x:c>
      <x:c r="G415" t="str">
        <x:v>West</x:v>
      </x:c>
      <x:c r="H415" t="str">
        <x:v>Madhya Pradesh</x:v>
      </x:c>
      <x:c r="I415" t="str">
        <x:v>Indore</x:v>
      </x:c>
      <x:c r="J415" t="str">
        <x:v>Technology</x:v>
      </x:c>
      <x:c r="K415" t="str">
        <x:v>Accessories</x:v>
      </x:c>
      <x:c r="L415" t="str">
        <x:v>Smart Accessories 226</x:v>
      </x:c>
      <x:c r="M415" t="str">
        <x:v>Second Class</x:v>
      </x:c>
      <x:c r="N415" t="n">
        <x:v>8</x:v>
      </x:c>
      <x:c r="O415" s="7" t="n">
        <x:v>1918.23</x:v>
      </x:c>
      <x:c r="P415" s="6" t="n">
        <x:v>0</x:v>
      </x:c>
      <x:c r="Q415" s="7" t="n">
        <x:v>15345.84</x:v>
      </x:c>
      <x:c r="R415" s="7" t="n">
        <x:v>10735.33</x:v>
      </x:c>
      <x:c r="S415" s="7" t="n">
        <x:v>4610.51</x:v>
      </x:c>
      <x:c r="T415" t="str">
        <x:v>Pending</x:v>
      </x:c>
      <x:c r="U415" t="str">
        <x:v>Cancelled</x:v>
      </x:c>
      <x:c r="V415" s="6" t="n">
        <x:f>IF(ISBLANK(P415),IF(AND(ISNUMBER(N415),N415&gt;0,ISNUMBER(O415),O415&gt;=0,ISNUMBER(Q415),Q415&gt;=0,ISNUMBER(R415),R415&gt;=0,ISNUMBER(S415)),0,""),P415)</x:f>
        <x:v>0</x:v>
      </x:c>
      <x:c r="W415" s="7" t="n">
        <x:f>IF(ISBLANK(V415),"",N415*O415*(1-V415))</x:f>
        <x:v>15345.84</x:v>
      </x:c>
      <x:c r="X415" s="7" t="n">
        <x:f>IF(OR(ISBLANK(W415),ISBLANK(R415)),"",W415-R415)</x:f>
        <x:v>4610.51</x:v>
      </x:c>
      <x:c r="Y415" s="8" t="n">
        <x:f>IF(OR(ISBLANK(W415),W415=0),"",X415/W415)</x:f>
        <x:v>0.30044037993358463</x:v>
      </x:c>
      <x:c r="Z415" s="9" t="n">
        <x:f>IF(OR(ISBLANK(B415),ISBLANK(C415)),"",C415-B415)</x:f>
        <x:v>4</x:v>
      </x:c>
      <x:c r="AA415" t="str">
        <x:f>IF(ISBLANK(B415),"",TEXT(B415,"mmm"))</x:f>
        <x:v>Aug</x:v>
      </x:c>
      <x:c r="AB415" s="9" t="n">
        <x:f>IF(ISBLANK(B415),"",YEAR(B415))</x:f>
        <x:v>2025</x:v>
      </x:c>
      <x:c r="AC415" s="10" t="str">
        <x:v>EXCLUDE: Cancelled order</x:v>
      </x:c>
      <x:c r="AD415" t="str">
        <x:f>IF(AND(U415="Completed",T415="Paid",ISERROR(SEARCH("INVALID",AC415)),ISERROR(SEARCH("REVIEW",AC415))),"Include","Exclude")</x:f>
        <x:v>Exclude</x:v>
      </x:c>
      <x:c r="AE415" t="str">
        <x:f>IF(T415="Refunded","Refunded","")</x:f>
      </x:c>
    </x:row>
    <x:row r="416">
      <x:c r="A416" t="str">
        <x:v>ORD-2024-10415</x:v>
      </x:c>
      <x:c r="B416" s="5" t="n">
        <x:v>45533</x:v>
      </x:c>
      <x:c r="C416" s="5" t="n">
        <x:v>45534</x:v>
      </x:c>
      <x:c r="D416" t="str">
        <x:v>CUST-4194</x:v>
      </x:c>
      <x:c r="E416" t="str">
        <x:v>Arjun Bose</x:v>
      </x:c>
      <x:c r="F416" t="str">
        <x:v>Home Office</x:v>
      </x:c>
      <x:c r="G416" t="str">
        <x:v>East</x:v>
      </x:c>
      <x:c r="H416" t="str">
        <x:v>Assam</x:v>
      </x:c>
      <x:c r="I416" t="str">
        <x:v>Guwahati</x:v>
      </x:c>
      <x:c r="J416" t="str">
        <x:v>Office Supplies</x:v>
      </x:c>
      <x:c r="K416" t="str">
        <x:v>Storage</x:v>
      </x:c>
      <x:c r="L416" t="str">
        <x:v>Max Storage 692</x:v>
      </x:c>
      <x:c r="M416" t="str">
        <x:v>First Class</x:v>
      </x:c>
      <x:c r="N416" t="n">
        <x:v>4</x:v>
      </x:c>
      <x:c r="O416" s="7" t="n">
        <x:v>2484.08</x:v>
      </x:c>
      <x:c r="P416" s="6" t="n">
        <x:v>0.05</x:v>
      </x:c>
      <x:c r="Q416" s="7" t="n">
        <x:v>9439.5</x:v>
      </x:c>
      <x:c r="R416" s="7" t="n">
        <x:v>5519.39</x:v>
      </x:c>
      <x:c r="S416" s="7" t="n">
        <x:v>3920.11</x:v>
      </x:c>
      <x:c r="T416" t="str">
        <x:v>Paid</x:v>
      </x:c>
      <x:c r="U416" t="str">
        <x:v>Completed</x:v>
      </x:c>
      <x:c r="V416" s="6" t="n">
        <x:f>IF(ISBLANK(P416),IF(AND(ISNUMBER(N416),N416&gt;0,ISNUMBER(O416),O416&gt;=0,ISNUMBER(Q416),Q416&gt;=0,ISNUMBER(R416),R416&gt;=0,ISNUMBER(S416)),0,""),P416)</x:f>
        <x:v>0.05</x:v>
      </x:c>
      <x:c r="W416" s="7" t="n">
        <x:f>IF(ISBLANK(V416),"",N416*O416*(1-V416))</x:f>
        <x:v>9439.503999999999</x:v>
      </x:c>
      <x:c r="X416" s="7" t="n">
        <x:f>IF(OR(ISBLANK(W416),ISBLANK(R416)),"",W416-R416)</x:f>
        <x:v>3920.1139999999987</x:v>
      </x:c>
      <x:c r="Y416" s="8" t="n">
        <x:f>IF(OR(ISBLANK(W416),W416=0),"",X416/W416)</x:f>
        <x:v>0.4152881337833004</x:v>
      </x:c>
      <x:c r="Z416" s="9" t="n">
        <x:f>IF(OR(ISBLANK(B416),ISBLANK(C416)),"",C416-B416)</x:f>
        <x:v>1</x:v>
      </x:c>
      <x:c r="AA416" t="str">
        <x:f>IF(ISBLANK(B416),"",TEXT(B416,"mmm"))</x:f>
        <x:v>Aug</x:v>
      </x:c>
      <x:c r="AB416" s="9" t="n">
        <x:f>IF(ISBLANK(B416),"",YEAR(B416))</x:f>
        <x:v>2024</x:v>
      </x:c>
      <x:c r="AC416" s="10" t="str"/>
      <x:c r="AD416" t="str">
        <x:f>IF(AND(U416="Completed",T416="Paid",ISERROR(SEARCH("INVALID",AC416)),ISERROR(SEARCH("REVIEW",AC416))),"Include","Exclude")</x:f>
        <x:v>Include</x:v>
      </x:c>
      <x:c r="AE416" t="str">
        <x:f>IF(T416="Refunded","Refunded","")</x:f>
      </x:c>
    </x:row>
    <x:row r="417">
      <x:c r="A417" t="str">
        <x:v>ORD-2024-10416</x:v>
      </x:c>
      <x:c r="B417" s="5" t="n">
        <x:v>45316</x:v>
      </x:c>
      <x:c r="C417" s="5" t="n">
        <x:v>45318</x:v>
      </x:c>
      <x:c r="D417" t="str">
        <x:v>CUST-7087</x:v>
      </x:c>
      <x:c r="E417" t="str">
        <x:v>Aarav Sharma</x:v>
      </x:c>
      <x:c r="F417" t="str">
        <x:v>Corporate</x:v>
      </x:c>
      <x:c r="G417" t="str">
        <x:v>South</x:v>
      </x:c>
      <x:c r="H417" t="str">
        <x:v>Karnataka</x:v>
      </x:c>
      <x:c r="I417" t="str">
        <x:v>Bengaluru</x:v>
      </x:c>
      <x:c r="J417" t="str">
        <x:v>Office Supplies</x:v>
      </x:c>
      <x:c r="K417" t="str">
        <x:v>Storage</x:v>
      </x:c>
      <x:c r="L417" t="str">
        <x:v>Basic Storage 684</x:v>
      </x:c>
      <x:c r="M417" t="str">
        <x:v>Same Day</x:v>
      </x:c>
      <x:c r="N417" t="n">
        <x:v>7</x:v>
      </x:c>
      <x:c r="O417" s="7" t="n">
        <x:v>1727.26</x:v>
      </x:c>
      <x:c r="P417" s="6" t="n">
        <x:v>0.15</x:v>
      </x:c>
      <x:c r="Q417" s="7" t="n">
        <x:v>10277.2</x:v>
      </x:c>
      <x:c r="R417" s="7" t="n">
        <x:v>7906.5</x:v>
      </x:c>
      <x:c r="S417" s="7" t="n">
        <x:v>2370.7</x:v>
      </x:c>
      <x:c r="T417" t="str">
        <x:v>Paid</x:v>
      </x:c>
      <x:c r="U417" t="str">
        <x:v>Returned</x:v>
      </x:c>
      <x:c r="V417" s="6" t="n">
        <x:f>IF(ISBLANK(P417),IF(AND(ISNUMBER(N417),N417&gt;0,ISNUMBER(O417),O417&gt;=0,ISNUMBER(Q417),Q417&gt;=0,ISNUMBER(R417),R417&gt;=0,ISNUMBER(S417)),0,""),P417)</x:f>
        <x:v>0.15</x:v>
      </x:c>
      <x:c r="W417" s="7" t="n">
        <x:f>IF(ISBLANK(V417),"",N417*O417*(1-V417))</x:f>
        <x:v>10277.197</x:v>
      </x:c>
      <x:c r="X417" s="7" t="n">
        <x:f>IF(OR(ISBLANK(W417),ISBLANK(R417)),"",W417-R417)</x:f>
        <x:v>2370.697</x:v>
      </x:c>
      <x:c r="Y417" s="8" t="n">
        <x:f>IF(OR(ISBLANK(W417),W417=0),"",X417/W417)</x:f>
        <x:v>0.23067544584384245</x:v>
      </x:c>
      <x:c r="Z417" s="9" t="n">
        <x:f>IF(OR(ISBLANK(B417),ISBLANK(C417)),"",C417-B417)</x:f>
        <x:v>2</x:v>
      </x:c>
      <x:c r="AA417" t="str">
        <x:f>IF(ISBLANK(B417),"",TEXT(B417,"mmm"))</x:f>
        <x:v>Jan</x:v>
      </x:c>
      <x:c r="AB417" s="9" t="n">
        <x:f>IF(ISBLANK(B417),"",YEAR(B417))</x:f>
        <x:v>2024</x:v>
      </x:c>
      <x:c r="AC417" s="10" t="str"/>
      <x:c r="AD417" t="str">
        <x:f>IF(AND(U417="Completed",T417="Paid",ISERROR(SEARCH("INVALID",AC417)),ISERROR(SEARCH("REVIEW",AC417))),"Include","Exclude")</x:f>
        <x:v>Exclude</x:v>
      </x:c>
      <x:c r="AE417" t="str">
        <x:f>IF(T417="Refunded","Refunded","")</x:f>
      </x:c>
    </x:row>
    <x:row r="418">
      <x:c r="A418" t="str">
        <x:v>ORD-2025-10417</x:v>
      </x:c>
      <x:c r="B418" s="5" t="n">
        <x:v>45665</x:v>
      </x:c>
      <x:c r="C418" s="5" t="n">
        <x:v>45673</x:v>
      </x:c>
      <x:c r="D418" t="str">
        <x:v>CUST-7608</x:v>
      </x:c>
      <x:c r="E418" t="str">
        <x:v>Neha Gupta</x:v>
      </x:c>
      <x:c r="F418" t="str">
        <x:v>Consumer</x:v>
      </x:c>
      <x:c r="G418" t="str">
        <x:v>South</x:v>
      </x:c>
      <x:c r="H418" t="str">
        <x:v>Telangana</x:v>
      </x:c>
      <x:c r="I418" t="str">
        <x:v>Hyderabad</x:v>
      </x:c>
      <x:c r="J418" t="str">
        <x:v>Furniture</x:v>
      </x:c>
      <x:c r="K418" t="str">
        <x:v>Furnishings</x:v>
      </x:c>
      <x:c r="L418" t="str">
        <x:v>Smart Furnishings 152</x:v>
      </x:c>
      <x:c r="M418" t="str">
        <x:v>First Class</x:v>
      </x:c>
      <x:c r="N418" t="n">
        <x:v>8</x:v>
      </x:c>
      <x:c r="O418" s="7" t="n">
        <x:v>638.95</x:v>
      </x:c>
      <x:c r="P418" s="6" t="n">
        <x:v>0.25</x:v>
      </x:c>
      <x:c r="Q418" s="7" t="n">
        <x:v>3833.7</x:v>
      </x:c>
      <x:c r="R418" s="7" t="n">
        <x:v>2886.35</x:v>
      </x:c>
      <x:c r="S418" s="7" t="n">
        <x:v>947.35</x:v>
      </x:c>
      <x:c r="T418" t="str">
        <x:v>Paid</x:v>
      </x:c>
      <x:c r="U418" t="str">
        <x:v>Completed</x:v>
      </x:c>
      <x:c r="V418" s="6" t="n">
        <x:f>IF(ISBLANK(P418),IF(AND(ISNUMBER(N418),N418&gt;0,ISNUMBER(O418),O418&gt;=0,ISNUMBER(Q418),Q418&gt;=0,ISNUMBER(R418),R418&gt;=0,ISNUMBER(S418)),0,""),P418)</x:f>
        <x:v>0.25</x:v>
      </x:c>
      <x:c r="W418" s="7" t="n">
        <x:f>IF(ISBLANK(V418),"",N418*O418*(1-V418))</x:f>
        <x:v>3833.7000000000003</x:v>
      </x:c>
      <x:c r="X418" s="7" t="n">
        <x:f>IF(OR(ISBLANK(W418),ISBLANK(R418)),"",W418-R418)</x:f>
        <x:v>947.3500000000004</x:v>
      </x:c>
      <x:c r="Y418" s="8" t="n">
        <x:f>IF(OR(ISBLANK(W418),W418=0),"",X418/W418)</x:f>
        <x:v>0.24711114589039318</x:v>
      </x:c>
      <x:c r="Z418" s="9" t="n">
        <x:f>IF(OR(ISBLANK(B418),ISBLANK(C418)),"",C418-B418)</x:f>
        <x:v>8</x:v>
      </x:c>
      <x:c r="AA418" t="str">
        <x:f>IF(ISBLANK(B418),"",TEXT(B418,"mmm"))</x:f>
        <x:v>Jan</x:v>
      </x:c>
      <x:c r="AB418" s="9" t="n">
        <x:f>IF(ISBLANK(B418),"",YEAR(B418))</x:f>
        <x:v>2025</x:v>
      </x:c>
      <x:c r="AC418" s="10" t="str"/>
      <x:c r="AD418" t="str">
        <x:f>IF(AND(U418="Completed",T418="Paid",ISERROR(SEARCH("INVALID",AC418)),ISERROR(SEARCH("REVIEW",AC418))),"Include","Exclude")</x:f>
        <x:v>Include</x:v>
      </x:c>
      <x:c r="AE418" t="str">
        <x:f>IF(T418="Refunded","Refunded","")</x:f>
      </x:c>
    </x:row>
    <x:row r="419">
      <x:c r="A419" t="str">
        <x:v>ORD-2025-10418</x:v>
      </x:c>
      <x:c r="B419" s="5" t="n">
        <x:v>45686</x:v>
      </x:c>
      <x:c r="C419" s="5" t="n">
        <x:v>45693</x:v>
      </x:c>
      <x:c r="D419" t="str">
        <x:v>CUST-5269</x:v>
      </x:c>
      <x:c r="E419" t="str">
        <x:v>Mira Das</x:v>
      </x:c>
      <x:c r="F419" t="str">
        <x:v>Consumer</x:v>
      </x:c>
      <x:c r="G419" t="str">
        <x:v>West</x:v>
      </x:c>
      <x:c r="H419" t="str">
        <x:v>Gujarat</x:v>
      </x:c>
      <x:c r="I419" t="str">
        <x:v>Ahmedabad</x:v>
      </x:c>
      <x:c r="J419" t="str">
        <x:v>Office Supplies</x:v>
      </x:c>
      <x:c r="K419" t="str">
        <x:v>Art</x:v>
      </x:c>
      <x:c r="L419" t="str">
        <x:v>Max Art 736</x:v>
      </x:c>
      <x:c r="M419" t="str">
        <x:v>First Class</x:v>
      </x:c>
      <x:c r="N419" t="n">
        <x:v>6</x:v>
      </x:c>
      <x:c r="O419" s="7" t="n">
        <x:v>3863</x:v>
      </x:c>
      <x:c r="P419" s="6" t="n">
        <x:v>0.2</x:v>
      </x:c>
      <x:c r="Q419" s="7" t="n">
        <x:v>18542.4</x:v>
      </x:c>
      <x:c r="R419" s="7" t="n">
        <x:v>11193.75</x:v>
      </x:c>
      <x:c r="S419" s="7" t="n">
        <x:v>7348.65</x:v>
      </x:c>
      <x:c r="T419" t="str">
        <x:v>Paid</x:v>
      </x:c>
      <x:c r="U419" t="str">
        <x:v>Completed</x:v>
      </x:c>
      <x:c r="V419" s="6" t="n">
        <x:f>IF(ISBLANK(P419),IF(AND(ISNUMBER(N419),N419&gt;0,ISNUMBER(O419),O419&gt;=0,ISNUMBER(Q419),Q419&gt;=0,ISNUMBER(R419),R419&gt;=0,ISNUMBER(S419)),0,""),P419)</x:f>
        <x:v>0.2</x:v>
      </x:c>
      <x:c r="W419" s="7" t="n">
        <x:f>IF(ISBLANK(V419),"",N419*O419*(1-V419))</x:f>
        <x:v>18542.4</x:v>
      </x:c>
      <x:c r="X419" s="7" t="n">
        <x:f>IF(OR(ISBLANK(W419),ISBLANK(R419)),"",W419-R419)</x:f>
        <x:v>7348.6500000000015</x:v>
      </x:c>
      <x:c r="Y419" s="8" t="n">
        <x:f>IF(OR(ISBLANK(W419),W419=0),"",X419/W419)</x:f>
        <x:v>0.39631601087237905</x:v>
      </x:c>
      <x:c r="Z419" s="9" t="n">
        <x:f>IF(OR(ISBLANK(B419),ISBLANK(C419)),"",C419-B419)</x:f>
        <x:v>7</x:v>
      </x:c>
      <x:c r="AA419" t="str">
        <x:f>IF(ISBLANK(B419),"",TEXT(B419,"mmm"))</x:f>
        <x:v>Jan</x:v>
      </x:c>
      <x:c r="AB419" s="9" t="n">
        <x:f>IF(ISBLANK(B419),"",YEAR(B419))</x:f>
        <x:v>2025</x:v>
      </x:c>
      <x:c r="AC419" s="10" t="str"/>
      <x:c r="AD419" t="str">
        <x:f>IF(AND(U419="Completed",T419="Paid",ISERROR(SEARCH("INVALID",AC419)),ISERROR(SEARCH("REVIEW",AC419))),"Include","Exclude")</x:f>
        <x:v>Include</x:v>
      </x:c>
      <x:c r="AE419" t="str">
        <x:f>IF(T419="Refunded","Refunded","")</x:f>
      </x:c>
    </x:row>
    <x:row r="420">
      <x:c r="A420" t="str">
        <x:v>ORD-2024-10419</x:v>
      </x:c>
      <x:c r="B420" s="5" t="n">
        <x:v>45605</x:v>
      </x:c>
      <x:c r="C420" s="5" t="n">
        <x:v>45613</x:v>
      </x:c>
      <x:c r="D420" t="str">
        <x:v>CUST-7925</x:v>
      </x:c>
      <x:c r="E420" t="str">
        <x:v>Sneha Kapoor</x:v>
      </x:c>
      <x:c r="F420" t="str">
        <x:v>Corporate</x:v>
      </x:c>
      <x:c r="G420" t="str">
        <x:v>East</x:v>
      </x:c>
      <x:c r="H420" t="str">
        <x:v>Odisha</x:v>
      </x:c>
      <x:c r="I420" t="str">
        <x:v>Bhubaneswar</x:v>
      </x:c>
      <x:c r="J420" t="str">
        <x:v>Technology</x:v>
      </x:c>
      <x:c r="K420" t="str">
        <x:v>Copiers</x:v>
      </x:c>
      <x:c r="L420" t="str">
        <x:v>Elite Copiers 971</x:v>
      </x:c>
      <x:c r="M420" t="str">
        <x:v>Standard Class</x:v>
      </x:c>
      <x:c r="N420" t="n">
        <x:v>6</x:v>
      </x:c>
      <x:c r="O420" s="7" t="n">
        <x:v>3660.4</x:v>
      </x:c>
      <x:c r="P420" s="6" t="n">
        <x:v>0</x:v>
      </x:c>
      <x:c r="Q420" s="7" t="n">
        <x:v>21962.4</x:v>
      </x:c>
      <x:c r="R420" s="7" t="n">
        <x:v>15331.99</x:v>
      </x:c>
      <x:c r="S420" s="7" t="n">
        <x:v>6630.41</x:v>
      </x:c>
      <x:c r="T420" t="str">
        <x:v>Failed</x:v>
      </x:c>
      <x:c r="U420" t="str">
        <x:v>Cancelled</x:v>
      </x:c>
      <x:c r="V420" s="6" t="n">
        <x:f>IF(ISBLANK(P420),IF(AND(ISNUMBER(N420),N420&gt;0,ISNUMBER(O420),O420&gt;=0,ISNUMBER(Q420),Q420&gt;=0,ISNUMBER(R420),R420&gt;=0,ISNUMBER(S420)),0,""),P420)</x:f>
        <x:v>0</x:v>
      </x:c>
      <x:c r="W420" s="7" t="n">
        <x:f>IF(ISBLANK(V420),"",N420*O420*(1-V420))</x:f>
        <x:v>21962.4</x:v>
      </x:c>
      <x:c r="X420" s="7" t="n">
        <x:f>IF(OR(ISBLANK(W420),ISBLANK(R420)),"",W420-R420)</x:f>
        <x:v>6630.410000000002</x:v>
      </x:c>
      <x:c r="Y420" s="8" t="n">
        <x:f>IF(OR(ISBLANK(W420),W420=0),"",X420/W420)</x:f>
        <x:v>0.3018982442720286</x:v>
      </x:c>
      <x:c r="Z420" s="9" t="n">
        <x:f>IF(OR(ISBLANK(B420),ISBLANK(C420)),"",C420-B420)</x:f>
        <x:v>8</x:v>
      </x:c>
      <x:c r="AA420" t="str">
        <x:f>IF(ISBLANK(B420),"",TEXT(B420,"mmm"))</x:f>
        <x:v>Nov</x:v>
      </x:c>
      <x:c r="AB420" s="9" t="n">
        <x:f>IF(ISBLANK(B420),"",YEAR(B420))</x:f>
        <x:v>2024</x:v>
      </x:c>
      <x:c r="AC420" s="10" t="str">
        <x:v>EXCLUDE: Cancelled order; EXCLUDE: Failed payment</x:v>
      </x:c>
      <x:c r="AD420" t="str">
        <x:f>IF(AND(U420="Completed",T420="Paid",ISERROR(SEARCH("INVALID",AC420)),ISERROR(SEARCH("REVIEW",AC420))),"Include","Exclude")</x:f>
        <x:v>Exclude</x:v>
      </x:c>
      <x:c r="AE420" t="str">
        <x:f>IF(T420="Refunded","Refunded","")</x:f>
      </x:c>
    </x:row>
    <x:row r="421">
      <x:c r="A421" t="str">
        <x:v>ORD-2025-10420</x:v>
      </x:c>
      <x:c r="B421" s="5" t="n">
        <x:v>45926</x:v>
      </x:c>
      <x:c r="C421" s="5" t="n">
        <x:v>45930</x:v>
      </x:c>
      <x:c r="D421" t="str">
        <x:v>CUST-6552</x:v>
      </x:c>
      <x:c r="E421" t="str">
        <x:v>Sneha Kapoor</x:v>
      </x:c>
      <x:c r="F421" t="str">
        <x:v>Home Office</x:v>
      </x:c>
      <x:c r="G421" t="str">
        <x:v>North</x:v>
      </x:c>
      <x:c r="H421" t="str">
        <x:v>Haryana</x:v>
      </x:c>
      <x:c r="I421" t="str">
        <x:v>Gurugram</x:v>
      </x:c>
      <x:c r="J421" t="str">
        <x:v>Technology</x:v>
      </x:c>
      <x:c r="K421" t="str">
        <x:v>Phones</x:v>
      </x:c>
      <x:c r="L421" t="str">
        <x:v>Classic Phones 940</x:v>
      </x:c>
      <x:c r="M421" t="str">
        <x:v>Same Day</x:v>
      </x:c>
      <x:c r="N421" t="n">
        <x:v>2</x:v>
      </x:c>
      <x:c r="O421" s="7" t="n">
        <x:v>688.83</x:v>
      </x:c>
      <x:c r="P421" s="6" t="n">
        <x:v>0.05</x:v>
      </x:c>
      <x:c r="Q421" s="7" t="n">
        <x:v>1308.78</x:v>
      </x:c>
      <x:c r="R421" s="7" t="n">
        <x:v>843</x:v>
      </x:c>
      <x:c r="S421" s="7" t="n">
        <x:v>465.78</x:v>
      </x:c>
      <x:c r="T421" t="str">
        <x:v>Paid</x:v>
      </x:c>
      <x:c r="U421" t="str">
        <x:v>Completed</x:v>
      </x:c>
      <x:c r="V421" s="6" t="n">
        <x:f>IF(ISBLANK(P421),IF(AND(ISNUMBER(N421),N421&gt;0,ISNUMBER(O421),O421&gt;=0,ISNUMBER(Q421),Q421&gt;=0,ISNUMBER(R421),R421&gt;=0,ISNUMBER(S421)),0,""),P421)</x:f>
        <x:v>0.05</x:v>
      </x:c>
      <x:c r="W421" s="7" t="n">
        <x:f>IF(ISBLANK(V421),"",N421*O421*(1-V421))</x:f>
        <x:v>1308.777</x:v>
      </x:c>
      <x:c r="X421" s="7" t="n">
        <x:f>IF(OR(ISBLANK(W421),ISBLANK(R421)),"",W421-R421)</x:f>
        <x:v>465.77700000000004</x:v>
      </x:c>
      <x:c r="Y421" s="8" t="n">
        <x:f>IF(OR(ISBLANK(W421),W421=0),"",X421/W421)</x:f>
        <x:v>0.35588721378813964</x:v>
      </x:c>
      <x:c r="Z421" s="9" t="n">
        <x:f>IF(OR(ISBLANK(B421),ISBLANK(C421)),"",C421-B421)</x:f>
        <x:v>4</x:v>
      </x:c>
      <x:c r="AA421" t="str">
        <x:f>IF(ISBLANK(B421),"",TEXT(B421,"mmm"))</x:f>
        <x:v>Sep</x:v>
      </x:c>
      <x:c r="AB421" s="9" t="n">
        <x:f>IF(ISBLANK(B421),"",YEAR(B421))</x:f>
        <x:v>2025</x:v>
      </x:c>
      <x:c r="AC421" s="10" t="str"/>
      <x:c r="AD421" t="str">
        <x:f>IF(AND(U421="Completed",T421="Paid",ISERROR(SEARCH("INVALID",AC421)),ISERROR(SEARCH("REVIEW",AC421))),"Include","Exclude")</x:f>
        <x:v>Include</x:v>
      </x:c>
      <x:c r="AE421" t="str">
        <x:f>IF(T421="Refunded","Refunded","")</x:f>
      </x:c>
    </x:row>
    <x:row r="422">
      <x:c r="A422" t="str">
        <x:v>ORD-2025-10421</x:v>
      </x:c>
      <x:c r="B422" s="5" t="n">
        <x:v>45734</x:v>
      </x:c>
      <x:c r="C422" s="5" t="n">
        <x:v>45735</x:v>
      </x:c>
      <x:c r="D422" t="str">
        <x:v>CUST-7131</x:v>
      </x:c>
      <x:c r="E422" t="str">
        <x:v>Isha Nair</x:v>
      </x:c>
      <x:c r="F422" t="str">
        <x:v>Corporate</x:v>
      </x:c>
      <x:c r="G422" t="str">
        <x:v>South</x:v>
      </x:c>
      <x:c r="H422" t="str">
        <x:v>Tamil Nadu</x:v>
      </x:c>
      <x:c r="I422" t="str">
        <x:v>Chennai</x:v>
      </x:c>
      <x:c r="J422" t="str">
        <x:v>Technology</x:v>
      </x:c>
      <x:c r="K422" t="str">
        <x:v>Machines</x:v>
      </x:c>
      <x:c r="L422" t="str">
        <x:v>Pro Machines 579</x:v>
      </x:c>
      <x:c r="M422" t="str">
        <x:v>Standard Class</x:v>
      </x:c>
      <x:c r="N422" t="n">
        <x:v>2</x:v>
      </x:c>
      <x:c r="O422" s="7" t="n">
        <x:v>1209.99</x:v>
      </x:c>
      <x:c r="P422" s="6" t="n">
        <x:v>0.25</x:v>
      </x:c>
      <x:c r="Q422" s="7" t="n">
        <x:v>1814.99</x:v>
      </x:c>
      <x:c r="R422" s="7" t="n">
        <x:v>1120.06</x:v>
      </x:c>
      <x:c r="S422" s="7" t="n">
        <x:v>694.93</x:v>
      </x:c>
      <x:c r="T422" t="str">
        <x:v>Pending</x:v>
      </x:c>
      <x:c r="U422" t="str">
        <x:v>Cancelled</x:v>
      </x:c>
      <x:c r="V422" s="6" t="n">
        <x:f>IF(ISBLANK(P422),IF(AND(ISNUMBER(N422),N422&gt;0,ISNUMBER(O422),O422&gt;=0,ISNUMBER(Q422),Q422&gt;=0,ISNUMBER(R422),R422&gt;=0,ISNUMBER(S422)),0,""),P422)</x:f>
        <x:v>0.25</x:v>
      </x:c>
      <x:c r="W422" s="7" t="n">
        <x:f>IF(ISBLANK(V422),"",N422*O422*(1-V422))</x:f>
        <x:v>1814.9850000000001</x:v>
      </x:c>
      <x:c r="X422" s="7" t="n">
        <x:f>IF(OR(ISBLANK(W422),ISBLANK(R422)),"",W422-R422)</x:f>
        <x:v>694.9250000000002</x:v>
      </x:c>
      <x:c r="Y422" s="8" t="n">
        <x:f>IF(OR(ISBLANK(W422),W422=0),"",X422/W422)</x:f>
        <x:v>0.3828819521924424</x:v>
      </x:c>
      <x:c r="Z422" s="9" t="n">
        <x:f>IF(OR(ISBLANK(B422),ISBLANK(C422)),"",C422-B422)</x:f>
        <x:v>1</x:v>
      </x:c>
      <x:c r="AA422" t="str">
        <x:f>IF(ISBLANK(B422),"",TEXT(B422,"mmm"))</x:f>
        <x:v>Mar</x:v>
      </x:c>
      <x:c r="AB422" s="9" t="n">
        <x:f>IF(ISBLANK(B422),"",YEAR(B422))</x:f>
        <x:v>2025</x:v>
      </x:c>
      <x:c r="AC422" s="10" t="str">
        <x:v>EXCLUDE: Cancelled order</x:v>
      </x:c>
      <x:c r="AD422" t="str">
        <x:f>IF(AND(U422="Completed",T422="Paid",ISERROR(SEARCH("INVALID",AC422)),ISERROR(SEARCH("REVIEW",AC422))),"Include","Exclude")</x:f>
        <x:v>Exclude</x:v>
      </x:c>
      <x:c r="AE422" t="str">
        <x:f>IF(T422="Refunded","Refunded","")</x:f>
      </x:c>
    </x:row>
    <x:row r="423">
      <x:c r="A423" t="str">
        <x:v>ORD-2025-10422</x:v>
      </x:c>
      <x:c r="B423" s="5" t="n">
        <x:v>45822</x:v>
      </x:c>
      <x:c r="C423" s="5" t="n">
        <x:v>45827</x:v>
      </x:c>
      <x:c r="D423" t="str">
        <x:v>CUST-2779</x:v>
      </x:c>
      <x:c r="E423" t="str">
        <x:v>Rohan Mehta</x:v>
      </x:c>
      <x:c r="F423" t="str">
        <x:v>Small Business</x:v>
      </x:c>
      <x:c r="G423" t="str">
        <x:v>North</x:v>
      </x:c>
      <x:c r="H423" t="str">
        <x:v>Delhi</x:v>
      </x:c>
      <x:c r="I423" t="str">
        <x:v>New Delhi</x:v>
      </x:c>
      <x:c r="J423" t="str">
        <x:v>Office Supplies</x:v>
      </x:c>
      <x:c r="K423" t="str">
        <x:v>Binders</x:v>
      </x:c>
      <x:c r="L423" t="str">
        <x:v>Elite Binders 943</x:v>
      </x:c>
      <x:c r="M423" t="str">
        <x:v>Same Day</x:v>
      </x:c>
      <x:c r="N423" t="n">
        <x:v>3</x:v>
      </x:c>
      <x:c r="O423" s="7" t="n">
        <x:v>1037.45</x:v>
      </x:c>
      <x:c r="P423" s="6" t="n">
        <x:v>0.2</x:v>
      </x:c>
      <x:c r="Q423" s="7" t="n">
        <x:v>2489.88</x:v>
      </x:c>
      <x:c r="R423" s="7" t="n">
        <x:v>1707.52</x:v>
      </x:c>
      <x:c r="S423" s="7" t="n">
        <x:v>782.36</x:v>
      </x:c>
      <x:c r="T423" t="str">
        <x:v>Pending</x:v>
      </x:c>
      <x:c r="U423" t="str">
        <x:v>Returned</x:v>
      </x:c>
      <x:c r="V423" s="6" t="n">
        <x:f>IF(ISBLANK(P423),IF(AND(ISNUMBER(N423),N423&gt;0,ISNUMBER(O423),O423&gt;=0,ISNUMBER(Q423),Q423&gt;=0,ISNUMBER(R423),R423&gt;=0,ISNUMBER(S423)),0,""),P423)</x:f>
        <x:v>0.2</x:v>
      </x:c>
      <x:c r="W423" s="7" t="n">
        <x:f>IF(ISBLANK(V423),"",N423*O423*(1-V423))</x:f>
        <x:v>2489.8800000000006</x:v>
      </x:c>
      <x:c r="X423" s="7" t="n">
        <x:f>IF(OR(ISBLANK(W423),ISBLANK(R423)),"",W423-R423)</x:f>
        <x:v>782.3600000000006</x:v>
      </x:c>
      <x:c r="Y423" s="8" t="n">
        <x:f>IF(OR(ISBLANK(W423),W423=0),"",X423/W423)</x:f>
        <x:v>0.3142159461500154</x:v>
      </x:c>
      <x:c r="Z423" s="9" t="n">
        <x:f>IF(OR(ISBLANK(B423),ISBLANK(C423)),"",C423-B423)</x:f>
        <x:v>5</x:v>
      </x:c>
      <x:c r="AA423" t="str">
        <x:f>IF(ISBLANK(B423),"",TEXT(B423,"mmm"))</x:f>
        <x:v>Jun</x:v>
      </x:c>
      <x:c r="AB423" s="9" t="n">
        <x:f>IF(ISBLANK(B423),"",YEAR(B423))</x:f>
        <x:v>2025</x:v>
      </x:c>
      <x:c r="AC423" s="10" t="str"/>
      <x:c r="AD423" t="str">
        <x:f>IF(AND(U423="Completed",T423="Paid",ISERROR(SEARCH("INVALID",AC423)),ISERROR(SEARCH("REVIEW",AC423))),"Include","Exclude")</x:f>
        <x:v>Exclude</x:v>
      </x:c>
      <x:c r="AE423" t="str">
        <x:f>IF(T423="Refunded","Refunded","")</x:f>
      </x:c>
    </x:row>
    <x:row r="424">
      <x:c r="A424" t="str">
        <x:v>ORD-2025-10423</x:v>
      </x:c>
      <x:c r="B424" s="5" t="n">
        <x:v>45903</x:v>
      </x:c>
      <x:c r="C424" s="5" t="n">
        <x:v>45906</x:v>
      </x:c>
      <x:c r="D424" t="str">
        <x:v>CUST-6077</x:v>
      </x:c>
      <x:c r="E424" t="str">
        <x:v>Kabir Singh</x:v>
      </x:c>
      <x:c r="F424" t="str">
        <x:v>Consumer</x:v>
      </x:c>
      <x:c r="G424" t="str">
        <x:v>West</x:v>
      </x:c>
      <x:c r="H424" t="str">
        <x:v>Madhya Pradesh</x:v>
      </x:c>
      <x:c r="I424" t="str">
        <x:v>Indore</x:v>
      </x:c>
      <x:c r="J424" t="str">
        <x:v>Technology</x:v>
      </x:c>
      <x:c r="K424" t="str">
        <x:v>Copiers</x:v>
      </x:c>
      <x:c r="L424" t="str">
        <x:v>Elite Copiers 474</x:v>
      </x:c>
      <x:c r="M424" t="str">
        <x:v>Same Day</x:v>
      </x:c>
      <x:c r="N424" t="n">
        <x:v>7</x:v>
      </x:c>
      <x:c r="O424" s="7" t="n">
        <x:v>688.85</x:v>
      </x:c>
      <x:c r="P424" s="6" t="n">
        <x:v>0.15</x:v>
      </x:c>
      <x:c r="Q424" s="7" t="n">
        <x:v>4098.66</x:v>
      </x:c>
      <x:c r="R424" s="7" t="n">
        <x:v>2678.06</x:v>
      </x:c>
      <x:c r="S424" s="7" t="n">
        <x:v>1420.6</x:v>
      </x:c>
      <x:c r="T424" t="str">
        <x:v>Paid</x:v>
      </x:c>
      <x:c r="U424" t="str">
        <x:v>Completed</x:v>
      </x:c>
      <x:c r="V424" s="6" t="n">
        <x:f>IF(ISBLANK(P424),IF(AND(ISNUMBER(N424),N424&gt;0,ISNUMBER(O424),O424&gt;=0,ISNUMBER(Q424),Q424&gt;=0,ISNUMBER(R424),R424&gt;=0,ISNUMBER(S424)),0,""),P424)</x:f>
        <x:v>0.15</x:v>
      </x:c>
      <x:c r="W424" s="7" t="n">
        <x:f>IF(ISBLANK(V424),"",N424*O424*(1-V424))</x:f>
        <x:v>4098.657499999999</x:v>
      </x:c>
      <x:c r="X424" s="7" t="n">
        <x:f>IF(OR(ISBLANK(W424),ISBLANK(R424)),"",W424-R424)</x:f>
        <x:v>1420.5974999999994</x:v>
      </x:c>
      <x:c r="Y424" s="8" t="n">
        <x:f>IF(OR(ISBLANK(W424),W424=0),"",X424/W424)</x:f>
        <x:v>0.34660068571233377</x:v>
      </x:c>
      <x:c r="Z424" s="9" t="n">
        <x:f>IF(OR(ISBLANK(B424),ISBLANK(C424)),"",C424-B424)</x:f>
        <x:v>3</x:v>
      </x:c>
      <x:c r="AA424" t="str">
        <x:f>IF(ISBLANK(B424),"",TEXT(B424,"mmm"))</x:f>
        <x:v>Sep</x:v>
      </x:c>
      <x:c r="AB424" s="9" t="n">
        <x:f>IF(ISBLANK(B424),"",YEAR(B424))</x:f>
        <x:v>2025</x:v>
      </x:c>
      <x:c r="AC424" s="10" t="str"/>
      <x:c r="AD424" t="str">
        <x:f>IF(AND(U424="Completed",T424="Paid",ISERROR(SEARCH("INVALID",AC424)),ISERROR(SEARCH("REVIEW",AC424))),"Include","Exclude")</x:f>
        <x:v>Include</x:v>
      </x:c>
      <x:c r="AE424" t="str">
        <x:f>IF(T424="Refunded","Refunded","")</x:f>
      </x:c>
    </x:row>
    <x:row r="425">
      <x:c r="A425" t="str">
        <x:v>ORD-2024-10424</x:v>
      </x:c>
      <x:c r="B425" s="5" t="n">
        <x:v>45342</x:v>
      </x:c>
      <x:c r="C425" s="5" t="n">
        <x:v>45349</x:v>
      </x:c>
      <x:c r="D425" t="str">
        <x:v>CUST-6169</x:v>
      </x:c>
      <x:c r="E425" t="str">
        <x:v>Diya Patel</x:v>
      </x:c>
      <x:c r="F425" t="str">
        <x:v>Consumer</x:v>
      </x:c>
      <x:c r="G425" t="str">
        <x:v>South</x:v>
      </x:c>
      <x:c r="H425" t="str">
        <x:v>Kerala</x:v>
      </x:c>
      <x:c r="I425" t="str">
        <x:v>Kochi</x:v>
      </x:c>
      <x:c r="J425" t="str">
        <x:v>Technology</x:v>
      </x:c>
      <x:c r="K425" t="str">
        <x:v>Accessories</x:v>
      </x:c>
      <x:c r="L425" t="str">
        <x:v>Prime Accessories 236</x:v>
      </x:c>
      <x:c r="M425" t="str">
        <x:v>First Class</x:v>
      </x:c>
      <x:c r="N425" t="n">
        <x:v>9</x:v>
      </x:c>
      <x:c r="O425" s="7" t="n">
        <x:v>3779.31</x:v>
      </x:c>
      <x:c r="P425" s="6" t="n">
        <x:v>0.2</x:v>
      </x:c>
      <x:c r="Q425" s="7" t="n">
        <x:v>27211.03</x:v>
      </x:c>
      <x:c r="R425" s="7" t="n">
        <x:v>17940.43</x:v>
      </x:c>
      <x:c r="S425" s="7" t="n">
        <x:v>9270.6</x:v>
      </x:c>
      <x:c r="T425" t="str">
        <x:v>Paid</x:v>
      </x:c>
      <x:c r="U425" t="str">
        <x:v>Completed</x:v>
      </x:c>
      <x:c r="V425" s="6" t="n">
        <x:f>IF(ISBLANK(P425),IF(AND(ISNUMBER(N425),N425&gt;0,ISNUMBER(O425),O425&gt;=0,ISNUMBER(Q425),Q425&gt;=0,ISNUMBER(R425),R425&gt;=0,ISNUMBER(S425)),0,""),P425)</x:f>
        <x:v>0.2</x:v>
      </x:c>
      <x:c r="W425" s="7" t="n">
        <x:f>IF(ISBLANK(V425),"",N425*O425*(1-V425))</x:f>
        <x:v>27211.032000000003</x:v>
      </x:c>
      <x:c r="X425" s="7" t="n">
        <x:f>IF(OR(ISBLANK(W425),ISBLANK(R425)),"",W425-R425)</x:f>
        <x:v>9270.602000000003</x:v>
      </x:c>
      <x:c r="Y425" s="8" t="n">
        <x:f>IF(OR(ISBLANK(W425),W425=0),"",X425/W425)</x:f>
        <x:v>0.34069277490100347</x:v>
      </x:c>
      <x:c r="Z425" s="9" t="n">
        <x:f>IF(OR(ISBLANK(B425),ISBLANK(C425)),"",C425-B425)</x:f>
        <x:v>7</x:v>
      </x:c>
      <x:c r="AA425" t="str">
        <x:f>IF(ISBLANK(B425),"",TEXT(B425,"mmm"))</x:f>
        <x:v>Feb</x:v>
      </x:c>
      <x:c r="AB425" s="9" t="n">
        <x:f>IF(ISBLANK(B425),"",YEAR(B425))</x:f>
        <x:v>2024</x:v>
      </x:c>
      <x:c r="AC425" s="10" t="str">
        <x:v>REVIEW: Conflicting duplicate order_id</x:v>
      </x:c>
      <x:c r="AD425" t="str">
        <x:f>IF(AND(U425="Completed",T425="Paid",ISERROR(SEARCH("INVALID",AC425)),ISERROR(SEARCH("REVIEW",AC425))),"Include","Exclude")</x:f>
        <x:v>Exclude</x:v>
      </x:c>
      <x:c r="AE425" t="str">
        <x:f>IF(T425="Refunded","Refunded","")</x:f>
      </x:c>
    </x:row>
    <x:row r="426">
      <x:c r="A426" t="str">
        <x:v>ORD-2024-10425</x:v>
      </x:c>
      <x:c r="B426" s="5" t="n">
        <x:v>45469</x:v>
      </x:c>
      <x:c r="C426" s="5" t="n">
        <x:v>45472</x:v>
      </x:c>
      <x:c r="D426" t="str">
        <x:v>CUST-8904</x:v>
      </x:c>
      <x:c r="E426" t="str">
        <x:v>Neha Gupta</x:v>
      </x:c>
      <x:c r="F426" t="str">
        <x:v>Corporate</x:v>
      </x:c>
      <x:c r="G426" t="str">
        <x:v>North</x:v>
      </x:c>
      <x:c r="H426" t="str">
        <x:v>Punjab</x:v>
      </x:c>
      <x:c r="I426" t="str">
        <x:v>Ludhiana</x:v>
      </x:c>
      <x:c r="J426" t="str">
        <x:v>Technology</x:v>
      </x:c>
      <x:c r="K426" t="str">
        <x:v>Phones</x:v>
      </x:c>
      <x:c r="L426" t="str">
        <x:v>Prime Phones 881</x:v>
      </x:c>
      <x:c r="M426" t="str">
        <x:v>Standard Class</x:v>
      </x:c>
      <x:c r="N426" t="n">
        <x:v>8</x:v>
      </x:c>
      <x:c r="O426" s="7" t="n">
        <x:v>804.52</x:v>
      </x:c>
      <x:c r="P426" s="6" t="n">
        <x:v>0</x:v>
      </x:c>
      <x:c r="Q426" s="7" t="n">
        <x:v>6436.16</x:v>
      </x:c>
      <x:c r="R426" s="7" t="n">
        <x:v>4263.83</x:v>
      </x:c>
      <x:c r="S426" s="7" t="n">
        <x:v>2172.33</x:v>
      </x:c>
      <x:c r="T426" t="str">
        <x:v>Paid</x:v>
      </x:c>
      <x:c r="U426" t="str">
        <x:v>Completed</x:v>
      </x:c>
      <x:c r="V426" s="6" t="n">
        <x:f>IF(ISBLANK(P426),IF(AND(ISNUMBER(N426),N426&gt;0,ISNUMBER(O426),O426&gt;=0,ISNUMBER(Q426),Q426&gt;=0,ISNUMBER(R426),R426&gt;=0,ISNUMBER(S426)),0,""),P426)</x:f>
        <x:v>0</x:v>
      </x:c>
      <x:c r="W426" s="7" t="n">
        <x:f>IF(ISBLANK(V426),"",N426*O426*(1-V426))</x:f>
        <x:v>6436.16</x:v>
      </x:c>
      <x:c r="X426" s="7" t="n">
        <x:f>IF(OR(ISBLANK(W426),ISBLANK(R426)),"",W426-R426)</x:f>
        <x:v>2172.33</x:v>
      </x:c>
      <x:c r="Y426" s="8" t="n">
        <x:f>IF(OR(ISBLANK(W426),W426=0),"",X426/W426)</x:f>
        <x:v>0.3375195768905683</x:v>
      </x:c>
      <x:c r="Z426" s="9" t="n">
        <x:f>IF(OR(ISBLANK(B426),ISBLANK(C426)),"",C426-B426)</x:f>
        <x:v>3</x:v>
      </x:c>
      <x:c r="AA426" t="str">
        <x:f>IF(ISBLANK(B426),"",TEXT(B426,"mmm"))</x:f>
        <x:v>Jun</x:v>
      </x:c>
      <x:c r="AB426" s="9" t="n">
        <x:f>IF(ISBLANK(B426),"",YEAR(B426))</x:f>
        <x:v>2024</x:v>
      </x:c>
      <x:c r="AC426" s="10" t="str"/>
      <x:c r="AD426" t="str">
        <x:f>IF(AND(U426="Completed",T426="Paid",ISERROR(SEARCH("INVALID",AC426)),ISERROR(SEARCH("REVIEW",AC426))),"Include","Exclude")</x:f>
        <x:v>Include</x:v>
      </x:c>
      <x:c r="AE426" t="str">
        <x:f>IF(T426="Refunded","Refunded","")</x:f>
      </x:c>
    </x:row>
    <x:row r="427">
      <x:c r="A427" t="str">
        <x:v>ORD-2024-10426</x:v>
      </x:c>
      <x:c r="B427" s="5" t="n">
        <x:v>45561</x:v>
      </x:c>
      <x:c r="C427" s="5" t="n">
        <x:v>45562</x:v>
      </x:c>
      <x:c r="D427" t="str">
        <x:v>CUST-9586</x:v>
      </x:c>
      <x:c r="E427" t="str">
        <x:v>Isha Nair</x:v>
      </x:c>
      <x:c r="F427" t="str">
        <x:v>Home Office</x:v>
      </x:c>
      <x:c r="G427" t="str">
        <x:v>North</x:v>
      </x:c>
      <x:c r="H427" t="str">
        <x:v>Delhi</x:v>
      </x:c>
      <x:c r="I427" t="str">
        <x:v>New Delhi</x:v>
      </x:c>
      <x:c r="J427" t="str">
        <x:v>Office Supplies</x:v>
      </x:c>
      <x:c r="K427" t="str">
        <x:v>Labels</x:v>
      </x:c>
      <x:c r="L427" t="str">
        <x:v>Pro Labels 903</x:v>
      </x:c>
      <x:c r="M427" t="str">
        <x:v>First Class</x:v>
      </x:c>
      <x:c r="N427" t="n">
        <x:v>2</x:v>
      </x:c>
      <x:c r="O427" s="7" t="n">
        <x:v>1065.69</x:v>
      </x:c>
      <x:c r="P427" s="6" t="n">
        <x:v>0.1</x:v>
      </x:c>
      <x:c r="Q427" s="7" t="n">
        <x:v>1918.24</x:v>
      </x:c>
      <x:c r="R427" s="7" t="n">
        <x:v>1373.52</x:v>
      </x:c>
      <x:c r="S427" s="7" t="n">
        <x:v>544.72</x:v>
      </x:c>
      <x:c r="T427" t="str">
        <x:v>Refunded</x:v>
      </x:c>
      <x:c r="U427" t="str">
        <x:v>Cancelled</x:v>
      </x:c>
      <x:c r="V427" s="6" t="n">
        <x:f>IF(ISBLANK(P427),IF(AND(ISNUMBER(N427),N427&gt;0,ISNUMBER(O427),O427&gt;=0,ISNUMBER(Q427),Q427&gt;=0,ISNUMBER(R427),R427&gt;=0,ISNUMBER(S427)),0,""),P427)</x:f>
        <x:v>0.1</x:v>
      </x:c>
      <x:c r="W427" s="7" t="n">
        <x:f>IF(ISBLANK(V427),"",N427*O427*(1-V427))</x:f>
        <x:v>1918.2420000000002</x:v>
      </x:c>
      <x:c r="X427" s="7" t="n">
        <x:f>IF(OR(ISBLANK(W427),ISBLANK(R427)),"",W427-R427)</x:f>
        <x:v>544.7220000000002</x:v>
      </x:c>
      <x:c r="Y427" s="8" t="n">
        <x:f>IF(OR(ISBLANK(W427),W427=0),"",X427/W427)</x:f>
        <x:v>0.2839693844676533</x:v>
      </x:c>
      <x:c r="Z427" s="9" t="n">
        <x:f>IF(OR(ISBLANK(B427),ISBLANK(C427)),"",C427-B427)</x:f>
        <x:v>1</x:v>
      </x:c>
      <x:c r="AA427" t="str">
        <x:f>IF(ISBLANK(B427),"",TEXT(B427,"mmm"))</x:f>
        <x:v>Sep</x:v>
      </x:c>
      <x:c r="AB427" s="9" t="n">
        <x:f>IF(ISBLANK(B427),"",YEAR(B427))</x:f>
        <x:v>2024</x:v>
      </x:c>
      <x:c r="AC427" s="10" t="str">
        <x:v>EXCLUDE: Cancelled order; REFUND: Summarize separately</x:v>
      </x:c>
      <x:c r="AD427" t="str">
        <x:f>IF(AND(U427="Completed",T427="Paid",ISERROR(SEARCH("INVALID",AC427)),ISERROR(SEARCH("REVIEW",AC427))),"Include","Exclude")</x:f>
        <x:v>Exclude</x:v>
      </x:c>
      <x:c r="AE427" t="str">
        <x:f>IF(T427="Refunded","Refunded","")</x:f>
        <x:v>Refunded</x:v>
      </x:c>
    </x:row>
    <x:row r="428">
      <x:c r="A428" t="str">
        <x:v>ORD-2024-10427</x:v>
      </x:c>
      <x:c r="B428" s="5" t="n">
        <x:v>45473</x:v>
      </x:c>
      <x:c r="C428" s="5" t="n">
        <x:v>45474</x:v>
      </x:c>
      <x:c r="D428" t="str">
        <x:v>CUST-5431</x:v>
      </x:c>
      <x:c r="E428" t="str">
        <x:v>Aditi Sen</x:v>
      </x:c>
      <x:c r="F428" t="str">
        <x:v>Consumer</x:v>
      </x:c>
      <x:c r="G428" t="str">
        <x:v>North</x:v>
      </x:c>
      <x:c r="H428" t="str">
        <x:v>Haryana</x:v>
      </x:c>
      <x:c r="I428" t="str">
        <x:v>Gurugram</x:v>
      </x:c>
      <x:c r="J428" t="str">
        <x:v>Technology</x:v>
      </x:c>
      <x:c r="K428" t="str">
        <x:v>Copiers</x:v>
      </x:c>
      <x:c r="L428" t="str">
        <x:v>Max Copiers 402</x:v>
      </x:c>
      <x:c r="M428" t="str">
        <x:v>Same Day</x:v>
      </x:c>
      <x:c r="N428" t="n">
        <x:v>8</x:v>
      </x:c>
      <x:c r="O428" s="7" t="n">
        <x:v>3756.66</x:v>
      </x:c>
      <x:c r="P428" s="6" t="n">
        <x:v>0.1</x:v>
      </x:c>
      <x:c r="Q428" s="7" t="n">
        <x:v>27047.95</x:v>
      </x:c>
      <x:c r="R428" s="7" t="n">
        <x:v>18431.33</x:v>
      </x:c>
      <x:c r="S428" s="7" t="n">
        <x:v>8616.62</x:v>
      </x:c>
      <x:c r="T428" t="str">
        <x:v>Paid</x:v>
      </x:c>
      <x:c r="U428" t="str">
        <x:v>Completed</x:v>
      </x:c>
      <x:c r="V428" s="6" t="n">
        <x:f>IF(ISBLANK(P428),IF(AND(ISNUMBER(N428),N428&gt;0,ISNUMBER(O428),O428&gt;=0,ISNUMBER(Q428),Q428&gt;=0,ISNUMBER(R428),R428&gt;=0,ISNUMBER(S428)),0,""),P428)</x:f>
        <x:v>0.1</x:v>
      </x:c>
      <x:c r="W428" s="7" t="n">
        <x:f>IF(ISBLANK(V428),"",N428*O428*(1-V428))</x:f>
        <x:v>27047.952</x:v>
      </x:c>
      <x:c r="X428" s="7" t="n">
        <x:f>IF(OR(ISBLANK(W428),ISBLANK(R428)),"",W428-R428)</x:f>
        <x:v>8616.622</x:v>
      </x:c>
      <x:c r="Y428" s="8" t="n">
        <x:f>IF(OR(ISBLANK(W428),W428=0),"",X428/W428)</x:f>
        <x:v>0.31856837072174626</x:v>
      </x:c>
      <x:c r="Z428" s="9" t="n">
        <x:f>IF(OR(ISBLANK(B428),ISBLANK(C428)),"",C428-B428)</x:f>
        <x:v>1</x:v>
      </x:c>
      <x:c r="AA428" t="str">
        <x:f>IF(ISBLANK(B428),"",TEXT(B428,"mmm"))</x:f>
        <x:v>Jun</x:v>
      </x:c>
      <x:c r="AB428" s="9" t="n">
        <x:f>IF(ISBLANK(B428),"",YEAR(B428))</x:f>
        <x:v>2024</x:v>
      </x:c>
      <x:c r="AC428" s="10" t="str"/>
      <x:c r="AD428" t="str">
        <x:f>IF(AND(U428="Completed",T428="Paid",ISERROR(SEARCH("INVALID",AC428)),ISERROR(SEARCH("REVIEW",AC428))),"Include","Exclude")</x:f>
        <x:v>Include</x:v>
      </x:c>
      <x:c r="AE428" t="str">
        <x:f>IF(T428="Refunded","Refunded","")</x:f>
      </x:c>
    </x:row>
    <x:row r="429">
      <x:c r="A429" t="str">
        <x:v>ORD-2025-10428</x:v>
      </x:c>
      <x:c r="B429" s="5" t="n">
        <x:v>45769</x:v>
      </x:c>
      <x:c r="C429" s="5" t="n">
        <x:v>45771</x:v>
      </x:c>
      <x:c r="D429" t="str">
        <x:v>CUST-8843</x:v>
      </x:c>
      <x:c r="E429" t="str">
        <x:v>Isha Nair</x:v>
      </x:c>
      <x:c r="F429" t="str">
        <x:v>Corporate</x:v>
      </x:c>
      <x:c r="G429" t="str">
        <x:v>Unknown</x:v>
      </x:c>
      <x:c r="H429" t="str">
        <x:v>Jharkhand</x:v>
      </x:c>
      <x:c r="I429" t="str">
        <x:v>Ranchi</x:v>
      </x:c>
      <x:c r="J429" t="str">
        <x:v>Technology</x:v>
      </x:c>
      <x:c r="K429" t="str">
        <x:v>Accessories</x:v>
      </x:c>
      <x:c r="L429" t="str">
        <x:v>Prime Accessories 419</x:v>
      </x:c>
      <x:c r="M429" t="str">
        <x:v>Standard Class</x:v>
      </x:c>
      <x:c r="N429" t="n">
        <x:v>9</x:v>
      </x:c>
      <x:c r="O429" s="7" t="n">
        <x:v>2939.44</x:v>
      </x:c>
      <x:c r="P429" s="6" t="n">
        <x:v>0</x:v>
      </x:c>
      <x:c r="Q429" s="7" t="n">
        <x:v>26454.96</x:v>
      </x:c>
      <x:c r="R429" s="7" t="n">
        <x:v>17630.25</x:v>
      </x:c>
      <x:c r="S429" s="7" t="n">
        <x:v>8824.71</x:v>
      </x:c>
      <x:c r="T429" t="str">
        <x:v>Paid</x:v>
      </x:c>
      <x:c r="U429" t="str">
        <x:v>Completed</x:v>
      </x:c>
      <x:c r="V429" s="6" t="n">
        <x:f>IF(ISBLANK(P429),IF(AND(ISNUMBER(N429),N429&gt;0,ISNUMBER(O429),O429&gt;=0,ISNUMBER(Q429),Q429&gt;=0,ISNUMBER(R429),R429&gt;=0,ISNUMBER(S429)),0,""),P429)</x:f>
        <x:v>0</x:v>
      </x:c>
      <x:c r="W429" s="7" t="n">
        <x:f>IF(ISBLANK(V429),"",N429*O429*(1-V429))</x:f>
        <x:v>26454.96</x:v>
      </x:c>
      <x:c r="X429" s="7" t="n">
        <x:f>IF(OR(ISBLANK(W429),ISBLANK(R429)),"",W429-R429)</x:f>
        <x:v>8824.71</x:v>
      </x:c>
      <x:c r="Y429" s="8" t="n">
        <x:f>IF(OR(ISBLANK(W429),W429=0),"",X429/W429)</x:f>
        <x:v>0.33357487594008833</x:v>
      </x:c>
      <x:c r="Z429" s="9" t="n">
        <x:f>IF(OR(ISBLANK(B429),ISBLANK(C429)),"",C429-B429)</x:f>
        <x:v>2</x:v>
      </x:c>
      <x:c r="AA429" t="str">
        <x:f>IF(ISBLANK(B429),"",TEXT(B429,"mmm"))</x:f>
        <x:v>Apr</x:v>
      </x:c>
      <x:c r="AB429" s="9" t="n">
        <x:f>IF(ISBLANK(B429),"",YEAR(B429))</x:f>
        <x:v>2025</x:v>
      </x:c>
      <x:c r="AC429" s="10" t="str">
        <x:v>FLAG: Missing region filled as Unknown</x:v>
      </x:c>
      <x:c r="AD429" t="str">
        <x:f>IF(AND(U429="Completed",T429="Paid",ISERROR(SEARCH("INVALID",AC429)),ISERROR(SEARCH("REVIEW",AC429))),"Include","Exclude")</x:f>
        <x:v>Include</x:v>
      </x:c>
      <x:c r="AE429" t="str">
        <x:f>IF(T429="Refunded","Refunded","")</x:f>
      </x:c>
    </x:row>
    <x:row r="430">
      <x:c r="A430" t="str">
        <x:v>ORD-2025-10429</x:v>
      </x:c>
      <x:c r="B430" s="5" t="n">
        <x:v>45731</x:v>
      </x:c>
      <x:c r="C430" s="5" t="n">
        <x:v>45738</x:v>
      </x:c>
      <x:c r="D430" t="str">
        <x:v>CUST-7626</x:v>
      </x:c>
      <x:c r="E430" t="str">
        <x:v>Karan Malhotra</x:v>
      </x:c>
      <x:c r="F430" t="str">
        <x:v>Small Business</x:v>
      </x:c>
      <x:c r="G430" t="str">
        <x:v>East</x:v>
      </x:c>
      <x:c r="H430" t="str">
        <x:v>West Bengal</x:v>
      </x:c>
      <x:c r="I430" t="str">
        <x:v>Kolkata</x:v>
      </x:c>
      <x:c r="J430" t="str">
        <x:v>Technology</x:v>
      </x:c>
      <x:c r="K430" t="str">
        <x:v>Phones</x:v>
      </x:c>
      <x:c r="L430" t="str">
        <x:v>Elite Phones 488</x:v>
      </x:c>
      <x:c r="M430" t="str">
        <x:v>Same Day</x:v>
      </x:c>
      <x:c r="N430" t="n">
        <x:v>2</x:v>
      </x:c>
      <x:c r="O430" s="7" t="n">
        <x:v>1235.93</x:v>
      </x:c>
      <x:c r="P430" s="6" t="n">
        <x:v>0.25</x:v>
      </x:c>
      <x:c r="Q430" s="7" t="n">
        <x:v>1853.89</x:v>
      </x:c>
      <x:c r="R430" s="7" t="n">
        <x:v>1101.23</x:v>
      </x:c>
      <x:c r="S430" s="7" t="n">
        <x:v>752.66</x:v>
      </x:c>
      <x:c r="T430" t="str">
        <x:v>Pending</x:v>
      </x:c>
      <x:c r="U430" t="str">
        <x:v>Cancelled</x:v>
      </x:c>
      <x:c r="V430" s="6" t="n">
        <x:f>IF(ISBLANK(P430),IF(AND(ISNUMBER(N430),N430&gt;0,ISNUMBER(O430),O430&gt;=0,ISNUMBER(Q430),Q430&gt;=0,ISNUMBER(R430),R430&gt;=0,ISNUMBER(S430)),0,""),P430)</x:f>
        <x:v>0.25</x:v>
      </x:c>
      <x:c r="W430" s="7" t="n">
        <x:f>IF(ISBLANK(V430),"",N430*O430*(1-V430))</x:f>
        <x:v>1853.895</x:v>
      </x:c>
      <x:c r="X430" s="7" t="n">
        <x:f>IF(OR(ISBLANK(W430),ISBLANK(R430)),"",W430-R430)</x:f>
        <x:v>752.665</x:v>
      </x:c>
      <x:c r="Y430" s="8" t="n">
        <x:f>IF(OR(ISBLANK(W430),W430=0),"",X430/W430)</x:f>
        <x:v>0.40599116994220275</x:v>
      </x:c>
      <x:c r="Z430" s="9" t="n">
        <x:f>IF(OR(ISBLANK(B430),ISBLANK(C430)),"",C430-B430)</x:f>
        <x:v>7</x:v>
      </x:c>
      <x:c r="AA430" t="str">
        <x:f>IF(ISBLANK(B430),"",TEXT(B430,"mmm"))</x:f>
        <x:v>Mar</x:v>
      </x:c>
      <x:c r="AB430" s="9" t="n">
        <x:f>IF(ISBLANK(B430),"",YEAR(B430))</x:f>
        <x:v>2025</x:v>
      </x:c>
      <x:c r="AC430" s="10" t="str">
        <x:v>EXCLUDE: Cancelled order</x:v>
      </x:c>
      <x:c r="AD430" t="str">
        <x:f>IF(AND(U430="Completed",T430="Paid",ISERROR(SEARCH("INVALID",AC430)),ISERROR(SEARCH("REVIEW",AC430))),"Include","Exclude")</x:f>
        <x:v>Exclude</x:v>
      </x:c>
      <x:c r="AE430" t="str">
        <x:f>IF(T430="Refunded","Refunded","")</x:f>
      </x:c>
    </x:row>
    <x:row r="431">
      <x:c r="A431" t="str">
        <x:v>ORD-2025-10430</x:v>
      </x:c>
      <x:c r="B431" s="5" t="n">
        <x:v>45717</x:v>
      </x:c>
      <x:c r="C431" s="5" t="n">
        <x:v>45724</x:v>
      </x:c>
      <x:c r="D431" t="str">
        <x:v>CUST-8562</x:v>
      </x:c>
      <x:c r="E431" t="str">
        <x:v>Neha Gupta</x:v>
      </x:c>
      <x:c r="F431" t="str">
        <x:v>Home Office</x:v>
      </x:c>
      <x:c r="G431" t="str">
        <x:v>North</x:v>
      </x:c>
      <x:c r="H431" t="str">
        <x:v>Rajasthan</x:v>
      </x:c>
      <x:c r="I431" t="str">
        <x:v>Jaipur</x:v>
      </x:c>
      <x:c r="J431" t="str">
        <x:v>Technology</x:v>
      </x:c>
      <x:c r="K431" t="str">
        <x:v>Copiers</x:v>
      </x:c>
      <x:c r="L431" t="str">
        <x:v>Prime Copiers 109</x:v>
      </x:c>
      <x:c r="M431" t="str">
        <x:v>Same Day</x:v>
      </x:c>
      <x:c r="N431" t="n">
        <x:v>8</x:v>
      </x:c>
      <x:c r="O431" s="7" t="n">
        <x:v>2943.1</x:v>
      </x:c>
      <x:c r="P431" s="6" t="n">
        <x:v>0.25</x:v>
      </x:c>
      <x:c r="Q431" s="7" t="n">
        <x:v>17658.6</x:v>
      </x:c>
      <x:c r="R431" s="7" t="n">
        <x:v>13842.48</x:v>
      </x:c>
      <x:c r="S431" s="7" t="n">
        <x:v>3816.12</x:v>
      </x:c>
      <x:c r="T431" t="str">
        <x:v>Paid</x:v>
      </x:c>
      <x:c r="U431" t="str">
        <x:v>Completed</x:v>
      </x:c>
      <x:c r="V431" s="6" t="n">
        <x:f>IF(ISBLANK(P431),IF(AND(ISNUMBER(N431),N431&gt;0,ISNUMBER(O431),O431&gt;=0,ISNUMBER(Q431),Q431&gt;=0,ISNUMBER(R431),R431&gt;=0,ISNUMBER(S431)),0,""),P431)</x:f>
        <x:v>0.25</x:v>
      </x:c>
      <x:c r="W431" s="7" t="n">
        <x:f>IF(ISBLANK(V431),"",N431*O431*(1-V431))</x:f>
        <x:v>17658.6</x:v>
      </x:c>
      <x:c r="X431" s="7" t="n">
        <x:f>IF(OR(ISBLANK(W431),ISBLANK(R431)),"",W431-R431)</x:f>
        <x:v>3816.119999999999</x:v>
      </x:c>
      <x:c r="Y431" s="8" t="n">
        <x:f>IF(OR(ISBLANK(W431),W431=0),"",X431/W431)</x:f>
        <x:v>0.2161054670245659</x:v>
      </x:c>
      <x:c r="Z431" s="9" t="n">
        <x:f>IF(OR(ISBLANK(B431),ISBLANK(C431)),"",C431-B431)</x:f>
        <x:v>7</x:v>
      </x:c>
      <x:c r="AA431" t="str">
        <x:f>IF(ISBLANK(B431),"",TEXT(B431,"mmm"))</x:f>
        <x:v>Mar</x:v>
      </x:c>
      <x:c r="AB431" s="9" t="n">
        <x:f>IF(ISBLANK(B431),"",YEAR(B431))</x:f>
        <x:v>2025</x:v>
      </x:c>
      <x:c r="AC431" s="10" t="str"/>
      <x:c r="AD431" t="str">
        <x:f>IF(AND(U431="Completed",T431="Paid",ISERROR(SEARCH("INVALID",AC431)),ISERROR(SEARCH("REVIEW",AC431))),"Include","Exclude")</x:f>
        <x:v>Include</x:v>
      </x:c>
      <x:c r="AE431" t="str">
        <x:f>IF(T431="Refunded","Refunded","")</x:f>
      </x:c>
    </x:row>
    <x:row r="432">
      <x:c r="A432" t="str">
        <x:v>ORD-2024-10431</x:v>
      </x:c>
      <x:c r="B432" s="5" t="n">
        <x:v>45534</x:v>
      </x:c>
      <x:c r="C432" s="5" t="n">
        <x:v>45537</x:v>
      </x:c>
      <x:c r="D432" t="str">
        <x:v>CUST-2732</x:v>
      </x:c>
      <x:c r="E432" t="str">
        <x:v>Neha Gupta</x:v>
      </x:c>
      <x:c r="F432" t="str">
        <x:v>Small Business</x:v>
      </x:c>
      <x:c r="G432" t="str">
        <x:v>North</x:v>
      </x:c>
      <x:c r="H432" t="str">
        <x:v>Haryana</x:v>
      </x:c>
      <x:c r="I432" t="str">
        <x:v>Gurugram</x:v>
      </x:c>
      <x:c r="J432" t="str">
        <x:v>Office Supplies</x:v>
      </x:c>
      <x:c r="K432" t="str">
        <x:v>Paper</x:v>
      </x:c>
      <x:c r="L432" t="str">
        <x:v>Max Paper 576</x:v>
      </x:c>
      <x:c r="M432" t="str">
        <x:v>Second Class</x:v>
      </x:c>
      <x:c r="N432" t="n">
        <x:v>1</x:v>
      </x:c>
      <x:c r="O432" s="7" t="n">
        <x:v>4320.84</x:v>
      </x:c>
      <x:c r="P432" s="6" t="n">
        <x:v>0.15</x:v>
      </x:c>
      <x:c r="Q432" s="7" t="n">
        <x:v>3672.71</x:v>
      </x:c>
      <x:c r="R432" s="7" t="n">
        <x:v>2714.23</x:v>
      </x:c>
      <x:c r="S432" s="7" t="n">
        <x:v>763.38</x:v>
      </x:c>
      <x:c r="T432" t="str">
        <x:v>Paid</x:v>
      </x:c>
      <x:c r="U432" t="str">
        <x:v>Completed</x:v>
      </x:c>
      <x:c r="V432" s="6" t="n">
        <x:f>IF(ISBLANK(P432),IF(AND(ISNUMBER(N432),N432&gt;0,ISNUMBER(O432),O432&gt;=0,ISNUMBER(Q432),Q432&gt;=0,ISNUMBER(R432),R432&gt;=0,ISNUMBER(S432)),0,""),P432)</x:f>
        <x:v>0.15</x:v>
      </x:c>
      <x:c r="W432" s="7" t="n">
        <x:f>IF(ISBLANK(V432),"",N432*O432*(1-V432))</x:f>
        <x:v>3672.714</x:v>
      </x:c>
      <x:c r="X432" s="7" t="n">
        <x:f>IF(OR(ISBLANK(W432),ISBLANK(R432)),"",W432-R432)</x:f>
        <x:v>958.4839999999999</x:v>
      </x:c>
      <x:c r="Y432" s="8" t="n">
        <x:f>IF(OR(ISBLANK(W432),W432=0),"",X432/W432)</x:f>
        <x:v>0.2609743094616134</x:v>
      </x:c>
      <x:c r="Z432" s="9" t="n">
        <x:f>IF(OR(ISBLANK(B432),ISBLANK(C432)),"",C432-B432)</x:f>
        <x:v>3</x:v>
      </x:c>
      <x:c r="AA432" t="str">
        <x:f>IF(ISBLANK(B432),"",TEXT(B432,"mmm"))</x:f>
        <x:v>Aug</x:v>
      </x:c>
      <x:c r="AB432" s="9" t="n">
        <x:f>IF(ISBLANK(B432),"",YEAR(B432))</x:f>
        <x:v>2024</x:v>
      </x:c>
      <x:c r="AC432" s="10" t="str"/>
      <x:c r="AD432" t="str">
        <x:f>IF(AND(U432="Completed",T432="Paid",ISERROR(SEARCH("INVALID",AC432)),ISERROR(SEARCH("REVIEW",AC432))),"Include","Exclude")</x:f>
        <x:v>Include</x:v>
      </x:c>
      <x:c r="AE432" t="str">
        <x:f>IF(T432="Refunded","Refunded","")</x:f>
      </x:c>
    </x:row>
    <x:row r="433">
      <x:c r="A433" t="str">
        <x:v>ORD-2024-10432</x:v>
      </x:c>
      <x:c r="B433" s="5" t="n">
        <x:v>45332</x:v>
      </x:c>
      <x:c r="C433" s="5" t="n">
        <x:v>45335</x:v>
      </x:c>
      <x:c r="D433" t="str">
        <x:v>CUST-3989</x:v>
      </x:c>
      <x:c r="E433" t="str">
        <x:v>Karan Malhotra</x:v>
      </x:c>
      <x:c r="F433" t="str">
        <x:v>Home Office</x:v>
      </x:c>
      <x:c r="G433" t="str">
        <x:v>West</x:v>
      </x:c>
      <x:c r="H433" t="str">
        <x:v>Goa</x:v>
      </x:c>
      <x:c r="I433" t="str">
        <x:v>Panaji</x:v>
      </x:c>
      <x:c r="J433" t="str">
        <x:v>Technology</x:v>
      </x:c>
      <x:c r="K433" t="str">
        <x:v>Machines</x:v>
      </x:c>
      <x:c r="L433" t="str">
        <x:v>Max Machines 412</x:v>
      </x:c>
      <x:c r="M433" t="str">
        <x:v>Same Day</x:v>
      </x:c>
      <x:c r="N433" t="n">
        <x:v>2</x:v>
      </x:c>
      <x:c r="O433" s="7" t="n">
        <x:v>4118.45</x:v>
      </x:c>
      <x:c r="P433" s="6" t="n">
        <x:v>0.25</x:v>
      </x:c>
      <x:c r="Q433" s="7" t="n">
        <x:v>6177.67</x:v>
      </x:c>
      <x:c r="R433" s="7" t="n">
        <x:v>4520.75</x:v>
      </x:c>
      <x:c r="S433" s="7" t="n">
        <x:v>1656.92</x:v>
      </x:c>
      <x:c r="T433" t="str">
        <x:v>Paid</x:v>
      </x:c>
      <x:c r="U433" t="str">
        <x:v>Completed</x:v>
      </x:c>
      <x:c r="V433" s="6" t="n">
        <x:f>IF(ISBLANK(P433),IF(AND(ISNUMBER(N433),N433&gt;0,ISNUMBER(O433),O433&gt;=0,ISNUMBER(Q433),Q433&gt;=0,ISNUMBER(R433),R433&gt;=0,ISNUMBER(S433)),0,""),P433)</x:f>
        <x:v>0.25</x:v>
      </x:c>
      <x:c r="W433" s="7" t="n">
        <x:f>IF(ISBLANK(V433),"",N433*O433*(1-V433))</x:f>
        <x:v>6177.674999999999</x:v>
      </x:c>
      <x:c r="X433" s="7" t="n">
        <x:f>IF(OR(ISBLANK(W433),ISBLANK(R433)),"",W433-R433)</x:f>
        <x:v>1656.9249999999993</x:v>
      </x:c>
      <x:c r="Y433" s="8" t="n">
        <x:f>IF(OR(ISBLANK(W433),W433=0),"",X433/W433)</x:f>
        <x:v>0.26821174632851347</x:v>
      </x:c>
      <x:c r="Z433" s="9" t="n">
        <x:f>IF(OR(ISBLANK(B433),ISBLANK(C433)),"",C433-B433)</x:f>
        <x:v>3</x:v>
      </x:c>
      <x:c r="AA433" t="str">
        <x:f>IF(ISBLANK(B433),"",TEXT(B433,"mmm"))</x:f>
        <x:v>Feb</x:v>
      </x:c>
      <x:c r="AB433" s="9" t="n">
        <x:f>IF(ISBLANK(B433),"",YEAR(B433))</x:f>
        <x:v>2024</x:v>
      </x:c>
      <x:c r="AC433" s="10" t="str"/>
      <x:c r="AD433" t="str">
        <x:f>IF(AND(U433="Completed",T433="Paid",ISERROR(SEARCH("INVALID",AC433)),ISERROR(SEARCH("REVIEW",AC433))),"Include","Exclude")</x:f>
        <x:v>Include</x:v>
      </x:c>
      <x:c r="AE433" t="str">
        <x:f>IF(T433="Refunded","Refunded","")</x:f>
      </x:c>
    </x:row>
    <x:row r="434">
      <x:c r="A434" t="str">
        <x:v>ORD-2024-10433</x:v>
      </x:c>
      <x:c r="B434" s="5" t="n">
        <x:v>45533</x:v>
      </x:c>
      <x:c r="C434" s="5" t="n">
        <x:v>45537</x:v>
      </x:c>
      <x:c r="D434" t="str">
        <x:v>CUST-3522</x:v>
      </x:c>
      <x:c r="E434" t="str">
        <x:v>Priya Menon</x:v>
      </x:c>
      <x:c r="F434" t="str">
        <x:v>Small Business</x:v>
      </x:c>
      <x:c r="G434" t="str">
        <x:v>West</x:v>
      </x:c>
      <x:c r="H434" t="str">
        <x:v>Maharashtra</x:v>
      </x:c>
      <x:c r="I434" t="str">
        <x:v>Mumbai</x:v>
      </x:c>
      <x:c r="J434" t="str">
        <x:v>Furniture</x:v>
      </x:c>
      <x:c r="K434" t="str">
        <x:v>Bookcases</x:v>
      </x:c>
      <x:c r="L434" t="str">
        <x:v>Classic Bookcases 291</x:v>
      </x:c>
      <x:c r="M434" t="str">
        <x:v>Standard Class</x:v>
      </x:c>
      <x:c r="N434" t="n">
        <x:v>6</x:v>
      </x:c>
      <x:c r="O434" s="7" t="n">
        <x:v>172.82</x:v>
      </x:c>
      <x:c r="P434" s="6" t="n">
        <x:v>0.05</x:v>
      </x:c>
      <x:c r="Q434" s="7" t="n">
        <x:v>985.07</x:v>
      </x:c>
      <x:c r="R434" s="7" t="n">
        <x:v>844.48</x:v>
      </x:c>
      <x:c r="S434" s="7" t="n">
        <x:v>140.59</x:v>
      </x:c>
      <x:c r="T434" t="str">
        <x:v>Paid</x:v>
      </x:c>
      <x:c r="U434" t="str">
        <x:v>Completed</x:v>
      </x:c>
      <x:c r="V434" s="6" t="n">
        <x:f>IF(ISBLANK(P434),IF(AND(ISNUMBER(N434),N434&gt;0,ISNUMBER(O434),O434&gt;=0,ISNUMBER(Q434),Q434&gt;=0,ISNUMBER(R434),R434&gt;=0,ISNUMBER(S434)),0,""),P434)</x:f>
        <x:v>0.05</x:v>
      </x:c>
      <x:c r="W434" s="7" t="n">
        <x:f>IF(ISBLANK(V434),"",N434*O434*(1-V434))</x:f>
        <x:v>985.0740000000001</x:v>
      </x:c>
      <x:c r="X434" s="7" t="n">
        <x:f>IF(OR(ISBLANK(W434),ISBLANK(R434)),"",W434-R434)</x:f>
        <x:v>140.59400000000005</x:v>
      </x:c>
      <x:c r="Y434" s="8" t="n">
        <x:f>IF(OR(ISBLANK(W434),W434=0),"",X434/W434)</x:f>
        <x:v>0.14272430294576857</x:v>
      </x:c>
      <x:c r="Z434" s="9" t="n">
        <x:f>IF(OR(ISBLANK(B434),ISBLANK(C434)),"",C434-B434)</x:f>
        <x:v>4</x:v>
      </x:c>
      <x:c r="AA434" t="str">
        <x:f>IF(ISBLANK(B434),"",TEXT(B434,"mmm"))</x:f>
        <x:v>Aug</x:v>
      </x:c>
      <x:c r="AB434" s="9" t="n">
        <x:f>IF(ISBLANK(B434),"",YEAR(B434))</x:f>
        <x:v>2024</x:v>
      </x:c>
      <x:c r="AC434" s="10" t="str"/>
      <x:c r="AD434" t="str">
        <x:f>IF(AND(U434="Completed",T434="Paid",ISERROR(SEARCH("INVALID",AC434)),ISERROR(SEARCH("REVIEW",AC434))),"Include","Exclude")</x:f>
        <x:v>Include</x:v>
      </x:c>
      <x:c r="AE434" t="str">
        <x:f>IF(T434="Refunded","Refunded","")</x:f>
      </x:c>
    </x:row>
    <x:row r="435">
      <x:c r="A435" t="str">
        <x:v>ORD-2024-10434</x:v>
      </x:c>
      <x:c r="B435" s="5" t="n">
        <x:v>45401</x:v>
      </x:c>
      <x:c r="C435" s="5" t="n">
        <x:v>45402</x:v>
      </x:c>
      <x:c r="D435" t="str">
        <x:v>CUST-7066</x:v>
      </x:c>
      <x:c r="E435" t="str">
        <x:v>Priya Menon</x:v>
      </x:c>
      <x:c r="F435" t="str">
        <x:v>Corporate</x:v>
      </x:c>
      <x:c r="G435" t="str">
        <x:v>South</x:v>
      </x:c>
      <x:c r="H435" t="str">
        <x:v>Kerala</x:v>
      </x:c>
      <x:c r="I435" t="str">
        <x:v>Kochi</x:v>
      </x:c>
      <x:c r="J435" t="str">
        <x:v>Office Supplies</x:v>
      </x:c>
      <x:c r="K435" t="str">
        <x:v>Art</x:v>
      </x:c>
      <x:c r="L435" t="str">
        <x:v>Elite Art 946</x:v>
      </x:c>
      <x:c r="M435" t="str">
        <x:v>Second Class</x:v>
      </x:c>
      <x:c r="N435" t="n">
        <x:v>4</x:v>
      </x:c>
      <x:c r="O435" s="7" t="n">
        <x:v>1540.22</x:v>
      </x:c>
      <x:c r="P435" s="6" t="n">
        <x:v>0</x:v>
      </x:c>
      <x:c r="Q435" s="7" t="n">
        <x:v>6160.88</x:v>
      </x:c>
      <x:c r="R435" s="7" t="n">
        <x:v>4938.7</x:v>
      </x:c>
      <x:c r="S435" s="7" t="n">
        <x:v>1222.18</x:v>
      </x:c>
      <x:c r="T435" t="str">
        <x:v>Refunded</x:v>
      </x:c>
      <x:c r="U435" t="str">
        <x:v>Returned</x:v>
      </x:c>
      <x:c r="V435" s="6" t="n">
        <x:f>IF(ISBLANK(P435),IF(AND(ISNUMBER(N435),N435&gt;0,ISNUMBER(O435),O435&gt;=0,ISNUMBER(Q435),Q435&gt;=0,ISNUMBER(R435),R435&gt;=0,ISNUMBER(S435)),0,""),P435)</x:f>
        <x:v>0</x:v>
      </x:c>
      <x:c r="W435" s="7" t="n">
        <x:f>IF(ISBLANK(V435),"",N435*O435*(1-V435))</x:f>
        <x:v>6160.88</x:v>
      </x:c>
      <x:c r="X435" s="7" t="n">
        <x:f>IF(OR(ISBLANK(W435),ISBLANK(R435)),"",W435-R435)</x:f>
        <x:v>1222.1800000000003</x:v>
      </x:c>
      <x:c r="Y435" s="8" t="n">
        <x:f>IF(OR(ISBLANK(W435),W435=0),"",X435/W435)</x:f>
        <x:v>0.19837750451234243</x:v>
      </x:c>
      <x:c r="Z435" s="9" t="n">
        <x:f>IF(OR(ISBLANK(B435),ISBLANK(C435)),"",C435-B435)</x:f>
        <x:v>1</x:v>
      </x:c>
      <x:c r="AA435" t="str">
        <x:f>IF(ISBLANK(B435),"",TEXT(B435,"mmm"))</x:f>
        <x:v>Apr</x:v>
      </x:c>
      <x:c r="AB435" s="9" t="n">
        <x:f>IF(ISBLANK(B435),"",YEAR(B435))</x:f>
        <x:v>2024</x:v>
      </x:c>
      <x:c r="AC435" s="10" t="str">
        <x:v>REFUND: Summarize separately</x:v>
      </x:c>
      <x:c r="AD435" t="str">
        <x:f>IF(AND(U435="Completed",T435="Paid",ISERROR(SEARCH("INVALID",AC435)),ISERROR(SEARCH("REVIEW",AC435))),"Include","Exclude")</x:f>
        <x:v>Exclude</x:v>
      </x:c>
      <x:c r="AE435" t="str">
        <x:f>IF(T435="Refunded","Refunded","")</x:f>
        <x:v>Refunded</x:v>
      </x:c>
    </x:row>
    <x:row r="436">
      <x:c r="A436" t="str">
        <x:v>ORD-2025-10435</x:v>
      </x:c>
      <x:c r="B436" s="5" t="n">
        <x:v>45758</x:v>
      </x:c>
      <x:c r="C436" s="5" t="n">
        <x:v>45762</x:v>
      </x:c>
      <x:c r="D436" t="str">
        <x:v>CUST-2351</x:v>
      </x:c>
      <x:c r="E436" t="str">
        <x:v>Mira Das</x:v>
      </x:c>
      <x:c r="F436" t="str">
        <x:v>Home Office</x:v>
      </x:c>
      <x:c r="G436" t="str">
        <x:v>North</x:v>
      </x:c>
      <x:c r="H436" t="str">
        <x:v>Uttar Pradesh</x:v>
      </x:c>
      <x:c r="I436" t="str">
        <x:v>Noida</x:v>
      </x:c>
      <x:c r="J436" t="str">
        <x:v>Technology</x:v>
      </x:c>
      <x:c r="K436" t="str">
        <x:v>Accessories</x:v>
      </x:c>
      <x:c r="L436" t="str">
        <x:v>Eco Accessories 705</x:v>
      </x:c>
      <x:c r="M436" t="str">
        <x:v>Second Class</x:v>
      </x:c>
      <x:c r="N436" t="n">
        <x:v>5</x:v>
      </x:c>
      <x:c r="O436" s="7" t="n">
        <x:v>652.78</x:v>
      </x:c>
      <x:c r="P436" s="6" t="n">
        <x:v>0</x:v>
      </x:c>
      <x:c r="Q436" s="7" t="n">
        <x:v>3263.9</x:v>
      </x:c>
      <x:c r="R436" s="7" t="n">
        <x:v>2068.44</x:v>
      </x:c>
      <x:c r="S436" s="7" t="n">
        <x:v>1195.46</x:v>
      </x:c>
      <x:c r="T436" t="str">
        <x:v>Paid</x:v>
      </x:c>
      <x:c r="U436" t="str">
        <x:v>Completed</x:v>
      </x:c>
      <x:c r="V436" s="6" t="n">
        <x:f>IF(ISBLANK(P436),IF(AND(ISNUMBER(N436),N436&gt;0,ISNUMBER(O436),O436&gt;=0,ISNUMBER(Q436),Q436&gt;=0,ISNUMBER(R436),R436&gt;=0,ISNUMBER(S436)),0,""),P436)</x:f>
        <x:v>0</x:v>
      </x:c>
      <x:c r="W436" s="7" t="n">
        <x:f>IF(ISBLANK(V436),"",N436*O436*(1-V436))</x:f>
        <x:v>3263.8999999999996</x:v>
      </x:c>
      <x:c r="X436" s="7" t="n">
        <x:f>IF(OR(ISBLANK(W436),ISBLANK(R436)),"",W436-R436)</x:f>
        <x:v>1195.4599999999996</x:v>
      </x:c>
      <x:c r="Y436" s="8" t="n">
        <x:f>IF(OR(ISBLANK(W436),W436=0),"",X436/W436)</x:f>
        <x:v>0.3662673488771101</x:v>
      </x:c>
      <x:c r="Z436" s="9" t="n">
        <x:f>IF(OR(ISBLANK(B436),ISBLANK(C436)),"",C436-B436)</x:f>
        <x:v>4</x:v>
      </x:c>
      <x:c r="AA436" t="str">
        <x:f>IF(ISBLANK(B436),"",TEXT(B436,"mmm"))</x:f>
        <x:v>Apr</x:v>
      </x:c>
      <x:c r="AB436" s="9" t="n">
        <x:f>IF(ISBLANK(B436),"",YEAR(B436))</x:f>
        <x:v>2025</x:v>
      </x:c>
      <x:c r="AC436" s="10" t="str"/>
      <x:c r="AD436" t="str">
        <x:f>IF(AND(U436="Completed",T436="Paid",ISERROR(SEARCH("INVALID",AC436)),ISERROR(SEARCH("REVIEW",AC436))),"Include","Exclude")</x:f>
        <x:v>Include</x:v>
      </x:c>
      <x:c r="AE436" t="str">
        <x:f>IF(T436="Refunded","Refunded","")</x:f>
      </x:c>
    </x:row>
    <x:row r="437">
      <x:c r="A437" t="str">
        <x:v>ORD-2025-10436</x:v>
      </x:c>
      <x:c r="B437" s="5" t="n">
        <x:v>45759</x:v>
      </x:c>
      <x:c r="C437" s="5" t="n">
        <x:v>45767</x:v>
      </x:c>
      <x:c r="D437" t="str">
        <x:v>CUST-7291</x:v>
      </x:c>
      <x:c r="E437" t="str">
        <x:v>Kabir Singh</x:v>
      </x:c>
      <x:c r="F437" t="str">
        <x:v>Home Office</x:v>
      </x:c>
      <x:c r="G437" t="str">
        <x:v>North</x:v>
      </x:c>
      <x:c r="H437" t="str">
        <x:v>Delhi</x:v>
      </x:c>
      <x:c r="I437" t="str">
        <x:v>New Delhi</x:v>
      </x:c>
      <x:c r="J437" t="str">
        <x:v>Technology</x:v>
      </x:c>
      <x:c r="K437" t="str">
        <x:v>Machines</x:v>
      </x:c>
      <x:c r="L437" t="str">
        <x:v>Max Machines 151</x:v>
      </x:c>
      <x:c r="M437" t="str">
        <x:v>Standard Class</x:v>
      </x:c>
      <x:c r="N437" t="n">
        <x:v>1</x:v>
      </x:c>
      <x:c r="O437" s="7" t="n">
        <x:v>2737.71</x:v>
      </x:c>
      <x:c r="P437" s="6" t="n">
        <x:v>0.15</x:v>
      </x:c>
      <x:c r="Q437" s="7" t="n">
        <x:v>2327.05</x:v>
      </x:c>
      <x:c r="R437" s="7" t="n">
        <x:v>1919.42</x:v>
      </x:c>
      <x:c r="S437" s="7" t="n">
        <x:v>407.63</x:v>
      </x:c>
      <x:c r="T437" t="str">
        <x:v>Paid</x:v>
      </x:c>
      <x:c r="U437" t="str">
        <x:v>Cancelled</x:v>
      </x:c>
      <x:c r="V437" s="6" t="n">
        <x:f>IF(ISBLANK(P437),IF(AND(ISNUMBER(N437),N437&gt;0,ISNUMBER(O437),O437&gt;=0,ISNUMBER(Q437),Q437&gt;=0,ISNUMBER(R437),R437&gt;=0,ISNUMBER(S437)),0,""),P437)</x:f>
        <x:v>0.15</x:v>
      </x:c>
      <x:c r="W437" s="7" t="n">
        <x:f>IF(ISBLANK(V437),"",N437*O437*(1-V437))</x:f>
        <x:v>2327.0535</x:v>
      </x:c>
      <x:c r="X437" s="7" t="n">
        <x:f>IF(OR(ISBLANK(W437),ISBLANK(R437)),"",W437-R437)</x:f>
        <x:v>407.6334999999999</x:v>
      </x:c>
      <x:c r="Y437" s="8" t="n">
        <x:f>IF(OR(ISBLANK(W437),W437=0),"",X437/W437)</x:f>
        <x:v>0.17517152055163318</x:v>
      </x:c>
      <x:c r="Z437" s="9" t="n">
        <x:f>IF(OR(ISBLANK(B437),ISBLANK(C437)),"",C437-B437)</x:f>
        <x:v>8</x:v>
      </x:c>
      <x:c r="AA437" t="str">
        <x:f>IF(ISBLANK(B437),"",TEXT(B437,"mmm"))</x:f>
        <x:v>Apr</x:v>
      </x:c>
      <x:c r="AB437" s="9" t="n">
        <x:f>IF(ISBLANK(B437),"",YEAR(B437))</x:f>
        <x:v>2025</x:v>
      </x:c>
      <x:c r="AC437" s="10" t="str">
        <x:v>EXCLUDE: Cancelled order</x:v>
      </x:c>
      <x:c r="AD437" t="str">
        <x:f>IF(AND(U437="Completed",T437="Paid",ISERROR(SEARCH("INVALID",AC437)),ISERROR(SEARCH("REVIEW",AC437))),"Include","Exclude")</x:f>
        <x:v>Exclude</x:v>
      </x:c>
      <x:c r="AE437" t="str">
        <x:f>IF(T437="Refunded","Refunded","")</x:f>
      </x:c>
    </x:row>
    <x:row r="438">
      <x:c r="A438" t="str">
        <x:v>ORD-2024-10437</x:v>
      </x:c>
      <x:c r="B438" s="5" t="n">
        <x:v>45459</x:v>
      </x:c>
      <x:c r="C438" s="5" t="n">
        <x:v>45464</x:v>
      </x:c>
      <x:c r="D438" t="str">
        <x:v>CUST-4492</x:v>
      </x:c>
      <x:c r="E438" t="str">
        <x:v>Neha Gupta</x:v>
      </x:c>
      <x:c r="F438" t="str">
        <x:v>Consumer</x:v>
      </x:c>
      <x:c r="G438" t="str">
        <x:v>South</x:v>
      </x:c>
      <x:c r="H438" t="str">
        <x:v>Kerala</x:v>
      </x:c>
      <x:c r="I438" t="str">
        <x:v>Kochi</x:v>
      </x:c>
      <x:c r="J438" t="str">
        <x:v>Furniture</x:v>
      </x:c>
      <x:c r="K438" t="str">
        <x:v>Furnishings</x:v>
      </x:c>
      <x:c r="L438" t="str">
        <x:v>Max Furnishings 803</x:v>
      </x:c>
      <x:c r="M438" t="str">
        <x:v>Same Day</x:v>
      </x:c>
      <x:c r="N438" t="n">
        <x:v>6</x:v>
      </x:c>
      <x:c r="O438" s="7" t="n">
        <x:v>1156.78</x:v>
      </x:c>
      <x:c r="P438" s="6" t="n">
        <x:v>0.05</x:v>
      </x:c>
      <x:c r="Q438" s="7" t="n">
        <x:v>6593.65</x:v>
      </x:c>
      <x:c r="R438" s="7" t="n">
        <x:v>4359.39</x:v>
      </x:c>
      <x:c r="S438" s="7" t="n">
        <x:v>2234.26</x:v>
      </x:c>
      <x:c r="T438" t="str">
        <x:v>Paid</x:v>
      </x:c>
      <x:c r="U438" t="str">
        <x:v>Returned</x:v>
      </x:c>
      <x:c r="V438" s="6" t="n">
        <x:f>IF(ISBLANK(P438),IF(AND(ISNUMBER(N438),N438&gt;0,ISNUMBER(O438),O438&gt;=0,ISNUMBER(Q438),Q438&gt;=0,ISNUMBER(R438),R438&gt;=0,ISNUMBER(S438)),0,""),P438)</x:f>
        <x:v>0.05</x:v>
      </x:c>
      <x:c r="W438" s="7" t="n">
        <x:f>IF(ISBLANK(V438),"",N438*O438*(1-V438))</x:f>
        <x:v>6593.646</x:v>
      </x:c>
      <x:c r="X438" s="7" t="n">
        <x:f>IF(OR(ISBLANK(W438),ISBLANK(R438)),"",W438-R438)</x:f>
        <x:v>2234.2559999999994</x:v>
      </x:c>
      <x:c r="Y438" s="8" t="n">
        <x:f>IF(OR(ISBLANK(W438),W438=0),"",X438/W438)</x:f>
        <x:v>0.33884985636171544</x:v>
      </x:c>
      <x:c r="Z438" s="9" t="n">
        <x:f>IF(OR(ISBLANK(B438),ISBLANK(C438)),"",C438-B438)</x:f>
        <x:v>5</x:v>
      </x:c>
      <x:c r="AA438" t="str">
        <x:f>IF(ISBLANK(B438),"",TEXT(B438,"mmm"))</x:f>
        <x:v>Jun</x:v>
      </x:c>
      <x:c r="AB438" s="9" t="n">
        <x:f>IF(ISBLANK(B438),"",YEAR(B438))</x:f>
        <x:v>2024</x:v>
      </x:c>
      <x:c r="AC438" s="10" t="str"/>
      <x:c r="AD438" t="str">
        <x:f>IF(AND(U438="Completed",T438="Paid",ISERROR(SEARCH("INVALID",AC438)),ISERROR(SEARCH("REVIEW",AC438))),"Include","Exclude")</x:f>
        <x:v>Exclude</x:v>
      </x:c>
      <x:c r="AE438" t="str">
        <x:f>IF(T438="Refunded","Refunded","")</x:f>
      </x:c>
    </x:row>
    <x:row r="439">
      <x:c r="A439" t="str">
        <x:v>ORD-2024-10438</x:v>
      </x:c>
      <x:c r="B439" s="5" t="n">
        <x:v>45337</x:v>
      </x:c>
      <x:c r="C439" s="5" t="n">
        <x:v>45340</x:v>
      </x:c>
      <x:c r="D439" t="str">
        <x:v>CUST-5029</x:v>
      </x:c>
      <x:c r="E439" t="str">
        <x:v>Aditi Sen</x:v>
      </x:c>
      <x:c r="F439" t="str">
        <x:v>Small Business</x:v>
      </x:c>
      <x:c r="G439" t="str">
        <x:v>South</x:v>
      </x:c>
      <x:c r="H439" t="str">
        <x:v>Kerala</x:v>
      </x:c>
      <x:c r="I439" t="str">
        <x:v>Kochi</x:v>
      </x:c>
      <x:c r="J439" t="str">
        <x:v>Technology</x:v>
      </x:c>
      <x:c r="K439" t="str">
        <x:v>Accessories</x:v>
      </x:c>
      <x:c r="L439" t="str">
        <x:v>Max Accessories 423</x:v>
      </x:c>
      <x:c r="M439" t="str">
        <x:v>Same Day</x:v>
      </x:c>
      <x:c r="N439" t="n">
        <x:v>8</x:v>
      </x:c>
      <x:c r="O439" s="7" t="n">
        <x:v>379.82</x:v>
      </x:c>
      <x:c r="P439" s="6" t="n">
        <x:v>0.05</x:v>
      </x:c>
      <x:c r="Q439" s="7" t="n">
        <x:v>2886.63</x:v>
      </x:c>
      <x:c r="R439" s="7" t="n">
        <x:v>1588.23</x:v>
      </x:c>
      <x:c r="S439" s="7" t="n">
        <x:v>1298.4</x:v>
      </x:c>
      <x:c r="T439" t="str">
        <x:v>Failed</x:v>
      </x:c>
      <x:c r="U439" t="str">
        <x:v>Returned</x:v>
      </x:c>
      <x:c r="V439" s="6" t="n">
        <x:f>IF(ISBLANK(P439),IF(AND(ISNUMBER(N439),N439&gt;0,ISNUMBER(O439),O439&gt;=0,ISNUMBER(Q439),Q439&gt;=0,ISNUMBER(R439),R439&gt;=0,ISNUMBER(S439)),0,""),P439)</x:f>
        <x:v>0.05</x:v>
      </x:c>
      <x:c r="W439" s="7" t="n">
        <x:f>IF(ISBLANK(V439),"",N439*O439*(1-V439))</x:f>
        <x:v>2886.6319999999996</x:v>
      </x:c>
      <x:c r="X439" s="7" t="n">
        <x:f>IF(OR(ISBLANK(W439),ISBLANK(R439)),"",W439-R439)</x:f>
        <x:v>1298.4019999999996</x:v>
      </x:c>
      <x:c r="Y439" s="8" t="n">
        <x:f>IF(OR(ISBLANK(W439),W439=0),"",X439/W439)</x:f>
        <x:v>0.44979824238073984</x:v>
      </x:c>
      <x:c r="Z439" s="9" t="n">
        <x:f>IF(OR(ISBLANK(B439),ISBLANK(C439)),"",C439-B439)</x:f>
        <x:v>3</x:v>
      </x:c>
      <x:c r="AA439" t="str">
        <x:f>IF(ISBLANK(B439),"",TEXT(B439,"mmm"))</x:f>
        <x:v>Feb</x:v>
      </x:c>
      <x:c r="AB439" s="9" t="n">
        <x:f>IF(ISBLANK(B439),"",YEAR(B439))</x:f>
        <x:v>2024</x:v>
      </x:c>
      <x:c r="AC439" s="10" t="str">
        <x:v>EXCLUDE: Failed payment</x:v>
      </x:c>
      <x:c r="AD439" t="str">
        <x:f>IF(AND(U439="Completed",T439="Paid",ISERROR(SEARCH("INVALID",AC439)),ISERROR(SEARCH("REVIEW",AC439))),"Include","Exclude")</x:f>
        <x:v>Exclude</x:v>
      </x:c>
      <x:c r="AE439" t="str">
        <x:f>IF(T439="Refunded","Refunded","")</x:f>
      </x:c>
    </x:row>
    <x:row r="440">
      <x:c r="A440" t="str">
        <x:v>ORD-2025-10439</x:v>
      </x:c>
      <x:c r="B440" s="5" t="n">
        <x:v>45784</x:v>
      </x:c>
      <x:c r="C440" s="5" t="n">
        <x:v>45782</x:v>
      </x:c>
      <x:c r="D440" t="str">
        <x:v>CUST-7252</x:v>
      </x:c>
      <x:c r="E440" t="str">
        <x:v>Neha Gupta</x:v>
      </x:c>
      <x:c r="F440" t="str">
        <x:v>Corporate</x:v>
      </x:c>
      <x:c r="G440" t="str">
        <x:v>East</x:v>
      </x:c>
      <x:c r="H440" t="str">
        <x:v>Jharkhand</x:v>
      </x:c>
      <x:c r="I440" t="str">
        <x:v>Ranchi</x:v>
      </x:c>
      <x:c r="J440" t="str">
        <x:v>Technology</x:v>
      </x:c>
      <x:c r="K440" t="str">
        <x:v>Phones</x:v>
      </x:c>
      <x:c r="L440" t="str">
        <x:v>Elite Phones 276</x:v>
      </x:c>
      <x:c r="M440" t="str">
        <x:v>Standard Class</x:v>
      </x:c>
      <x:c r="N440" t="n">
        <x:v>1</x:v>
      </x:c>
      <x:c r="O440" s="7" t="n">
        <x:v>2266.47</x:v>
      </x:c>
      <x:c r="P440" s="6" t="n">
        <x:v>0.2</x:v>
      </x:c>
      <x:c r="Q440" s="7" t="n">
        <x:v>1813.18</x:v>
      </x:c>
      <x:c r="R440" s="7" t="n">
        <x:v>1363.64</x:v>
      </x:c>
      <x:c r="S440" s="7" t="n">
        <x:v>449.54</x:v>
      </x:c>
      <x:c r="T440" t="str">
        <x:v>Paid</x:v>
      </x:c>
      <x:c r="U440" t="str">
        <x:v>Completed</x:v>
      </x:c>
      <x:c r="V440" s="6" t="n">
        <x:f>IF(ISBLANK(P440),IF(AND(ISNUMBER(N440),N440&gt;0,ISNUMBER(O440),O440&gt;=0,ISNUMBER(Q440),Q440&gt;=0,ISNUMBER(R440),R440&gt;=0,ISNUMBER(S440)),0,""),P440)</x:f>
        <x:v>0.2</x:v>
      </x:c>
      <x:c r="W440" s="7" t="n">
        <x:f>IF(ISBLANK(V440),"",N440*O440*(1-V440))</x:f>
        <x:v>1813.176</x:v>
      </x:c>
      <x:c r="X440" s="7" t="n">
        <x:f>IF(OR(ISBLANK(W440),ISBLANK(R440)),"",W440-R440)</x:f>
        <x:v>449.53599999999983</x:v>
      </x:c>
      <x:c r="Y440" s="8" t="n">
        <x:f>IF(OR(ISBLANK(W440),W440=0),"",X440/W440)</x:f>
        <x:v>0.24792739370033567</x:v>
      </x:c>
      <x:c r="Z440" s="9" t="n">
        <x:f>IF(OR(ISBLANK(B440),ISBLANK(C440)),"",C440-B440)</x:f>
        <x:v>-2</x:v>
      </x:c>
      <x:c r="AA440" t="str">
        <x:f>IF(ISBLANK(B440),"",TEXT(B440,"mmm"))</x:f>
        <x:v>May</x:v>
      </x:c>
      <x:c r="AB440" s="9" t="n">
        <x:f>IF(ISBLANK(B440),"",YEAR(B440))</x:f>
        <x:v>2025</x:v>
      </x:c>
      <x:c r="AC440" s="10" t="str">
        <x:v>INVALID: Ship date before order date</x:v>
      </x:c>
      <x:c r="AD440" t="str">
        <x:f>IF(AND(U440="Completed",T440="Paid",ISERROR(SEARCH("INVALID",AC440)),ISERROR(SEARCH("REVIEW",AC440))),"Include","Exclude")</x:f>
        <x:v>Exclude</x:v>
      </x:c>
      <x:c r="AE440" t="str">
        <x:f>IF(T440="Refunded","Refunded","")</x:f>
      </x:c>
    </x:row>
    <x:row r="441">
      <x:c r="A441" t="str">
        <x:v>ORD-2025-10440</x:v>
      </x:c>
      <x:c r="B441" s="5" t="n">
        <x:v>45838</x:v>
      </x:c>
      <x:c r="C441" s="5" t="n">
        <x:v>45841</x:v>
      </x:c>
      <x:c r="D441" t="str">
        <x:v>CUST-7346</x:v>
      </x:c>
      <x:c r="E441" t="str">
        <x:v>Aarav Sharma</x:v>
      </x:c>
      <x:c r="F441" t="str">
        <x:v>Home Office</x:v>
      </x:c>
      <x:c r="G441" t="str">
        <x:v>West</x:v>
      </x:c>
      <x:c r="H441" t="str">
        <x:v>Goa</x:v>
      </x:c>
      <x:c r="I441" t="str">
        <x:v>Panaji</x:v>
      </x:c>
      <x:c r="J441" t="str">
        <x:v>Office Supplies</x:v>
      </x:c>
      <x:c r="K441" t="str">
        <x:v>Storage</x:v>
      </x:c>
      <x:c r="L441" t="str">
        <x:v>Smart Storage 287</x:v>
      </x:c>
      <x:c r="M441" t="str">
        <x:v>Same Day</x:v>
      </x:c>
      <x:c r="N441" t="n">
        <x:v>5</x:v>
      </x:c>
      <x:c r="O441" s="7" t="n">
        <x:v>665.25</x:v>
      </x:c>
      <x:c r="P441" s="6" t="n">
        <x:v>0</x:v>
      </x:c>
      <x:c r="Q441" s="7" t="n">
        <x:v>3326.25</x:v>
      </x:c>
      <x:c r="R441" s="7" t="n">
        <x:v>2689.36</x:v>
      </x:c>
      <x:c r="S441" s="7" t="n">
        <x:v>636.89</x:v>
      </x:c>
      <x:c r="T441" t="str">
        <x:v>Refunded</x:v>
      </x:c>
      <x:c r="U441" t="str">
        <x:v>Returned</x:v>
      </x:c>
      <x:c r="V441" s="6" t="n">
        <x:f>IF(ISBLANK(P441),IF(AND(ISNUMBER(N441),N441&gt;0,ISNUMBER(O441),O441&gt;=0,ISNUMBER(Q441),Q441&gt;=0,ISNUMBER(R441),R441&gt;=0,ISNUMBER(S441)),0,""),P441)</x:f>
        <x:v>0</x:v>
      </x:c>
      <x:c r="W441" s="7" t="n">
        <x:f>IF(ISBLANK(V441),"",N441*O441*(1-V441))</x:f>
        <x:v>3326.25</x:v>
      </x:c>
      <x:c r="X441" s="7" t="n">
        <x:f>IF(OR(ISBLANK(W441),ISBLANK(R441)),"",W441-R441)</x:f>
        <x:v>636.8899999999999</x:v>
      </x:c>
      <x:c r="Y441" s="8" t="n">
        <x:f>IF(OR(ISBLANK(W441),W441=0),"",X441/W441)</x:f>
        <x:v>0.19147388199924836</x:v>
      </x:c>
      <x:c r="Z441" s="9" t="n">
        <x:f>IF(OR(ISBLANK(B441),ISBLANK(C441)),"",C441-B441)</x:f>
        <x:v>3</x:v>
      </x:c>
      <x:c r="AA441" t="str">
        <x:f>IF(ISBLANK(B441),"",TEXT(B441,"mmm"))</x:f>
        <x:v>Jun</x:v>
      </x:c>
      <x:c r="AB441" s="9" t="n">
        <x:f>IF(ISBLANK(B441),"",YEAR(B441))</x:f>
        <x:v>2025</x:v>
      </x:c>
      <x:c r="AC441" s="10" t="str">
        <x:v>REFUND: Summarize separately</x:v>
      </x:c>
      <x:c r="AD441" t="str">
        <x:f>IF(AND(U441="Completed",T441="Paid",ISERROR(SEARCH("INVALID",AC441)),ISERROR(SEARCH("REVIEW",AC441))),"Include","Exclude")</x:f>
        <x:v>Exclude</x:v>
      </x:c>
      <x:c r="AE441" t="str">
        <x:f>IF(T441="Refunded","Refunded","")</x:f>
        <x:v>Refunded</x:v>
      </x:c>
    </x:row>
    <x:row r="442">
      <x:c r="A442" t="str">
        <x:v>ORD-2024-10441</x:v>
      </x:c>
      <x:c r="B442" s="5" t="n">
        <x:v>45384</x:v>
      </x:c>
      <x:c r="C442" s="5" t="n">
        <x:v>45390</x:v>
      </x:c>
      <x:c r="D442" t="str">
        <x:v>CUST-9039</x:v>
      </x:c>
      <x:c r="E442" t="str">
        <x:v>Vikram Iyer</x:v>
      </x:c>
      <x:c r="F442" t="str">
        <x:v>Corporate</x:v>
      </x:c>
      <x:c r="G442" t="str">
        <x:v>East</x:v>
      </x:c>
      <x:c r="H442" t="str">
        <x:v>Odisha</x:v>
      </x:c>
      <x:c r="I442" t="str">
        <x:v>Bhubaneswar</x:v>
      </x:c>
      <x:c r="J442" t="str">
        <x:v>Technology</x:v>
      </x:c>
      <x:c r="K442" t="str">
        <x:v>Machines</x:v>
      </x:c>
      <x:c r="L442" t="str">
        <x:v>Basic Machines 610</x:v>
      </x:c>
      <x:c r="M442" t="str">
        <x:v>Second Class</x:v>
      </x:c>
      <x:c r="N442" t="n">
        <x:v>6</x:v>
      </x:c>
      <x:c r="O442" s="7" t="n">
        <x:v>3722.84</x:v>
      </x:c>
      <x:c r="P442" s="6" t="n">
        <x:v>0.2</x:v>
      </x:c>
      <x:c r="Q442" s="7" t="n">
        <x:v>17869.63</x:v>
      </x:c>
      <x:c r="R442" s="7" t="n">
        <x:v>12163.8</x:v>
      </x:c>
      <x:c r="S442" s="7" t="n">
        <x:v>5705.83</x:v>
      </x:c>
      <x:c r="T442" t="str">
        <x:v>Paid</x:v>
      </x:c>
      <x:c r="U442" t="str">
        <x:v>Completed</x:v>
      </x:c>
      <x:c r="V442" s="6" t="n">
        <x:f>IF(ISBLANK(P442),IF(AND(ISNUMBER(N442),N442&gt;0,ISNUMBER(O442),O442&gt;=0,ISNUMBER(Q442),Q442&gt;=0,ISNUMBER(R442),R442&gt;=0,ISNUMBER(S442)),0,""),P442)</x:f>
        <x:v>0.2</x:v>
      </x:c>
      <x:c r="W442" s="7" t="n">
        <x:f>IF(ISBLANK(V442),"",N442*O442*(1-V442))</x:f>
        <x:v>17869.632</x:v>
      </x:c>
      <x:c r="X442" s="7" t="n">
        <x:f>IF(OR(ISBLANK(W442),ISBLANK(R442)),"",W442-R442)</x:f>
        <x:v>5705.832000000002</x:v>
      </x:c>
      <x:c r="Y442" s="8" t="n">
        <x:f>IF(OR(ISBLANK(W442),W442=0),"",X442/W442)</x:f>
        <x:v>0.3193032738446993</x:v>
      </x:c>
      <x:c r="Z442" s="9" t="n">
        <x:f>IF(OR(ISBLANK(B442),ISBLANK(C442)),"",C442-B442)</x:f>
        <x:v>6</x:v>
      </x:c>
      <x:c r="AA442" t="str">
        <x:f>IF(ISBLANK(B442),"",TEXT(B442,"mmm"))</x:f>
        <x:v>Apr</x:v>
      </x:c>
      <x:c r="AB442" s="9" t="n">
        <x:f>IF(ISBLANK(B442),"",YEAR(B442))</x:f>
        <x:v>2024</x:v>
      </x:c>
      <x:c r="AC442" s="10" t="str"/>
      <x:c r="AD442" t="str">
        <x:f>IF(AND(U442="Completed",T442="Paid",ISERROR(SEARCH("INVALID",AC442)),ISERROR(SEARCH("REVIEW",AC442))),"Include","Exclude")</x:f>
        <x:v>Include</x:v>
      </x:c>
      <x:c r="AE442" t="str">
        <x:f>IF(T442="Refunded","Refunded","")</x:f>
      </x:c>
    </x:row>
    <x:row r="443">
      <x:c r="A443" t="str">
        <x:v>ORD-2024-10442</x:v>
      </x:c>
      <x:c r="B443" s="5" t="n">
        <x:v>45568</x:v>
      </x:c>
      <x:c r="C443" s="5" t="n">
        <x:v>45568</x:v>
      </x:c>
      <x:c r="D443" t="str">
        <x:v>CUST-3975</x:v>
      </x:c>
      <x:c r="E443" t="str">
        <x:v>Karan Malhotra</x:v>
      </x:c>
      <x:c r="F443" t="str">
        <x:v>Consumer</x:v>
      </x:c>
      <x:c r="G443" t="str">
        <x:v>East</x:v>
      </x:c>
      <x:c r="H443" t="str">
        <x:v>Bihar</x:v>
      </x:c>
      <x:c r="I443" t="str">
        <x:v>Patna</x:v>
      </x:c>
      <x:c r="J443" t="str">
        <x:v>Furniture</x:v>
      </x:c>
      <x:c r="K443" t="str">
        <x:v>Bookcases</x:v>
      </x:c>
      <x:c r="L443" t="str">
        <x:v>Elite Bookcases 393</x:v>
      </x:c>
      <x:c r="M443" t="str">
        <x:v>Standard Class</x:v>
      </x:c>
      <x:c r="N443" t="n">
        <x:v>6</x:v>
      </x:c>
      <x:c r="O443" s="7" t="n">
        <x:v>4217.49</x:v>
      </x:c>
      <x:c r="P443" s="6" t="n">
        <x:v>0</x:v>
      </x:c>
      <x:c r="Q443" s="7" t="n">
        <x:v>25304.94</x:v>
      </x:c>
      <x:c r="R443" s="7" t="n">
        <x:v>20771.95</x:v>
      </x:c>
      <x:c r="S443" s="7" t="n">
        <x:v>4532.99</x:v>
      </x:c>
      <x:c r="T443" t="str">
        <x:v>Paid</x:v>
      </x:c>
      <x:c r="U443" t="str">
        <x:v>Cancelled</x:v>
      </x:c>
      <x:c r="V443" s="6" t="n">
        <x:f>IF(ISBLANK(P443),IF(AND(ISNUMBER(N443),N443&gt;0,ISNUMBER(O443),O443&gt;=0,ISNUMBER(Q443),Q443&gt;=0,ISNUMBER(R443),R443&gt;=0,ISNUMBER(S443)),0,""),P443)</x:f>
        <x:v>0</x:v>
      </x:c>
      <x:c r="W443" s="7" t="n">
        <x:f>IF(ISBLANK(V443),"",N443*O443*(1-V443))</x:f>
        <x:v>25304.94</x:v>
      </x:c>
      <x:c r="X443" s="7" t="n">
        <x:f>IF(OR(ISBLANK(W443),ISBLANK(R443)),"",W443-R443)</x:f>
        <x:v>4532.989999999998</x:v>
      </x:c>
      <x:c r="Y443" s="8" t="n">
        <x:f>IF(OR(ISBLANK(W443),W443=0),"",X443/W443)</x:f>
        <x:v>0.17913458795002077</x:v>
      </x:c>
      <x:c r="Z443" s="9" t="n">
        <x:f>IF(OR(ISBLANK(B443),ISBLANK(C443)),"",C443-B443)</x:f>
        <x:v>0</x:v>
      </x:c>
      <x:c r="AA443" t="str">
        <x:f>IF(ISBLANK(B443),"",TEXT(B443,"mmm"))</x:f>
        <x:v>Oct</x:v>
      </x:c>
      <x:c r="AB443" s="9" t="n">
        <x:f>IF(ISBLANK(B443),"",YEAR(B443))</x:f>
        <x:v>2024</x:v>
      </x:c>
      <x:c r="AC443" s="10" t="str">
        <x:v>EXCLUDE: Cancelled order</x:v>
      </x:c>
      <x:c r="AD443" t="str">
        <x:f>IF(AND(U443="Completed",T443="Paid",ISERROR(SEARCH("INVALID",AC443)),ISERROR(SEARCH("REVIEW",AC443))),"Include","Exclude")</x:f>
        <x:v>Exclude</x:v>
      </x:c>
      <x:c r="AE443" t="str">
        <x:f>IF(T443="Refunded","Refunded","")</x:f>
      </x:c>
    </x:row>
    <x:row r="444">
      <x:c r="A444" t="str">
        <x:v>ORD-2025-10443</x:v>
      </x:c>
      <x:c r="B444" s="5" t="n">
        <x:v>45669</x:v>
      </x:c>
      <x:c r="C444" s="5" t="n">
        <x:v>45676</x:v>
      </x:c>
      <x:c r="D444" t="str">
        <x:v>CUST-6588</x:v>
      </x:c>
      <x:c r="E444" t="str">
        <x:v>Aarav Sharma</x:v>
      </x:c>
      <x:c r="F444" t="str">
        <x:v>Consumer</x:v>
      </x:c>
      <x:c r="G444" t="str">
        <x:v>East</x:v>
      </x:c>
      <x:c r="H444" t="str">
        <x:v>Jharkhand</x:v>
      </x:c>
      <x:c r="I444" t="str">
        <x:v>Ranchi</x:v>
      </x:c>
      <x:c r="J444" t="str">
        <x:v>Furniture</x:v>
      </x:c>
      <x:c r="K444" t="str">
        <x:v>Tables</x:v>
      </x:c>
      <x:c r="L444" t="str">
        <x:v>Prime Tables 242</x:v>
      </x:c>
      <x:c r="M444" t="str">
        <x:v>First Class</x:v>
      </x:c>
      <x:c r="N444" t="n">
        <x:v>1</x:v>
      </x:c>
      <x:c r="O444" s="7" t="n">
        <x:v>1842.31</x:v>
      </x:c>
      <x:c r="P444" s="6" t="n">
        <x:v>0</x:v>
      </x:c>
      <x:c r="Q444" s="7" t="n">
        <x:v>1842.31</x:v>
      </x:c>
      <x:c r="R444" s="7" t="n">
        <x:v>1019.17</x:v>
      </x:c>
      <x:c r="S444" s="7" t="n">
        <x:v>823.14</x:v>
      </x:c>
      <x:c r="T444" t="str">
        <x:v>Paid</x:v>
      </x:c>
      <x:c r="U444" t="str">
        <x:v>Completed</x:v>
      </x:c>
      <x:c r="V444" s="6" t="n">
        <x:f>IF(ISBLANK(P444),IF(AND(ISNUMBER(N444),N444&gt;0,ISNUMBER(O444),O444&gt;=0,ISNUMBER(Q444),Q444&gt;=0,ISNUMBER(R444),R444&gt;=0,ISNUMBER(S444)),0,""),P444)</x:f>
        <x:v>0</x:v>
      </x:c>
      <x:c r="W444" s="7" t="n">
        <x:f>IF(ISBLANK(V444),"",N444*O444*(1-V444))</x:f>
        <x:v>1842.31</x:v>
      </x:c>
      <x:c r="X444" s="7" t="n">
        <x:f>IF(OR(ISBLANK(W444),ISBLANK(R444)),"",W444-R444)</x:f>
        <x:v>823.14</x:v>
      </x:c>
      <x:c r="Y444" s="8" t="n">
        <x:f>IF(OR(ISBLANK(W444),W444=0),"",X444/W444)</x:f>
        <x:v>0.4467977701906845</x:v>
      </x:c>
      <x:c r="Z444" s="9" t="n">
        <x:f>IF(OR(ISBLANK(B444),ISBLANK(C444)),"",C444-B444)</x:f>
        <x:v>7</x:v>
      </x:c>
      <x:c r="AA444" t="str">
        <x:f>IF(ISBLANK(B444),"",TEXT(B444,"mmm"))</x:f>
        <x:v>Jan</x:v>
      </x:c>
      <x:c r="AB444" s="9" t="n">
        <x:f>IF(ISBLANK(B444),"",YEAR(B444))</x:f>
        <x:v>2025</x:v>
      </x:c>
      <x:c r="AC444" s="10" t="str"/>
      <x:c r="AD444" t="str">
        <x:f>IF(AND(U444="Completed",T444="Paid",ISERROR(SEARCH("INVALID",AC444)),ISERROR(SEARCH("REVIEW",AC444))),"Include","Exclude")</x:f>
        <x:v>Include</x:v>
      </x:c>
      <x:c r="AE444" t="str">
        <x:f>IF(T444="Refunded","Refunded","")</x:f>
      </x:c>
    </x:row>
    <x:row r="445">
      <x:c r="A445" t="str">
        <x:v>ORD-2024-10444</x:v>
      </x:c>
      <x:c r="B445" s="5" t="n">
        <x:v>45386</x:v>
      </x:c>
      <x:c r="C445" s="5" t="n">
        <x:v>45389</x:v>
      </x:c>
      <x:c r="D445" t="str">
        <x:v>CUST-2207</x:v>
      </x:c>
      <x:c r="E445" t="str">
        <x:v>Rohan Mehta</x:v>
      </x:c>
      <x:c r="F445" t="str">
        <x:v>Home Office</x:v>
      </x:c>
      <x:c r="G445" t="str">
        <x:v>East</x:v>
      </x:c>
      <x:c r="H445" t="str">
        <x:v>Odisha</x:v>
      </x:c>
      <x:c r="I445" t="str">
        <x:v>Bhubaneswar</x:v>
      </x:c>
      <x:c r="J445" t="str">
        <x:v>Furniture</x:v>
      </x:c>
      <x:c r="K445" t="str">
        <x:v>Furnishings</x:v>
      </x:c>
      <x:c r="L445" t="str">
        <x:v>Basic Furnishings 563</x:v>
      </x:c>
      <x:c r="M445" t="str">
        <x:v>First Class</x:v>
      </x:c>
      <x:c r="N445" t="n">
        <x:v>1</x:v>
      </x:c>
      <x:c r="O445" s="7" t="n">
        <x:v>3683.75</x:v>
      </x:c>
      <x:c r="P445" s="6" t="n">
        <x:v>0.1</x:v>
      </x:c>
      <x:c r="Q445" s="7" t="n">
        <x:v>3315.38</x:v>
      </x:c>
      <x:c r="R445" s="7" t="n">
        <x:v>2347.68</x:v>
      </x:c>
      <x:c r="S445" s="7" t="n">
        <x:v>967.7</x:v>
      </x:c>
      <x:c r="T445" t="str">
        <x:v>Paid</x:v>
      </x:c>
      <x:c r="U445" t="str">
        <x:v>Completed</x:v>
      </x:c>
      <x:c r="V445" s="6" t="n">
        <x:f>IF(ISBLANK(P445),IF(AND(ISNUMBER(N445),N445&gt;0,ISNUMBER(O445),O445&gt;=0,ISNUMBER(Q445),Q445&gt;=0,ISNUMBER(R445),R445&gt;=0,ISNUMBER(S445)),0,""),P445)</x:f>
        <x:v>0.1</x:v>
      </x:c>
      <x:c r="W445" s="7" t="n">
        <x:f>IF(ISBLANK(V445),"",N445*O445*(1-V445))</x:f>
        <x:v>3315.375</x:v>
      </x:c>
      <x:c r="X445" s="7" t="n">
        <x:f>IF(OR(ISBLANK(W445),ISBLANK(R445)),"",W445-R445)</x:f>
        <x:v>967.6950000000002</x:v>
      </x:c>
      <x:c r="Y445" s="8" t="n">
        <x:f>IF(OR(ISBLANK(W445),W445=0),"",X445/W445)</x:f>
        <x:v>0.29188100893564084</x:v>
      </x:c>
      <x:c r="Z445" s="9" t="n">
        <x:f>IF(OR(ISBLANK(B445),ISBLANK(C445)),"",C445-B445)</x:f>
        <x:v>3</x:v>
      </x:c>
      <x:c r="AA445" t="str">
        <x:f>IF(ISBLANK(B445),"",TEXT(B445,"mmm"))</x:f>
        <x:v>Apr</x:v>
      </x:c>
      <x:c r="AB445" s="9" t="n">
        <x:f>IF(ISBLANK(B445),"",YEAR(B445))</x:f>
        <x:v>2024</x:v>
      </x:c>
      <x:c r="AC445" s="10" t="str"/>
      <x:c r="AD445" t="str">
        <x:f>IF(AND(U445="Completed",T445="Paid",ISERROR(SEARCH("INVALID",AC445)),ISERROR(SEARCH("REVIEW",AC445))),"Include","Exclude")</x:f>
        <x:v>Include</x:v>
      </x:c>
      <x:c r="AE445" t="str">
        <x:f>IF(T445="Refunded","Refunded","")</x:f>
      </x:c>
    </x:row>
    <x:row r="446">
      <x:c r="A446" t="str">
        <x:v>ORD-2025-10445</x:v>
      </x:c>
      <x:c r="B446" s="5" t="n">
        <x:v>45881</x:v>
      </x:c>
      <x:c r="C446" s="5" t="n">
        <x:v>45885</x:v>
      </x:c>
      <x:c r="D446" t="str">
        <x:v>CUST-4475</x:v>
      </x:c>
      <x:c r="E446" t="str">
        <x:v>Ananya Rao</x:v>
      </x:c>
      <x:c r="F446" t="str">
        <x:v>Consumer</x:v>
      </x:c>
      <x:c r="G446" t="str">
        <x:v>East</x:v>
      </x:c>
      <x:c r="H446" t="str">
        <x:v>Assam</x:v>
      </x:c>
      <x:c r="I446" t="str">
        <x:v>Guwahati</x:v>
      </x:c>
      <x:c r="J446" t="str">
        <x:v>Technology</x:v>
      </x:c>
      <x:c r="K446" t="str">
        <x:v>Accessories</x:v>
      </x:c>
      <x:c r="L446" t="str">
        <x:v>Prime Accessories 482</x:v>
      </x:c>
      <x:c r="M446" t="str">
        <x:v>Same Day</x:v>
      </x:c>
      <x:c r="N446" t="n">
        <x:v>9</x:v>
      </x:c>
      <x:c r="O446" s="7" t="n">
        <x:v>2379.24</x:v>
      </x:c>
      <x:c r="P446" s="6" t="n">
        <x:v>0.05</x:v>
      </x:c>
      <x:c r="Q446" s="7" t="n">
        <x:v>20342.5</x:v>
      </x:c>
      <x:c r="R446" s="7" t="n">
        <x:v>12407.51</x:v>
      </x:c>
      <x:c r="S446" s="7" t="n">
        <x:v>7934.99</x:v>
      </x:c>
      <x:c r="T446" t="str">
        <x:v>Paid</x:v>
      </x:c>
      <x:c r="U446" t="str">
        <x:v>Completed</x:v>
      </x:c>
      <x:c r="V446" s="6" t="n">
        <x:f>IF(ISBLANK(P446),IF(AND(ISNUMBER(N446),N446&gt;0,ISNUMBER(O446),O446&gt;=0,ISNUMBER(Q446),Q446&gt;=0,ISNUMBER(R446),R446&gt;=0,ISNUMBER(S446)),0,""),P446)</x:f>
        <x:v>0.05</x:v>
      </x:c>
      <x:c r="W446" s="7" t="n">
        <x:f>IF(ISBLANK(V446),"",N446*O446*(1-V446))</x:f>
        <x:v>20342.501999999997</x:v>
      </x:c>
      <x:c r="X446" s="7" t="n">
        <x:f>IF(OR(ISBLANK(W446),ISBLANK(R446)),"",W446-R446)</x:f>
        <x:v>7934.991999999997</x:v>
      </x:c>
      <x:c r="Y446" s="8" t="n">
        <x:f>IF(OR(ISBLANK(W446),W446=0),"",X446/W446)</x:f>
        <x:v>0.3900696187715748</x:v>
      </x:c>
      <x:c r="Z446" s="9" t="n">
        <x:f>IF(OR(ISBLANK(B446),ISBLANK(C446)),"",C446-B446)</x:f>
        <x:v>4</x:v>
      </x:c>
      <x:c r="AA446" t="str">
        <x:f>IF(ISBLANK(B446),"",TEXT(B446,"mmm"))</x:f>
        <x:v>Aug</x:v>
      </x:c>
      <x:c r="AB446" s="9" t="n">
        <x:f>IF(ISBLANK(B446),"",YEAR(B446))</x:f>
        <x:v>2025</x:v>
      </x:c>
      <x:c r="AC446" s="10" t="str"/>
      <x:c r="AD446" t="str">
        <x:f>IF(AND(U446="Completed",T446="Paid",ISERROR(SEARCH("INVALID",AC446)),ISERROR(SEARCH("REVIEW",AC446))),"Include","Exclude")</x:f>
        <x:v>Include</x:v>
      </x:c>
      <x:c r="AE446" t="str">
        <x:f>IF(T446="Refunded","Refunded","")</x:f>
      </x:c>
    </x:row>
    <x:row r="447">
      <x:c r="A447" t="str">
        <x:v>ORD-2024-10446</x:v>
      </x:c>
      <x:c r="B447" s="5" t="n">
        <x:v>45421</x:v>
      </x:c>
      <x:c r="C447" s="5" t="n">
        <x:v>45417</x:v>
      </x:c>
      <x:c r="D447" t="str">
        <x:v>CUST-1351</x:v>
      </x:c>
      <x:c r="E447" t="str">
        <x:v>Arjun Bose</x:v>
      </x:c>
      <x:c r="F447" t="str">
        <x:v>Consumer</x:v>
      </x:c>
      <x:c r="G447" t="str">
        <x:v>East</x:v>
      </x:c>
      <x:c r="H447" t="str">
        <x:v>Assam</x:v>
      </x:c>
      <x:c r="I447" t="str">
        <x:v>Guwahati</x:v>
      </x:c>
      <x:c r="J447" t="str">
        <x:v>Furniture</x:v>
      </x:c>
      <x:c r="K447" t="str">
        <x:v>Bookcases</x:v>
      </x:c>
      <x:c r="L447" t="str">
        <x:v>Eco Bookcases 215</x:v>
      </x:c>
      <x:c r="M447" t="str">
        <x:v>Same Day</x:v>
      </x:c>
      <x:c r="N447" t="n">
        <x:v>2</x:v>
      </x:c>
      <x:c r="O447" s="7" t="n">
        <x:v>2111.23</x:v>
      </x:c>
      <x:c r="P447" s="6" t="n">
        <x:v>0.2</x:v>
      </x:c>
      <x:c r="Q447" s="7" t="n">
        <x:v>3377.97</x:v>
      </x:c>
      <x:c r="R447" s="7" t="n">
        <x:v>2496.29</x:v>
      </x:c>
      <x:c r="S447" s="7" t="n">
        <x:v>881.68</x:v>
      </x:c>
      <x:c r="T447" t="str">
        <x:v>Paid</x:v>
      </x:c>
      <x:c r="U447" t="str">
        <x:v>Completed</x:v>
      </x:c>
      <x:c r="V447" s="6" t="n">
        <x:f>IF(ISBLANK(P447),IF(AND(ISNUMBER(N447),N447&gt;0,ISNUMBER(O447),O447&gt;=0,ISNUMBER(Q447),Q447&gt;=0,ISNUMBER(R447),R447&gt;=0,ISNUMBER(S447)),0,""),P447)</x:f>
        <x:v>0.2</x:v>
      </x:c>
      <x:c r="W447" s="7" t="n">
        <x:f>IF(ISBLANK(V447),"",N447*O447*(1-V447))</x:f>
        <x:v>3377.9680000000003</x:v>
      </x:c>
      <x:c r="X447" s="7" t="n">
        <x:f>IF(OR(ISBLANK(W447),ISBLANK(R447)),"",W447-R447)</x:f>
        <x:v>881.6780000000003</x:v>
      </x:c>
      <x:c r="Y447" s="8" t="n">
        <x:f>IF(OR(ISBLANK(W447),W447=0),"",X447/W447)</x:f>
        <x:v>0.2610083932115403</x:v>
      </x:c>
      <x:c r="Z447" s="9" t="n">
        <x:f>IF(OR(ISBLANK(B447),ISBLANK(C447)),"",C447-B447)</x:f>
        <x:v>-4</x:v>
      </x:c>
      <x:c r="AA447" t="str">
        <x:f>IF(ISBLANK(B447),"",TEXT(B447,"mmm"))</x:f>
        <x:v>May</x:v>
      </x:c>
      <x:c r="AB447" s="9" t="n">
        <x:f>IF(ISBLANK(B447),"",YEAR(B447))</x:f>
        <x:v>2024</x:v>
      </x:c>
      <x:c r="AC447" s="10" t="str">
        <x:v>INVALID: Ship date before order date</x:v>
      </x:c>
      <x:c r="AD447" t="str">
        <x:f>IF(AND(U447="Completed",T447="Paid",ISERROR(SEARCH("INVALID",AC447)),ISERROR(SEARCH("REVIEW",AC447))),"Include","Exclude")</x:f>
        <x:v>Exclude</x:v>
      </x:c>
      <x:c r="AE447" t="str">
        <x:f>IF(T447="Refunded","Refunded","")</x:f>
      </x:c>
    </x:row>
    <x:row r="448">
      <x:c r="A448" t="str">
        <x:v>ORD-2025-10447</x:v>
      </x:c>
      <x:c r="B448" s="5" t="n">
        <x:v>45918</x:v>
      </x:c>
      <x:c r="C448" s="5" t="n">
        <x:v>45919</x:v>
      </x:c>
      <x:c r="D448" t="str">
        <x:v>CUST-9295</x:v>
      </x:c>
      <x:c r="E448" t="str">
        <x:v>Sneha Kapoor</x:v>
      </x:c>
      <x:c r="F448" t="str">
        <x:v>Home Office</x:v>
      </x:c>
      <x:c r="G448" t="str">
        <x:v>South</x:v>
      </x:c>
      <x:c r="H448" t="str">
        <x:v>Andhra Pradesh</x:v>
      </x:c>
      <x:c r="I448" t="str">
        <x:v>Vijayawada</x:v>
      </x:c>
      <x:c r="J448" t="str">
        <x:v>Office Supplies</x:v>
      </x:c>
      <x:c r="K448" t="str">
        <x:v>Storage</x:v>
      </x:c>
      <x:c r="L448" t="str">
        <x:v>Eco Storage 793</x:v>
      </x:c>
      <x:c r="M448" t="str">
        <x:v>Same Day</x:v>
      </x:c>
      <x:c r="N448" t="n">
        <x:v>8</x:v>
      </x:c>
      <x:c r="O448" s="7" t="n">
        <x:v>4242.51</x:v>
      </x:c>
      <x:c r="P448" s="6" t="n">
        <x:v>0</x:v>
      </x:c>
      <x:c r="Q448" s="7" t="n">
        <x:v>33940.08</x:v>
      </x:c>
      <x:c r="R448" s="7" t="n">
        <x:v>23754.19</x:v>
      </x:c>
      <x:c r="S448" s="7" t="n">
        <x:v>10185.89</x:v>
      </x:c>
      <x:c r="T448" t="str">
        <x:v>Paid</x:v>
      </x:c>
      <x:c r="U448" t="str">
        <x:v>Completed</x:v>
      </x:c>
      <x:c r="V448" s="6" t="n">
        <x:f>IF(ISBLANK(P448),IF(AND(ISNUMBER(N448),N448&gt;0,ISNUMBER(O448),O448&gt;=0,ISNUMBER(Q448),Q448&gt;=0,ISNUMBER(R448),R448&gt;=0,ISNUMBER(S448)),0,""),P448)</x:f>
        <x:v>0</x:v>
      </x:c>
      <x:c r="W448" s="7" t="n">
        <x:f>IF(ISBLANK(V448),"",N448*O448*(1-V448))</x:f>
        <x:v>33940.08</x:v>
      </x:c>
      <x:c r="X448" s="7" t="n">
        <x:f>IF(OR(ISBLANK(W448),ISBLANK(R448)),"",W448-R448)</x:f>
        <x:v>10185.890000000003</x:v>
      </x:c>
      <x:c r="Y448" s="8" t="n">
        <x:f>IF(OR(ISBLANK(W448),W448=0),"",X448/W448)</x:f>
        <x:v>0.30011390662603044</x:v>
      </x:c>
      <x:c r="Z448" s="9" t="n">
        <x:f>IF(OR(ISBLANK(B448),ISBLANK(C448)),"",C448-B448)</x:f>
        <x:v>1</x:v>
      </x:c>
      <x:c r="AA448" t="str">
        <x:f>IF(ISBLANK(B448),"",TEXT(B448,"mmm"))</x:f>
        <x:v>Sep</x:v>
      </x:c>
      <x:c r="AB448" s="9" t="n">
        <x:f>IF(ISBLANK(B448),"",YEAR(B448))</x:f>
        <x:v>2025</x:v>
      </x:c>
      <x:c r="AC448" s="10" t="str"/>
      <x:c r="AD448" t="str">
        <x:f>IF(AND(U448="Completed",T448="Paid",ISERROR(SEARCH("INVALID",AC448)),ISERROR(SEARCH("REVIEW",AC448))),"Include","Exclude")</x:f>
        <x:v>Include</x:v>
      </x:c>
      <x:c r="AE448" t="str">
        <x:f>IF(T448="Refunded","Refunded","")</x:f>
      </x:c>
    </x:row>
    <x:row r="449">
      <x:c r="A449" t="str">
        <x:v>ORD-2025-10448</x:v>
      </x:c>
      <x:c r="B449" s="5" t="n">
        <x:v>45879</x:v>
      </x:c>
      <x:c r="C449" s="5" t="n">
        <x:v>45879</x:v>
      </x:c>
      <x:c r="D449" t="str">
        <x:v>CUST-3614</x:v>
      </x:c>
      <x:c r="E449" t="str">
        <x:v>Rohan Mehta</x:v>
      </x:c>
      <x:c r="F449" t="str">
        <x:v>Home Office</x:v>
      </x:c>
      <x:c r="G449" t="str">
        <x:v>South</x:v>
      </x:c>
      <x:c r="H449" t="str">
        <x:v>Telangana</x:v>
      </x:c>
      <x:c r="I449" t="str">
        <x:v>Hyderabad</x:v>
      </x:c>
      <x:c r="J449" t="str">
        <x:v>Furniture</x:v>
      </x:c>
      <x:c r="K449" t="str">
        <x:v>Bookcases</x:v>
      </x:c>
      <x:c r="L449" t="str">
        <x:v>Basic Bookcases 182</x:v>
      </x:c>
      <x:c r="M449" t="str">
        <x:v>Standard Class</x:v>
      </x:c>
      <x:c r="N449" t="n">
        <x:v>6</x:v>
      </x:c>
      <x:c r="O449" s="7" t="n">
        <x:v>4288.7</x:v>
      </x:c>
      <x:c r="P449" s="6" t="n">
        <x:v>0.15</x:v>
      </x:c>
      <x:c r="Q449" s="7" t="n">
        <x:v>21872.37</x:v>
      </x:c>
      <x:c r="R449" s="7" t="n">
        <x:v>13829.5</x:v>
      </x:c>
      <x:c r="S449" s="7" t="n">
        <x:v>8042.87</x:v>
      </x:c>
      <x:c r="T449" t="str">
        <x:v>Pending</x:v>
      </x:c>
      <x:c r="U449" t="str">
        <x:v>Returned</x:v>
      </x:c>
      <x:c r="V449" s="6" t="n">
        <x:f>IF(ISBLANK(P449),IF(AND(ISNUMBER(N449),N449&gt;0,ISNUMBER(O449),O449&gt;=0,ISNUMBER(Q449),Q449&gt;=0,ISNUMBER(R449),R449&gt;=0,ISNUMBER(S449)),0,""),P449)</x:f>
        <x:v>0.15</x:v>
      </x:c>
      <x:c r="W449" s="7" t="n">
        <x:f>IF(ISBLANK(V449),"",N449*O449*(1-V449))</x:f>
        <x:v>21872.369999999995</x:v>
      </x:c>
      <x:c r="X449" s="7" t="n">
        <x:f>IF(OR(ISBLANK(W449),ISBLANK(R449)),"",W449-R449)</x:f>
        <x:v>8042.869999999995</x:v>
      </x:c>
      <x:c r="Y449" s="8" t="n">
        <x:f>IF(OR(ISBLANK(W449),W449=0),"",X449/W449)</x:f>
        <x:v>0.3677182673848329</x:v>
      </x:c>
      <x:c r="Z449" s="9" t="n">
        <x:f>IF(OR(ISBLANK(B449),ISBLANK(C449)),"",C449-B449)</x:f>
        <x:v>0</x:v>
      </x:c>
      <x:c r="AA449" t="str">
        <x:f>IF(ISBLANK(B449),"",TEXT(B449,"mmm"))</x:f>
        <x:v>Aug</x:v>
      </x:c>
      <x:c r="AB449" s="9" t="n">
        <x:f>IF(ISBLANK(B449),"",YEAR(B449))</x:f>
        <x:v>2025</x:v>
      </x:c>
      <x:c r="AC449" s="10" t="str"/>
      <x:c r="AD449" t="str">
        <x:f>IF(AND(U449="Completed",T449="Paid",ISERROR(SEARCH("INVALID",AC449)),ISERROR(SEARCH("REVIEW",AC449))),"Include","Exclude")</x:f>
        <x:v>Exclude</x:v>
      </x:c>
      <x:c r="AE449" t="str">
        <x:f>IF(T449="Refunded","Refunded","")</x:f>
      </x:c>
    </x:row>
    <x:row r="450">
      <x:c r="A450" t="str">
        <x:v>ORD-2024-10449</x:v>
      </x:c>
      <x:c r="B450" s="5" t="n">
        <x:v>45306</x:v>
      </x:c>
      <x:c r="C450" s="5" t="n">
        <x:v>45309</x:v>
      </x:c>
      <x:c r="D450" t="str">
        <x:v>CUST-1932</x:v>
      </x:c>
      <x:c r="E450" t="str">
        <x:v>Mira Das</x:v>
      </x:c>
      <x:c r="F450" t="str">
        <x:v>Small Business</x:v>
      </x:c>
      <x:c r="G450" t="str">
        <x:v>South</x:v>
      </x:c>
      <x:c r="H450" t="str">
        <x:v>Andhra Pradesh</x:v>
      </x:c>
      <x:c r="I450" t="str">
        <x:v>Vijayawada</x:v>
      </x:c>
      <x:c r="J450" t="str">
        <x:v>Furniture</x:v>
      </x:c>
      <x:c r="K450" t="str">
        <x:v>Chairs</x:v>
      </x:c>
      <x:c r="L450" t="str">
        <x:v>Prime Chairs 631</x:v>
      </x:c>
      <x:c r="M450" t="str">
        <x:v>First Class</x:v>
      </x:c>
      <x:c r="N450" t="n">
        <x:v>2</x:v>
      </x:c>
      <x:c r="O450" s="7" t="n">
        <x:v>201.21</x:v>
      </x:c>
      <x:c r="P450" s="6" t="n">
        <x:v>0.15</x:v>
      </x:c>
      <x:c r="Q450" s="7" t="n">
        <x:v>342.06</x:v>
      </x:c>
      <x:c r="R450" s="7" t="n">
        <x:v>244.57</x:v>
      </x:c>
      <x:c r="S450" s="7" t="n">
        <x:v>97.49</x:v>
      </x:c>
      <x:c r="T450" t="str">
        <x:v>Paid</x:v>
      </x:c>
      <x:c r="U450" t="str">
        <x:v>Completed</x:v>
      </x:c>
      <x:c r="V450" s="6" t="n">
        <x:f>IF(ISBLANK(P450),IF(AND(ISNUMBER(N450),N450&gt;0,ISNUMBER(O450),O450&gt;=0,ISNUMBER(Q450),Q450&gt;=0,ISNUMBER(R450),R450&gt;=0,ISNUMBER(S450)),0,""),P450)</x:f>
        <x:v>0.15</x:v>
      </x:c>
      <x:c r="W450" s="7" t="n">
        <x:f>IF(ISBLANK(V450),"",N450*O450*(1-V450))</x:f>
        <x:v>342.057</x:v>
      </x:c>
      <x:c r="X450" s="7" t="n">
        <x:f>IF(OR(ISBLANK(W450),ISBLANK(R450)),"",W450-R450)</x:f>
        <x:v>97.48700000000002</x:v>
      </x:c>
      <x:c r="Y450" s="8" t="n">
        <x:f>IF(OR(ISBLANK(W450),W450=0),"",X450/W450)</x:f>
        <x:v>0.28500220723446684</x:v>
      </x:c>
      <x:c r="Z450" s="9" t="n">
        <x:f>IF(OR(ISBLANK(B450),ISBLANK(C450)),"",C450-B450)</x:f>
        <x:v>3</x:v>
      </x:c>
      <x:c r="AA450" t="str">
        <x:f>IF(ISBLANK(B450),"",TEXT(B450,"mmm"))</x:f>
        <x:v>Jan</x:v>
      </x:c>
      <x:c r="AB450" s="9" t="n">
        <x:f>IF(ISBLANK(B450),"",YEAR(B450))</x:f>
        <x:v>2024</x:v>
      </x:c>
      <x:c r="AC450" s="10" t="str"/>
      <x:c r="AD450" t="str">
        <x:f>IF(AND(U450="Completed",T450="Paid",ISERROR(SEARCH("INVALID",AC450)),ISERROR(SEARCH("REVIEW",AC450))),"Include","Exclude")</x:f>
        <x:v>Include</x:v>
      </x:c>
      <x:c r="AE450" t="str">
        <x:f>IF(T450="Refunded","Refunded","")</x:f>
      </x:c>
    </x:row>
    <x:row r="451">
      <x:c r="A451" t="str">
        <x:v>ORD-2024-10450</x:v>
      </x:c>
      <x:c r="B451" s="5" t="n">
        <x:v>45449</x:v>
      </x:c>
      <x:c r="C451" s="5" t="n">
        <x:v>45456</x:v>
      </x:c>
      <x:c r="D451" t="str">
        <x:v>CUST-5094</x:v>
      </x:c>
      <x:c r="E451" t="str">
        <x:v>Aditi Sen</x:v>
      </x:c>
      <x:c r="F451" t="str">
        <x:v>Corporate</x:v>
      </x:c>
      <x:c r="G451" t="str">
        <x:v>East</x:v>
      </x:c>
      <x:c r="H451" t="str">
        <x:v>Assam</x:v>
      </x:c>
      <x:c r="I451" t="str">
        <x:v>Guwahati</x:v>
      </x:c>
      <x:c r="J451" t="str">
        <x:v>Technology</x:v>
      </x:c>
      <x:c r="K451" t="str">
        <x:v>Machines</x:v>
      </x:c>
      <x:c r="L451" t="str">
        <x:v>Basic Machines 808</x:v>
      </x:c>
      <x:c r="M451" t="str">
        <x:v>Second Class</x:v>
      </x:c>
      <x:c r="N451" t="n">
        <x:v>6</x:v>
      </x:c>
      <x:c r="O451" s="7" t="n">
        <x:v>3270.36</x:v>
      </x:c>
      <x:c r="P451" s="6" t="n">
        <x:v>0</x:v>
      </x:c>
      <x:c r="Q451" s="7" t="n">
        <x:v>19622.16</x:v>
      </x:c>
      <x:c r="R451" s="7" t="n">
        <x:v>14271.27</x:v>
      </x:c>
      <x:c r="S451" s="7" t="n">
        <x:v>5350.89</x:v>
      </x:c>
      <x:c r="T451" t="str">
        <x:v>Paid</x:v>
      </x:c>
      <x:c r="U451" t="str">
        <x:v>Completed</x:v>
      </x:c>
      <x:c r="V451" s="6" t="n">
        <x:f>IF(ISBLANK(P451),IF(AND(ISNUMBER(N451),N451&gt;0,ISNUMBER(O451),O451&gt;=0,ISNUMBER(Q451),Q451&gt;=0,ISNUMBER(R451),R451&gt;=0,ISNUMBER(S451)),0,""),P451)</x:f>
        <x:v>0</x:v>
      </x:c>
      <x:c r="W451" s="7" t="n">
        <x:f>IF(ISBLANK(V451),"",N451*O451*(1-V451))</x:f>
        <x:v>19622.16</x:v>
      </x:c>
      <x:c r="X451" s="7" t="n">
        <x:f>IF(OR(ISBLANK(W451),ISBLANK(R451)),"",W451-R451)</x:f>
        <x:v>5350.889999999999</x:v>
      </x:c>
      <x:c r="Y451" s="8" t="n">
        <x:f>IF(OR(ISBLANK(W451),W451=0),"",X451/W451)</x:f>
        <x:v>0.272696278085593</x:v>
      </x:c>
      <x:c r="Z451" s="9" t="n">
        <x:f>IF(OR(ISBLANK(B451),ISBLANK(C451)),"",C451-B451)</x:f>
        <x:v>7</x:v>
      </x:c>
      <x:c r="AA451" t="str">
        <x:f>IF(ISBLANK(B451),"",TEXT(B451,"mmm"))</x:f>
        <x:v>Jun</x:v>
      </x:c>
      <x:c r="AB451" s="9" t="n">
        <x:f>IF(ISBLANK(B451),"",YEAR(B451))</x:f>
        <x:v>2024</x:v>
      </x:c>
      <x:c r="AC451" s="10" t="str"/>
      <x:c r="AD451" t="str">
        <x:f>IF(AND(U451="Completed",T451="Paid",ISERROR(SEARCH("INVALID",AC451)),ISERROR(SEARCH("REVIEW",AC451))),"Include","Exclude")</x:f>
        <x:v>Include</x:v>
      </x:c>
      <x:c r="AE451" t="str">
        <x:f>IF(T451="Refunded","Refunded","")</x:f>
      </x:c>
    </x:row>
    <x:row r="452">
      <x:c r="A452" t="str">
        <x:v>ORD-2025-10451</x:v>
      </x:c>
      <x:c r="B452" s="5" t="n">
        <x:v>45820</x:v>
      </x:c>
      <x:c r="C452" s="5" t="n">
        <x:v>45827</x:v>
      </x:c>
      <x:c r="D452" t="str">
        <x:v>CUST-8672</x:v>
      </x:c>
      <x:c r="E452" t="str">
        <x:v>Ananya Rao</x:v>
      </x:c>
      <x:c r="F452" t="str">
        <x:v>Corporate</x:v>
      </x:c>
      <x:c r="G452" t="str">
        <x:v>North</x:v>
      </x:c>
      <x:c r="H452" t="str">
        <x:v>Delhi</x:v>
      </x:c>
      <x:c r="I452" t="str">
        <x:v>New Delhi</x:v>
      </x:c>
      <x:c r="J452" t="str">
        <x:v>Furniture</x:v>
      </x:c>
      <x:c r="K452" t="str">
        <x:v>Chairs</x:v>
      </x:c>
      <x:c r="L452" t="str">
        <x:v>Pro Chairs 302</x:v>
      </x:c>
      <x:c r="M452" t="str">
        <x:v>Standard Class</x:v>
      </x:c>
      <x:c r="N452" t="n">
        <x:v>9</x:v>
      </x:c>
      <x:c r="O452" s="7" t="n">
        <x:v>2278.57</x:v>
      </x:c>
      <x:c r="P452" s="6" t="n">
        <x:v>0.25</x:v>
      </x:c>
      <x:c r="Q452" s="7" t="n">
        <x:v>15380.35</x:v>
      </x:c>
      <x:c r="R452" s="7" t="n">
        <x:v>9907.37</x:v>
      </x:c>
      <x:c r="S452" s="7" t="n">
        <x:v>5472.98</x:v>
      </x:c>
      <x:c r="T452" t="str">
        <x:v>Paid</x:v>
      </x:c>
      <x:c r="U452" t="str">
        <x:v>Completed</x:v>
      </x:c>
      <x:c r="V452" s="6" t="n">
        <x:f>IF(ISBLANK(P452),IF(AND(ISNUMBER(N452),N452&gt;0,ISNUMBER(O452),O452&gt;=0,ISNUMBER(Q452),Q452&gt;=0,ISNUMBER(R452),R452&gt;=0,ISNUMBER(S452)),0,""),P452)</x:f>
        <x:v>0.25</x:v>
      </x:c>
      <x:c r="W452" s="7" t="n">
        <x:f>IF(ISBLANK(V452),"",N452*O452*(1-V452))</x:f>
        <x:v>15380.3475</x:v>
      </x:c>
      <x:c r="X452" s="7" t="n">
        <x:f>IF(OR(ISBLANK(W452),ISBLANK(R452)),"",W452-R452)</x:f>
        <x:v>5472.977499999999</x:v>
      </x:c>
      <x:c r="Y452" s="8" t="n">
        <x:f>IF(OR(ISBLANK(W452),W452=0),"",X452/W452)</x:f>
        <x:v>0.35584225258889624</x:v>
      </x:c>
      <x:c r="Z452" s="9" t="n">
        <x:f>IF(OR(ISBLANK(B452),ISBLANK(C452)),"",C452-B452)</x:f>
        <x:v>7</x:v>
      </x:c>
      <x:c r="AA452" t="str">
        <x:f>IF(ISBLANK(B452),"",TEXT(B452,"mmm"))</x:f>
        <x:v>Jun</x:v>
      </x:c>
      <x:c r="AB452" s="9" t="n">
        <x:f>IF(ISBLANK(B452),"",YEAR(B452))</x:f>
        <x:v>2025</x:v>
      </x:c>
      <x:c r="AC452" s="10" t="str"/>
      <x:c r="AD452" t="str">
        <x:f>IF(AND(U452="Completed",T452="Paid",ISERROR(SEARCH("INVALID",AC452)),ISERROR(SEARCH("REVIEW",AC452))),"Include","Exclude")</x:f>
        <x:v>Include</x:v>
      </x:c>
      <x:c r="AE452" t="str">
        <x:f>IF(T452="Refunded","Refunded","")</x:f>
      </x:c>
    </x:row>
    <x:row r="453">
      <x:c r="A453" t="str">
        <x:v>ORD-2024-10452</x:v>
      </x:c>
      <x:c r="B453" s="5" t="n">
        <x:v>45375</x:v>
      </x:c>
      <x:c r="C453" s="5" t="n">
        <x:v>45377</x:v>
      </x:c>
      <x:c r="D453" t="str">
        <x:v>CUST-3907</x:v>
      </x:c>
      <x:c r="E453" t="str">
        <x:v>Rohan Mehta</x:v>
      </x:c>
      <x:c r="F453" t="str">
        <x:v>Small Business</x:v>
      </x:c>
      <x:c r="G453" t="str">
        <x:v>North</x:v>
      </x:c>
      <x:c r="H453" t="str">
        <x:v>Haryana</x:v>
      </x:c>
      <x:c r="I453" t="str">
        <x:v>Gurugram</x:v>
      </x:c>
      <x:c r="J453" t="str">
        <x:v>Office Supplies</x:v>
      </x:c>
      <x:c r="K453" t="str">
        <x:v>Paper</x:v>
      </x:c>
      <x:c r="L453" t="str">
        <x:v>Classic Paper 272</x:v>
      </x:c>
      <x:c r="M453" t="str">
        <x:v>Second Class</x:v>
      </x:c>
      <x:c r="N453" t="n">
        <x:v>8</x:v>
      </x:c>
      <x:c r="O453" s="7" t="n">
        <x:v>1917.64</x:v>
      </x:c>
      <x:c r="P453" s="6" t="n">
        <x:v>0.15</x:v>
      </x:c>
      <x:c r="Q453" s="7" t="n">
        <x:v>13039.95</x:v>
      </x:c>
      <x:c r="R453" s="7" t="n">
        <x:v>11127.82</x:v>
      </x:c>
      <x:c r="S453" s="7" t="n">
        <x:v>1912.13</x:v>
      </x:c>
      <x:c r="T453" t="str">
        <x:v>Paid</x:v>
      </x:c>
      <x:c r="U453" t="str">
        <x:v>Cancelled</x:v>
      </x:c>
      <x:c r="V453" s="6" t="n">
        <x:f>IF(ISBLANK(P453),IF(AND(ISNUMBER(N453),N453&gt;0,ISNUMBER(O453),O453&gt;=0,ISNUMBER(Q453),Q453&gt;=0,ISNUMBER(R453),R453&gt;=0,ISNUMBER(S453)),0,""),P453)</x:f>
        <x:v>0.15</x:v>
      </x:c>
      <x:c r="W453" s="7" t="n">
        <x:f>IF(ISBLANK(V453),"",N453*O453*(1-V453))</x:f>
        <x:v>13039.952000000001</x:v>
      </x:c>
      <x:c r="X453" s="7" t="n">
        <x:f>IF(OR(ISBLANK(W453),ISBLANK(R453)),"",W453-R453)</x:f>
        <x:v>1912.1320000000014</x:v>
      </x:c>
      <x:c r="Y453" s="8" t="n">
        <x:f>IF(OR(ISBLANK(W453),W453=0),"",X453/W453)</x:f>
        <x:v>0.1466364293365498</x:v>
      </x:c>
      <x:c r="Z453" s="9" t="n">
        <x:f>IF(OR(ISBLANK(B453),ISBLANK(C453)),"",C453-B453)</x:f>
        <x:v>2</x:v>
      </x:c>
      <x:c r="AA453" t="str">
        <x:f>IF(ISBLANK(B453),"",TEXT(B453,"mmm"))</x:f>
        <x:v>Mar</x:v>
      </x:c>
      <x:c r="AB453" s="9" t="n">
        <x:f>IF(ISBLANK(B453),"",YEAR(B453))</x:f>
        <x:v>2024</x:v>
      </x:c>
      <x:c r="AC453" s="10" t="str">
        <x:v>EXCLUDE: Cancelled order</x:v>
      </x:c>
      <x:c r="AD453" t="str">
        <x:f>IF(AND(U453="Completed",T453="Paid",ISERROR(SEARCH("INVALID",AC453)),ISERROR(SEARCH("REVIEW",AC453))),"Include","Exclude")</x:f>
        <x:v>Exclude</x:v>
      </x:c>
      <x:c r="AE453" t="str">
        <x:f>IF(T453="Refunded","Refunded","")</x:f>
      </x:c>
    </x:row>
    <x:row r="454">
      <x:c r="A454" t="str">
        <x:v>ORD-2024-10453</x:v>
      </x:c>
      <x:c r="B454" s="5" t="n">
        <x:v>45422</x:v>
      </x:c>
      <x:c r="C454" s="5" t="n">
        <x:v>45428</x:v>
      </x:c>
      <x:c r="D454" t="str">
        <x:v>CUST-8796</x:v>
      </x:c>
      <x:c r="E454" t="str">
        <x:v>Diya Patel</x:v>
      </x:c>
      <x:c r="F454" t="str">
        <x:v>Home Office</x:v>
      </x:c>
      <x:c r="G454" t="str">
        <x:v>East</x:v>
      </x:c>
      <x:c r="H454" t="str">
        <x:v>Jharkhand</x:v>
      </x:c>
      <x:c r="I454" t="str">
        <x:v>Ranchi</x:v>
      </x:c>
      <x:c r="J454" t="str">
        <x:v>Technology</x:v>
      </x:c>
      <x:c r="K454" t="str">
        <x:v>Accessories</x:v>
      </x:c>
      <x:c r="L454" t="str">
        <x:v>Smart Accessories 149</x:v>
      </x:c>
      <x:c r="M454" t="str">
        <x:v>Second Class</x:v>
      </x:c>
      <x:c r="N454" t="n">
        <x:v>6</x:v>
      </x:c>
      <x:c r="O454" s="7" t="n">
        <x:v>2013.33</x:v>
      </x:c>
      <x:c r="P454" s="6" t="n">
        <x:v>0.2</x:v>
      </x:c>
      <x:c r="Q454" s="7" t="n">
        <x:v>9663.98</x:v>
      </x:c>
      <x:c r="R454" s="7" t="n">
        <x:v>5628.93</x:v>
      </x:c>
      <x:c r="S454" s="7" t="n">
        <x:v>4035.05</x:v>
      </x:c>
      <x:c r="T454" t="str">
        <x:v>Paid</x:v>
      </x:c>
      <x:c r="U454" t="str">
        <x:v>Completed</x:v>
      </x:c>
      <x:c r="V454" s="6" t="n">
        <x:f>IF(ISBLANK(P454),IF(AND(ISNUMBER(N454),N454&gt;0,ISNUMBER(O454),O454&gt;=0,ISNUMBER(Q454),Q454&gt;=0,ISNUMBER(R454),R454&gt;=0,ISNUMBER(S454)),0,""),P454)</x:f>
        <x:v>0.2</x:v>
      </x:c>
      <x:c r="W454" s="7" t="n">
        <x:f>IF(ISBLANK(V454),"",N454*O454*(1-V454))</x:f>
        <x:v>9663.984</x:v>
      </x:c>
      <x:c r="X454" s="7" t="n">
        <x:f>IF(OR(ISBLANK(W454),ISBLANK(R454)),"",W454-R454)</x:f>
        <x:v>4035.054</x:v>
      </x:c>
      <x:c r="Y454" s="8" t="n">
        <x:f>IF(OR(ISBLANK(W454),W454=0),"",X454/W454)</x:f>
        <x:v>0.41753525254180884</x:v>
      </x:c>
      <x:c r="Z454" s="9" t="n">
        <x:f>IF(OR(ISBLANK(B454),ISBLANK(C454)),"",C454-B454)</x:f>
        <x:v>6</x:v>
      </x:c>
      <x:c r="AA454" t="str">
        <x:f>IF(ISBLANK(B454),"",TEXT(B454,"mmm"))</x:f>
        <x:v>May</x:v>
      </x:c>
      <x:c r="AB454" s="9" t="n">
        <x:f>IF(ISBLANK(B454),"",YEAR(B454))</x:f>
        <x:v>2024</x:v>
      </x:c>
      <x:c r="AC454" s="10" t="str"/>
      <x:c r="AD454" t="str">
        <x:f>IF(AND(U454="Completed",T454="Paid",ISERROR(SEARCH("INVALID",AC454)),ISERROR(SEARCH("REVIEW",AC454))),"Include","Exclude")</x:f>
        <x:v>Include</x:v>
      </x:c>
      <x:c r="AE454" t="str">
        <x:f>IF(T454="Refunded","Refunded","")</x:f>
      </x:c>
    </x:row>
    <x:row r="455">
      <x:c r="A455" t="str">
        <x:v>ORD-2025-10454</x:v>
      </x:c>
      <x:c r="B455" s="5" t="n">
        <x:v>45780</x:v>
      </x:c>
      <x:c r="C455" s="5" t="n">
        <x:v>45788</x:v>
      </x:c>
      <x:c r="D455" t="str">
        <x:v>CUST-2317</x:v>
      </x:c>
      <x:c r="E455" t="str">
        <x:v>Rohan Mehta</x:v>
      </x:c>
      <x:c r="F455" t="str">
        <x:v>Small Business</x:v>
      </x:c>
      <x:c r="G455" t="str">
        <x:v>West</x:v>
      </x:c>
      <x:c r="H455" t="str">
        <x:v>Madhya Pradesh</x:v>
      </x:c>
      <x:c r="I455" t="str">
        <x:v>Indore</x:v>
      </x:c>
      <x:c r="J455" t="str">
        <x:v>Office Supplies</x:v>
      </x:c>
      <x:c r="K455" t="str">
        <x:v>Labels</x:v>
      </x:c>
      <x:c r="L455" t="str">
        <x:v>Elite Labels 322</x:v>
      </x:c>
      <x:c r="M455" t="str">
        <x:v>Same Day</x:v>
      </x:c>
      <x:c r="N455" t="n">
        <x:v>5</x:v>
      </x:c>
      <x:c r="O455" s="7" t="n">
        <x:v>1483.52</x:v>
      </x:c>
      <x:c r="P455" s="6" t="n">
        <x:v>0</x:v>
      </x:c>
      <x:c r="Q455" s="7" t="n">
        <x:v>7417.6</x:v>
      </x:c>
      <x:c r="R455" s="7" t="n">
        <x:v>4955.86</x:v>
      </x:c>
      <x:c r="S455" s="7" t="n">
        <x:v>2461.74</x:v>
      </x:c>
      <x:c r="T455" t="str">
        <x:v>Paid</x:v>
      </x:c>
      <x:c r="U455" t="str">
        <x:v>Completed</x:v>
      </x:c>
      <x:c r="V455" s="6" t="n">
        <x:f>IF(ISBLANK(P455),IF(AND(ISNUMBER(N455),N455&gt;0,ISNUMBER(O455),O455&gt;=0,ISNUMBER(Q455),Q455&gt;=0,ISNUMBER(R455),R455&gt;=0,ISNUMBER(S455)),0,""),P455)</x:f>
        <x:v>0</x:v>
      </x:c>
      <x:c r="W455" s="7" t="n">
        <x:f>IF(ISBLANK(V455),"",N455*O455*(1-V455))</x:f>
        <x:v>7417.6</x:v>
      </x:c>
      <x:c r="X455" s="7" t="n">
        <x:f>IF(OR(ISBLANK(W455),ISBLANK(R455)),"",W455-R455)</x:f>
        <x:v>2461.7400000000007</x:v>
      </x:c>
      <x:c r="Y455" s="8" t="n">
        <x:f>IF(OR(ISBLANK(W455),W455=0),"",X455/W455)</x:f>
        <x:v>0.3318782355478862</x:v>
      </x:c>
      <x:c r="Z455" s="9" t="n">
        <x:f>IF(OR(ISBLANK(B455),ISBLANK(C455)),"",C455-B455)</x:f>
        <x:v>8</x:v>
      </x:c>
      <x:c r="AA455" t="str">
        <x:f>IF(ISBLANK(B455),"",TEXT(B455,"mmm"))</x:f>
        <x:v>May</x:v>
      </x:c>
      <x:c r="AB455" s="9" t="n">
        <x:f>IF(ISBLANK(B455),"",YEAR(B455))</x:f>
        <x:v>2025</x:v>
      </x:c>
      <x:c r="AC455" s="10" t="str"/>
      <x:c r="AD455" t="str">
        <x:f>IF(AND(U455="Completed",T455="Paid",ISERROR(SEARCH("INVALID",AC455)),ISERROR(SEARCH("REVIEW",AC455))),"Include","Exclude")</x:f>
        <x:v>Include</x:v>
      </x:c>
      <x:c r="AE455" t="str">
        <x:f>IF(T455="Refunded","Refunded","")</x:f>
      </x:c>
    </x:row>
    <x:row r="456">
      <x:c r="A456" t="str">
        <x:v>ORD-2025-10455</x:v>
      </x:c>
      <x:c r="B456" s="5" t="n">
        <x:v>45739</x:v>
      </x:c>
      <x:c r="C456" s="5" t="n">
        <x:v>45744</x:v>
      </x:c>
      <x:c r="D456" t="str">
        <x:v>CUST-8643</x:v>
      </x:c>
      <x:c r="E456" t="str">
        <x:v>Vikram Iyer</x:v>
      </x:c>
      <x:c r="F456" t="str">
        <x:v>Small Business</x:v>
      </x:c>
      <x:c r="G456" t="str">
        <x:v>North</x:v>
      </x:c>
      <x:c r="H456" t="str">
        <x:v>Rajasthan</x:v>
      </x:c>
      <x:c r="I456" t="str">
        <x:v>Jaipur</x:v>
      </x:c>
      <x:c r="J456" t="str">
        <x:v>Furniture</x:v>
      </x:c>
      <x:c r="K456" t="str">
        <x:v>Furnishings</x:v>
      </x:c>
      <x:c r="L456" t="str">
        <x:v>Max Furnishings 821</x:v>
      </x:c>
      <x:c r="M456" t="str">
        <x:v>Standard Class</x:v>
      </x:c>
      <x:c r="N456" t="n">
        <x:v>9</x:v>
      </x:c>
      <x:c r="O456" s="7" t="n">
        <x:v>3298</x:v>
      </x:c>
      <x:c r="P456" s="6" t="n">
        <x:v>0.15</x:v>
      </x:c>
      <x:c r="Q456" s="7" t="n">
        <x:v>25229.7</x:v>
      </x:c>
      <x:c r="R456" s="7" t="n">
        <x:v>20170.43</x:v>
      </x:c>
      <x:c r="S456" s="7" t="n">
        <x:v>5059.27</x:v>
      </x:c>
      <x:c r="T456" t="str">
        <x:v>Paid</x:v>
      </x:c>
      <x:c r="U456" t="str">
        <x:v>Completed</x:v>
      </x:c>
      <x:c r="V456" s="6" t="n">
        <x:f>IF(ISBLANK(P456),IF(AND(ISNUMBER(N456),N456&gt;0,ISNUMBER(O456),O456&gt;=0,ISNUMBER(Q456),Q456&gt;=0,ISNUMBER(R456),R456&gt;=0,ISNUMBER(S456)),0,""),P456)</x:f>
        <x:v>0.15</x:v>
      </x:c>
      <x:c r="W456" s="7" t="n">
        <x:f>IF(ISBLANK(V456),"",N456*O456*(1-V456))</x:f>
        <x:v>25229.7</x:v>
      </x:c>
      <x:c r="X456" s="7" t="n">
        <x:f>IF(OR(ISBLANK(W456),ISBLANK(R456)),"",W456-R456)</x:f>
        <x:v>5059.27</x:v>
      </x:c>
      <x:c r="Y456" s="8" t="n">
        <x:f>IF(OR(ISBLANK(W456),W456=0),"",X456/W456)</x:f>
        <x:v>0.20052834556098567</x:v>
      </x:c>
      <x:c r="Z456" s="9" t="n">
        <x:f>IF(OR(ISBLANK(B456),ISBLANK(C456)),"",C456-B456)</x:f>
        <x:v>5</x:v>
      </x:c>
      <x:c r="AA456" t="str">
        <x:f>IF(ISBLANK(B456),"",TEXT(B456,"mmm"))</x:f>
        <x:v>Mar</x:v>
      </x:c>
      <x:c r="AB456" s="9" t="n">
        <x:f>IF(ISBLANK(B456),"",YEAR(B456))</x:f>
        <x:v>2025</x:v>
      </x:c>
      <x:c r="AC456" s="10" t="str"/>
      <x:c r="AD456" t="str">
        <x:f>IF(AND(U456="Completed",T456="Paid",ISERROR(SEARCH("INVALID",AC456)),ISERROR(SEARCH("REVIEW",AC456))),"Include","Exclude")</x:f>
        <x:v>Include</x:v>
      </x:c>
      <x:c r="AE456" t="str">
        <x:f>IF(T456="Refunded","Refunded","")</x:f>
      </x:c>
    </x:row>
    <x:row r="457">
      <x:c r="A457" t="str">
        <x:v>ORD-2024-10456</x:v>
      </x:c>
      <x:c r="B457" s="5" t="n">
        <x:v>45491</x:v>
      </x:c>
      <x:c r="C457" s="5" t="n">
        <x:v>45495</x:v>
      </x:c>
      <x:c r="D457" t="str">
        <x:v>CUST-1800</x:v>
      </x:c>
      <x:c r="E457" t="str">
        <x:v>Neha Gupta</x:v>
      </x:c>
      <x:c r="F457" t="str">
        <x:v>Small Business</x:v>
      </x:c>
      <x:c r="G457" t="str">
        <x:v>South</x:v>
      </x:c>
      <x:c r="H457" t="str">
        <x:v>Telangana</x:v>
      </x:c>
      <x:c r="I457" t="str">
        <x:v>Hyderabad</x:v>
      </x:c>
      <x:c r="J457" t="str">
        <x:v>Office Supplies</x:v>
      </x:c>
      <x:c r="K457" t="str">
        <x:v>Art</x:v>
      </x:c>
      <x:c r="L457" t="str">
        <x:v>Basic Art 556</x:v>
      </x:c>
      <x:c r="M457" t="str">
        <x:v>Standard Class</x:v>
      </x:c>
      <x:c r="N457" t="n">
        <x:v>4</x:v>
      </x:c>
      <x:c r="O457" s="7" t="n">
        <x:v>808.77</x:v>
      </x:c>
      <x:c r="P457" s="6" t="n">
        <x:v>0</x:v>
      </x:c>
      <x:c r="Q457" s="7" t="n">
        <x:v>3235.08</x:v>
      </x:c>
      <x:c r="R457" s="7" t="n">
        <x:v>1848.6</x:v>
      </x:c>
      <x:c r="S457" s="7" t="n">
        <x:v>1386.48</x:v>
      </x:c>
      <x:c r="T457" t="str">
        <x:v>Paid</x:v>
      </x:c>
      <x:c r="U457" t="str">
        <x:v>Completed</x:v>
      </x:c>
      <x:c r="V457" s="6" t="n">
        <x:f>IF(ISBLANK(P457),IF(AND(ISNUMBER(N457),N457&gt;0,ISNUMBER(O457),O457&gt;=0,ISNUMBER(Q457),Q457&gt;=0,ISNUMBER(R457),R457&gt;=0,ISNUMBER(S457)),0,""),P457)</x:f>
        <x:v>0</x:v>
      </x:c>
      <x:c r="W457" s="7" t="n">
        <x:f>IF(ISBLANK(V457),"",N457*O457*(1-V457))</x:f>
        <x:v>3235.08</x:v>
      </x:c>
      <x:c r="X457" s="7" t="n">
        <x:f>IF(OR(ISBLANK(W457),ISBLANK(R457)),"",W457-R457)</x:f>
        <x:v>1386.48</x:v>
      </x:c>
      <x:c r="Y457" s="8" t="n">
        <x:f>IF(OR(ISBLANK(W457),W457=0),"",X457/W457)</x:f>
        <x:v>0.4285767276234282</x:v>
      </x:c>
      <x:c r="Z457" s="9" t="n">
        <x:f>IF(OR(ISBLANK(B457),ISBLANK(C457)),"",C457-B457)</x:f>
        <x:v>4</x:v>
      </x:c>
      <x:c r="AA457" t="str">
        <x:f>IF(ISBLANK(B457),"",TEXT(B457,"mmm"))</x:f>
        <x:v>Jul</x:v>
      </x:c>
      <x:c r="AB457" s="9" t="n">
        <x:f>IF(ISBLANK(B457),"",YEAR(B457))</x:f>
        <x:v>2024</x:v>
      </x:c>
      <x:c r="AC457" s="10" t="str"/>
      <x:c r="AD457" t="str">
        <x:f>IF(AND(U457="Completed",T457="Paid",ISERROR(SEARCH("INVALID",AC457)),ISERROR(SEARCH("REVIEW",AC457))),"Include","Exclude")</x:f>
        <x:v>Include</x:v>
      </x:c>
      <x:c r="AE457" t="str">
        <x:f>IF(T457="Refunded","Refunded","")</x:f>
      </x:c>
    </x:row>
    <x:row r="458">
      <x:c r="A458" t="str">
        <x:v>ORD-2024-10457</x:v>
      </x:c>
      <x:c r="B458" s="5" t="n">
        <x:v>45342</x:v>
      </x:c>
      <x:c r="C458" s="5" t="n">
        <x:v>45342</x:v>
      </x:c>
      <x:c r="D458" t="str">
        <x:v>CUST-7688</x:v>
      </x:c>
      <x:c r="E458" t="str">
        <x:v>Neha Gupta</x:v>
      </x:c>
      <x:c r="F458" t="str">
        <x:v>Corporate</x:v>
      </x:c>
      <x:c r="G458" t="str">
        <x:v>North</x:v>
      </x:c>
      <x:c r="H458" t="str">
        <x:v>Uttar Pradesh</x:v>
      </x:c>
      <x:c r="I458" t="str">
        <x:v>Noida</x:v>
      </x:c>
      <x:c r="J458" t="str">
        <x:v>Technology</x:v>
      </x:c>
      <x:c r="K458" t="str">
        <x:v>Accessories</x:v>
      </x:c>
      <x:c r="L458" t="str">
        <x:v>Smart Accessories 265</x:v>
      </x:c>
      <x:c r="M458" t="str">
        <x:v>Same Day</x:v>
      </x:c>
      <x:c r="N458" t="n">
        <x:v>5</x:v>
      </x:c>
      <x:c r="O458" s="7" t="n">
        <x:v>2604.91</x:v>
      </x:c>
      <x:c r="P458" s="6" t="n">
        <x:v>0.15</x:v>
      </x:c>
      <x:c r="Q458" s="7" t="n">
        <x:v>11070.87</x:v>
      </x:c>
      <x:c r="R458" s="7" t="n">
        <x:v>6623.61</x:v>
      </x:c>
      <x:c r="S458" s="7" t="n">
        <x:v>4447.26</x:v>
      </x:c>
      <x:c r="T458" t="str">
        <x:v>Paid</x:v>
      </x:c>
      <x:c r="U458" t="str">
        <x:v>Returned</x:v>
      </x:c>
      <x:c r="V458" s="6" t="n">
        <x:f>IF(ISBLANK(P458),IF(AND(ISNUMBER(N458),N458&gt;0,ISNUMBER(O458),O458&gt;=0,ISNUMBER(Q458),Q458&gt;=0,ISNUMBER(R458),R458&gt;=0,ISNUMBER(S458)),0,""),P458)</x:f>
        <x:v>0.15</x:v>
      </x:c>
      <x:c r="W458" s="7" t="n">
        <x:f>IF(ISBLANK(V458),"",N458*O458*(1-V458))</x:f>
        <x:v>11070.867499999998</x:v>
      </x:c>
      <x:c r="X458" s="7" t="n">
        <x:f>IF(OR(ISBLANK(W458),ISBLANK(R458)),"",W458-R458)</x:f>
        <x:v>4447.257499999999</x:v>
      </x:c>
      <x:c r="Y458" s="8" t="n">
        <x:f>IF(OR(ISBLANK(W458),W458=0),"",X458/W458)</x:f>
        <x:v>0.40170813172499803</x:v>
      </x:c>
      <x:c r="Z458" s="9" t="n">
        <x:f>IF(OR(ISBLANK(B458),ISBLANK(C458)),"",C458-B458)</x:f>
        <x:v>0</x:v>
      </x:c>
      <x:c r="AA458" t="str">
        <x:f>IF(ISBLANK(B458),"",TEXT(B458,"mmm"))</x:f>
        <x:v>Feb</x:v>
      </x:c>
      <x:c r="AB458" s="9" t="n">
        <x:f>IF(ISBLANK(B458),"",YEAR(B458))</x:f>
        <x:v>2024</x:v>
      </x:c>
      <x:c r="AC458" s="10" t="str"/>
      <x:c r="AD458" t="str">
        <x:f>IF(AND(U458="Completed",T458="Paid",ISERROR(SEARCH("INVALID",AC458)),ISERROR(SEARCH("REVIEW",AC458))),"Include","Exclude")</x:f>
        <x:v>Exclude</x:v>
      </x:c>
      <x:c r="AE458" t="str">
        <x:f>IF(T458="Refunded","Refunded","")</x:f>
      </x:c>
    </x:row>
    <x:row r="459">
      <x:c r="A459" t="str">
        <x:v>ORD-2024-10458</x:v>
      </x:c>
      <x:c r="B459" s="5" t="n">
        <x:v>45416</x:v>
      </x:c>
      <x:c r="C459" s="5" t="n">
        <x:v>45416</x:v>
      </x:c>
      <x:c r="D459" t="str">
        <x:v>CUST-4957</x:v>
      </x:c>
      <x:c r="E459" t="str">
        <x:v>Mira Das</x:v>
      </x:c>
      <x:c r="F459" t="str">
        <x:v>Small Business</x:v>
      </x:c>
      <x:c r="G459" t="str">
        <x:v>West</x:v>
      </x:c>
      <x:c r="H459" t="str">
        <x:v>Goa</x:v>
      </x:c>
      <x:c r="I459" t="str">
        <x:v>Panaji</x:v>
      </x:c>
      <x:c r="J459" t="str">
        <x:v>Furniture</x:v>
      </x:c>
      <x:c r="K459" t="str">
        <x:v>Tables</x:v>
      </x:c>
      <x:c r="L459" t="str">
        <x:v>Elite Tables 418</x:v>
      </x:c>
      <x:c r="M459" t="str">
        <x:v>Standard Class</x:v>
      </x:c>
      <x:c r="N459" t="n">
        <x:v>7</x:v>
      </x:c>
      <x:c r="O459" s="7" t="n">
        <x:v>2851.51</x:v>
      </x:c>
      <x:c r="P459" s="6" t="n">
        <x:v>0</x:v>
      </x:c>
      <x:c r="Q459" s="7" t="n">
        <x:v>19960.57</x:v>
      </x:c>
      <x:c r="R459" s="7" t="n">
        <x:v>16603.6</x:v>
      </x:c>
      <x:c r="S459" s="7" t="n">
        <x:v>3356.97</x:v>
      </x:c>
      <x:c r="T459" t="str">
        <x:v>Paid</x:v>
      </x:c>
      <x:c r="U459" t="str">
        <x:v>Completed</x:v>
      </x:c>
      <x:c r="V459" s="6" t="n">
        <x:f>IF(ISBLANK(P459),IF(AND(ISNUMBER(N459),N459&gt;0,ISNUMBER(O459),O459&gt;=0,ISNUMBER(Q459),Q459&gt;=0,ISNUMBER(R459),R459&gt;=0,ISNUMBER(S459)),0,""),P459)</x:f>
        <x:v>0</x:v>
      </x:c>
      <x:c r="W459" s="7" t="n">
        <x:f>IF(ISBLANK(V459),"",N459*O459*(1-V459))</x:f>
        <x:v>19960.57</x:v>
      </x:c>
      <x:c r="X459" s="7" t="n">
        <x:f>IF(OR(ISBLANK(W459),ISBLANK(R459)),"",W459-R459)</x:f>
        <x:v>3356.970000000001</x:v>
      </x:c>
      <x:c r="Y459" s="8" t="n">
        <x:f>IF(OR(ISBLANK(W459),W459=0),"",X459/W459)</x:f>
        <x:v>0.1681800670020947</x:v>
      </x:c>
      <x:c r="Z459" s="9" t="n">
        <x:f>IF(OR(ISBLANK(B459),ISBLANK(C459)),"",C459-B459)</x:f>
        <x:v>0</x:v>
      </x:c>
      <x:c r="AA459" t="str">
        <x:f>IF(ISBLANK(B459),"",TEXT(B459,"mmm"))</x:f>
        <x:v>May</x:v>
      </x:c>
      <x:c r="AB459" s="9" t="n">
        <x:f>IF(ISBLANK(B459),"",YEAR(B459))</x:f>
        <x:v>2024</x:v>
      </x:c>
      <x:c r="AC459" s="10" t="str"/>
      <x:c r="AD459" t="str">
        <x:f>IF(AND(U459="Completed",T459="Paid",ISERROR(SEARCH("INVALID",AC459)),ISERROR(SEARCH("REVIEW",AC459))),"Include","Exclude")</x:f>
        <x:v>Include</x:v>
      </x:c>
      <x:c r="AE459" t="str">
        <x:f>IF(T459="Refunded","Refunded","")</x:f>
      </x:c>
    </x:row>
    <x:row r="460">
      <x:c r="A460" t="str">
        <x:v>ORD-2024-10459</x:v>
      </x:c>
      <x:c r="B460" s="5" t="n">
        <x:v>45332</x:v>
      </x:c>
      <x:c r="C460" s="5" t="n">
        <x:v>45333</x:v>
      </x:c>
      <x:c r="D460" t="str">
        <x:v>CUST-1263</x:v>
      </x:c>
      <x:c r="E460" t="str">
        <x:v>Karan Malhotra</x:v>
      </x:c>
      <x:c r="F460" t="str">
        <x:v>Corporate</x:v>
      </x:c>
      <x:c r="G460" t="str">
        <x:v>North</x:v>
      </x:c>
      <x:c r="H460" t="str">
        <x:v>Rajasthan</x:v>
      </x:c>
      <x:c r="I460" t="str">
        <x:v>Jaipur</x:v>
      </x:c>
      <x:c r="J460" t="str">
        <x:v>Technology</x:v>
      </x:c>
      <x:c r="K460" t="str">
        <x:v>Phones</x:v>
      </x:c>
      <x:c r="L460" t="str">
        <x:v>Pro Phones 907</x:v>
      </x:c>
      <x:c r="M460" t="str">
        <x:v>Second Class</x:v>
      </x:c>
      <x:c r="N460" t="n">
        <x:v>3</x:v>
      </x:c>
      <x:c r="O460" s="7" t="n">
        <x:v>3183.72</x:v>
      </x:c>
      <x:c r="P460" s="6" t="n">
        <x:v>0.1</x:v>
      </x:c>
      <x:c r="Q460" s="7" t="n">
        <x:v>8596.04</x:v>
      </x:c>
      <x:c r="R460" s="7" t="n">
        <x:v>5378.16</x:v>
      </x:c>
      <x:c r="S460" s="7" t="n">
        <x:v>3217.88</x:v>
      </x:c>
      <x:c r="T460" t="str">
        <x:v>Paid</x:v>
      </x:c>
      <x:c r="U460" t="str">
        <x:v>Completed</x:v>
      </x:c>
      <x:c r="V460" s="6" t="n">
        <x:f>IF(ISBLANK(P460),IF(AND(ISNUMBER(N460),N460&gt;0,ISNUMBER(O460),O460&gt;=0,ISNUMBER(Q460),Q460&gt;=0,ISNUMBER(R460),R460&gt;=0,ISNUMBER(S460)),0,""),P460)</x:f>
        <x:v>0.1</x:v>
      </x:c>
      <x:c r="W460" s="7" t="n">
        <x:f>IF(ISBLANK(V460),"",N460*O460*(1-V460))</x:f>
        <x:v>8596.044</x:v>
      </x:c>
      <x:c r="X460" s="7" t="n">
        <x:f>IF(OR(ISBLANK(W460),ISBLANK(R460)),"",W460-R460)</x:f>
        <x:v>3217.884</x:v>
      </x:c>
      <x:c r="Y460" s="8" t="n">
        <x:f>IF(OR(ISBLANK(W460),W460=0),"",X460/W460)</x:f>
        <x:v>0.3743447567276296</x:v>
      </x:c>
      <x:c r="Z460" s="9" t="n">
        <x:f>IF(OR(ISBLANK(B460),ISBLANK(C460)),"",C460-B460)</x:f>
        <x:v>1</x:v>
      </x:c>
      <x:c r="AA460" t="str">
        <x:f>IF(ISBLANK(B460),"",TEXT(B460,"mmm"))</x:f>
        <x:v>Feb</x:v>
      </x:c>
      <x:c r="AB460" s="9" t="n">
        <x:f>IF(ISBLANK(B460),"",YEAR(B460))</x:f>
        <x:v>2024</x:v>
      </x:c>
      <x:c r="AC460" s="10" t="str"/>
      <x:c r="AD460" t="str">
        <x:f>IF(AND(U460="Completed",T460="Paid",ISERROR(SEARCH("INVALID",AC460)),ISERROR(SEARCH("REVIEW",AC460))),"Include","Exclude")</x:f>
        <x:v>Include</x:v>
      </x:c>
      <x:c r="AE460" t="str">
        <x:f>IF(T460="Refunded","Refunded","")</x:f>
      </x:c>
    </x:row>
    <x:row r="461">
      <x:c r="A461" t="str">
        <x:v>ORD-2024-10460</x:v>
      </x:c>
      <x:c r="B461" s="5" t="n">
        <x:v>45379</x:v>
      </x:c>
      <x:c r="C461" s="5" t="n">
        <x:v>45386</x:v>
      </x:c>
      <x:c r="D461" t="str">
        <x:v>CUST-4745</x:v>
      </x:c>
      <x:c r="E461" t="str">
        <x:v>Ananya Rao</x:v>
      </x:c>
      <x:c r="F461" t="str">
        <x:v>Home Office</x:v>
      </x:c>
      <x:c r="G461" t="str">
        <x:v>West</x:v>
      </x:c>
      <x:c r="H461" t="str">
        <x:v>Goa</x:v>
      </x:c>
      <x:c r="I461" t="str">
        <x:v>Panaji</x:v>
      </x:c>
      <x:c r="J461" t="str">
        <x:v>Office Supplies</x:v>
      </x:c>
      <x:c r="K461" t="str">
        <x:v>Paper</x:v>
      </x:c>
      <x:c r="L461" t="str">
        <x:v>Basic Paper 233</x:v>
      </x:c>
      <x:c r="M461" t="str">
        <x:v>First Class</x:v>
      </x:c>
      <x:c r="N461" t="n">
        <x:v>3</x:v>
      </x:c>
      <x:c r="O461" s="7" t="n">
        <x:v>1150.92</x:v>
      </x:c>
      <x:c r="P461" s="6" t="n">
        <x:v>0</x:v>
      </x:c>
      <x:c r="Q461" s="7" t="n">
        <x:v>3452.76</x:v>
      </x:c>
      <x:c r="R461" s="7" t="n">
        <x:v>2077.96</x:v>
      </x:c>
      <x:c r="S461" s="7" t="n">
        <x:v>1374.8</x:v>
      </x:c>
      <x:c r="T461" t="str">
        <x:v>Paid</x:v>
      </x:c>
      <x:c r="U461" t="str">
        <x:v>Completed</x:v>
      </x:c>
      <x:c r="V461" s="6" t="n">
        <x:f>IF(ISBLANK(P461),IF(AND(ISNUMBER(N461),N461&gt;0,ISNUMBER(O461),O461&gt;=0,ISNUMBER(Q461),Q461&gt;=0,ISNUMBER(R461),R461&gt;=0,ISNUMBER(S461)),0,""),P461)</x:f>
        <x:v>0</x:v>
      </x:c>
      <x:c r="W461" s="7" t="n">
        <x:f>IF(ISBLANK(V461),"",N461*O461*(1-V461))</x:f>
        <x:v>3452.76</x:v>
      </x:c>
      <x:c r="X461" s="7" t="n">
        <x:f>IF(OR(ISBLANK(W461),ISBLANK(R461)),"",W461-R461)</x:f>
        <x:v>1374.8000000000002</x:v>
      </x:c>
      <x:c r="Y461" s="8" t="n">
        <x:f>IF(OR(ISBLANK(W461),W461=0),"",X461/W461)</x:f>
        <x:v>0.398174214251787</x:v>
      </x:c>
      <x:c r="Z461" s="9" t="n">
        <x:f>IF(OR(ISBLANK(B461),ISBLANK(C461)),"",C461-B461)</x:f>
        <x:v>7</x:v>
      </x:c>
      <x:c r="AA461" t="str">
        <x:f>IF(ISBLANK(B461),"",TEXT(B461,"mmm"))</x:f>
        <x:v>Mar</x:v>
      </x:c>
      <x:c r="AB461" s="9" t="n">
        <x:f>IF(ISBLANK(B461),"",YEAR(B461))</x:f>
        <x:v>2024</x:v>
      </x:c>
      <x:c r="AC461" s="10" t="str"/>
      <x:c r="AD461" t="str">
        <x:f>IF(AND(U461="Completed",T461="Paid",ISERROR(SEARCH("INVALID",AC461)),ISERROR(SEARCH("REVIEW",AC461))),"Include","Exclude")</x:f>
        <x:v>Include</x:v>
      </x:c>
      <x:c r="AE461" t="str">
        <x:f>IF(T461="Refunded","Refunded","")</x:f>
      </x:c>
    </x:row>
    <x:row r="462">
      <x:c r="A462" t="str">
        <x:v>ORD-2025-10461</x:v>
      </x:c>
      <x:c r="B462" s="5" t="n">
        <x:v>45930</x:v>
      </x:c>
      <x:c r="C462" s="5" t="n">
        <x:v>45936</x:v>
      </x:c>
      <x:c r="D462" t="str">
        <x:v>CUST-5551</x:v>
      </x:c>
      <x:c r="E462" t="str">
        <x:v>Aarav Sharma</x:v>
      </x:c>
      <x:c r="F462" t="str">
        <x:v>Corporate</x:v>
      </x:c>
      <x:c r="G462" t="str">
        <x:v>Unknown</x:v>
      </x:c>
      <x:c r="H462" t="str">
        <x:v>Rajasthan</x:v>
      </x:c>
      <x:c r="I462" t="str">
        <x:v>Jaipur</x:v>
      </x:c>
      <x:c r="J462" t="str">
        <x:v>Technology</x:v>
      </x:c>
      <x:c r="K462" t="str">
        <x:v>Copiers</x:v>
      </x:c>
      <x:c r="L462" t="str">
        <x:v>Eco Copiers 603</x:v>
      </x:c>
      <x:c r="M462" t="str">
        <x:v>Second Class</x:v>
      </x:c>
      <x:c r="N462" t="n">
        <x:v>9</x:v>
      </x:c>
      <x:c r="O462" s="7" t="n">
        <x:v>1359.88</x:v>
      </x:c>
      <x:c r="P462" s="6" t="n">
        <x:v>0.05</x:v>
      </x:c>
      <x:c r="Q462" s="7" t="n">
        <x:v>11626.97</x:v>
      </x:c>
      <x:c r="R462" s="7" t="n">
        <x:v>7394.07</x:v>
      </x:c>
      <x:c r="S462" s="7" t="n">
        <x:v>4232.9</x:v>
      </x:c>
      <x:c r="T462" t="str">
        <x:v>Paid</x:v>
      </x:c>
      <x:c r="U462" t="str">
        <x:v>Completed</x:v>
      </x:c>
      <x:c r="V462" s="6" t="n">
        <x:f>IF(ISBLANK(P462),IF(AND(ISNUMBER(N462),N462&gt;0,ISNUMBER(O462),O462&gt;=0,ISNUMBER(Q462),Q462&gt;=0,ISNUMBER(R462),R462&gt;=0,ISNUMBER(S462)),0,""),P462)</x:f>
        <x:v>0.05</x:v>
      </x:c>
      <x:c r="W462" s="7" t="n">
        <x:f>IF(ISBLANK(V462),"",N462*O462*(1-V462))</x:f>
        <x:v>11626.974000000002</x:v>
      </x:c>
      <x:c r="X462" s="7" t="n">
        <x:f>IF(OR(ISBLANK(W462),ISBLANK(R462)),"",W462-R462)</x:f>
        <x:v>4232.904000000002</x:v>
      </x:c>
      <x:c r="Y462" s="8" t="n">
        <x:f>IF(OR(ISBLANK(W462),W462=0),"",X462/W462)</x:f>
        <x:v>0.36405895463428417</x:v>
      </x:c>
      <x:c r="Z462" s="9" t="n">
        <x:f>IF(OR(ISBLANK(B462),ISBLANK(C462)),"",C462-B462)</x:f>
        <x:v>6</x:v>
      </x:c>
      <x:c r="AA462" t="str">
        <x:f>IF(ISBLANK(B462),"",TEXT(B462,"mmm"))</x:f>
        <x:v>Sep</x:v>
      </x:c>
      <x:c r="AB462" s="9" t="n">
        <x:f>IF(ISBLANK(B462),"",YEAR(B462))</x:f>
        <x:v>2025</x:v>
      </x:c>
      <x:c r="AC462" s="10" t="str">
        <x:v>FLAG: Missing region filled as Unknown</x:v>
      </x:c>
      <x:c r="AD462" t="str">
        <x:f>IF(AND(U462="Completed",T462="Paid",ISERROR(SEARCH("INVALID",AC462)),ISERROR(SEARCH("REVIEW",AC462))),"Include","Exclude")</x:f>
        <x:v>Include</x:v>
      </x:c>
      <x:c r="AE462" t="str">
        <x:f>IF(T462="Refunded","Refunded","")</x:f>
      </x:c>
    </x:row>
    <x:row r="463">
      <x:c r="A463" t="str">
        <x:v>ORD-2025-10462</x:v>
      </x:c>
      <x:c r="B463" s="5" t="n">
        <x:v>45802</x:v>
      </x:c>
      <x:c r="C463" s="5" t="n">
        <x:v>45803</x:v>
      </x:c>
      <x:c r="D463" t="str">
        <x:v>CUST-3659</x:v>
      </x:c>
      <x:c r="E463" t="str">
        <x:v>Neha Gupta</x:v>
      </x:c>
      <x:c r="F463" t="str">
        <x:v>Corporate</x:v>
      </x:c>
      <x:c r="G463" t="str">
        <x:v>South</x:v>
      </x:c>
      <x:c r="H463" t="str">
        <x:v>Andhra Pradesh</x:v>
      </x:c>
      <x:c r="I463" t="str">
        <x:v>Vijayawada</x:v>
      </x:c>
      <x:c r="J463" t="str">
        <x:v>Office Supplies</x:v>
      </x:c>
      <x:c r="K463" t="str">
        <x:v>Paper</x:v>
      </x:c>
      <x:c r="L463" t="str">
        <x:v>Max Paper 700</x:v>
      </x:c>
      <x:c r="M463" t="str">
        <x:v>Standard Class</x:v>
      </x:c>
      <x:c r="N463" t="n">
        <x:v>3</x:v>
      </x:c>
      <x:c r="O463" s="7" t="n">
        <x:v>3378.15</x:v>
      </x:c>
      <x:c r="P463" s="6" t="n">
        <x:v>0.15</x:v>
      </x:c>
      <x:c r="Q463" s="7" t="n">
        <x:v>8614.28</x:v>
      </x:c>
      <x:c r="R463" s="7" t="n">
        <x:v>7052.08</x:v>
      </x:c>
      <x:c r="S463" s="7" t="n">
        <x:v>1562.2</x:v>
      </x:c>
      <x:c r="T463" t="str">
        <x:v>Paid</x:v>
      </x:c>
      <x:c r="U463" t="str">
        <x:v>Completed</x:v>
      </x:c>
      <x:c r="V463" s="6" t="n">
        <x:f>IF(ISBLANK(P463),IF(AND(ISNUMBER(N463),N463&gt;0,ISNUMBER(O463),O463&gt;=0,ISNUMBER(Q463),Q463&gt;=0,ISNUMBER(R463),R463&gt;=0,ISNUMBER(S463)),0,""),P463)</x:f>
        <x:v>0.15</x:v>
      </x:c>
      <x:c r="W463" s="7" t="n">
        <x:f>IF(ISBLANK(V463),"",N463*O463*(1-V463))</x:f>
        <x:v>8614.282500000001</x:v>
      </x:c>
      <x:c r="X463" s="7" t="n">
        <x:f>IF(OR(ISBLANK(W463),ISBLANK(R463)),"",W463-R463)</x:f>
        <x:v>1562.2025000000012</x:v>
      </x:c>
      <x:c r="Y463" s="8" t="n">
        <x:f>IF(OR(ISBLANK(W463),W463=0),"",X463/W463)</x:f>
        <x:v>0.18135027496486225</x:v>
      </x:c>
      <x:c r="Z463" s="9" t="n">
        <x:f>IF(OR(ISBLANK(B463),ISBLANK(C463)),"",C463-B463)</x:f>
        <x:v>1</x:v>
      </x:c>
      <x:c r="AA463" t="str">
        <x:f>IF(ISBLANK(B463),"",TEXT(B463,"mmm"))</x:f>
        <x:v>May</x:v>
      </x:c>
      <x:c r="AB463" s="9" t="n">
        <x:f>IF(ISBLANK(B463),"",YEAR(B463))</x:f>
        <x:v>2025</x:v>
      </x:c>
      <x:c r="AC463" s="10" t="str"/>
      <x:c r="AD463" t="str">
        <x:f>IF(AND(U463="Completed",T463="Paid",ISERROR(SEARCH("INVALID",AC463)),ISERROR(SEARCH("REVIEW",AC463))),"Include","Exclude")</x:f>
        <x:v>Include</x:v>
      </x:c>
      <x:c r="AE463" t="str">
        <x:f>IF(T463="Refunded","Refunded","")</x:f>
      </x:c>
    </x:row>
    <x:row r="464">
      <x:c r="A464" t="str">
        <x:v>ORD-2024-10463</x:v>
      </x:c>
      <x:c r="B464" s="5" t="n">
        <x:v>45558</x:v>
      </x:c>
      <x:c r="C464" s="5" t="n">
        <x:v>45560</x:v>
      </x:c>
      <x:c r="D464" t="str">
        <x:v>CUST-6594</x:v>
      </x:c>
      <x:c r="E464" t="str">
        <x:v>Aarav Sharma</x:v>
      </x:c>
      <x:c r="F464" t="str">
        <x:v>Home Office</x:v>
      </x:c>
      <x:c r="G464" t="str">
        <x:v>North</x:v>
      </x:c>
      <x:c r="H464" t="str">
        <x:v>Delhi</x:v>
      </x:c>
      <x:c r="I464" t="str">
        <x:v>New Delhi</x:v>
      </x:c>
      <x:c r="J464" t="str">
        <x:v>Office Supplies</x:v>
      </x:c>
      <x:c r="K464" t="str">
        <x:v>Binders</x:v>
      </x:c>
      <x:c r="L464" t="str">
        <x:v>Pro Binders 404</x:v>
      </x:c>
      <x:c r="M464" t="str">
        <x:v>First Class</x:v>
      </x:c>
      <x:c r="N464" t="n">
        <x:v>2</x:v>
      </x:c>
      <x:c r="O464" s="7" t="n">
        <x:v>1275.14</x:v>
      </x:c>
      <x:c r="P464" s="6" t="n">
        <x:v>0.2</x:v>
      </x:c>
      <x:c r="Q464" s="7" t="n">
        <x:v>2040.22</x:v>
      </x:c>
      <x:c r="R464" s="7" t="n">
        <x:v>1395.71</x:v>
      </x:c>
      <x:c r="S464" s="7" t="n">
        <x:v>644.51</x:v>
      </x:c>
      <x:c r="T464" t="str">
        <x:v>Paid</x:v>
      </x:c>
      <x:c r="U464" t="str">
        <x:v>Completed</x:v>
      </x:c>
      <x:c r="V464" s="6" t="n">
        <x:f>IF(ISBLANK(P464),IF(AND(ISNUMBER(N464),N464&gt;0,ISNUMBER(O464),O464&gt;=0,ISNUMBER(Q464),Q464&gt;=0,ISNUMBER(R464),R464&gt;=0,ISNUMBER(S464)),0,""),P464)</x:f>
        <x:v>0.2</x:v>
      </x:c>
      <x:c r="W464" s="7" t="n">
        <x:f>IF(ISBLANK(V464),"",N464*O464*(1-V464))</x:f>
        <x:v>2040.2240000000002</x:v>
      </x:c>
      <x:c r="X464" s="7" t="n">
        <x:f>IF(OR(ISBLANK(W464),ISBLANK(R464)),"",W464-R464)</x:f>
        <x:v>644.5140000000001</x:v>
      </x:c>
      <x:c r="Y464" s="8" t="n">
        <x:f>IF(OR(ISBLANK(W464),W464=0),"",X464/W464)</x:f>
        <x:v>0.3159035478457268</x:v>
      </x:c>
      <x:c r="Z464" s="9" t="n">
        <x:f>IF(OR(ISBLANK(B464),ISBLANK(C464)),"",C464-B464)</x:f>
        <x:v>2</x:v>
      </x:c>
      <x:c r="AA464" t="str">
        <x:f>IF(ISBLANK(B464),"",TEXT(B464,"mmm"))</x:f>
        <x:v>Sep</x:v>
      </x:c>
      <x:c r="AB464" s="9" t="n">
        <x:f>IF(ISBLANK(B464),"",YEAR(B464))</x:f>
        <x:v>2024</x:v>
      </x:c>
      <x:c r="AC464" s="10" t="str"/>
      <x:c r="AD464" t="str">
        <x:f>IF(AND(U464="Completed",T464="Paid",ISERROR(SEARCH("INVALID",AC464)),ISERROR(SEARCH("REVIEW",AC464))),"Include","Exclude")</x:f>
        <x:v>Include</x:v>
      </x:c>
      <x:c r="AE464" t="str">
        <x:f>IF(T464="Refunded","Refunded","")</x:f>
      </x:c>
    </x:row>
    <x:row r="465">
      <x:c r="A465" t="str">
        <x:v>ORD-2025-10464</x:v>
      </x:c>
      <x:c r="B465" s="5" t="n">
        <x:v>45695</x:v>
      </x:c>
      <x:c r="C465" s="5" t="n">
        <x:v>45696</x:v>
      </x:c>
      <x:c r="D465" t="str">
        <x:v>CUST-2626</x:v>
      </x:c>
      <x:c r="E465" t="str">
        <x:v>Arjun Bose</x:v>
      </x:c>
      <x:c r="F465" t="str">
        <x:v>Corporate</x:v>
      </x:c>
      <x:c r="G465" t="str">
        <x:v>West</x:v>
      </x:c>
      <x:c r="H465" t="str">
        <x:v>Madhya Pradesh</x:v>
      </x:c>
      <x:c r="I465" t="str">
        <x:v>Indore</x:v>
      </x:c>
      <x:c r="J465" t="str">
        <x:v>Technology</x:v>
      </x:c>
      <x:c r="K465" t="str">
        <x:v>Phones</x:v>
      </x:c>
      <x:c r="L465" t="str">
        <x:v>Eco Phones 208</x:v>
      </x:c>
      <x:c r="M465" t="str">
        <x:v>Standard Class</x:v>
      </x:c>
      <x:c r="N465" t="n">
        <x:v>4</x:v>
      </x:c>
      <x:c r="O465" s="7" t="n">
        <x:v>889.5</x:v>
      </x:c>
      <x:c r="P465" s="6" t="n">
        <x:v>0.2</x:v>
      </x:c>
      <x:c r="Q465" s="7" t="n">
        <x:v>2846.4</x:v>
      </x:c>
      <x:c r="R465" s="7" t="n">
        <x:v>2132.37</x:v>
      </x:c>
      <x:c r="S465" s="7" t="n">
        <x:v>714.03</x:v>
      </x:c>
      <x:c r="T465" t="str">
        <x:v>Paid</x:v>
      </x:c>
      <x:c r="U465" t="str">
        <x:v>Completed</x:v>
      </x:c>
      <x:c r="V465" s="6" t="n">
        <x:f>IF(ISBLANK(P465),IF(AND(ISNUMBER(N465),N465&gt;0,ISNUMBER(O465),O465&gt;=0,ISNUMBER(Q465),Q465&gt;=0,ISNUMBER(R465),R465&gt;=0,ISNUMBER(S465)),0,""),P465)</x:f>
        <x:v>0.2</x:v>
      </x:c>
      <x:c r="W465" s="7" t="n">
        <x:f>IF(ISBLANK(V465),"",N465*O465*(1-V465))</x:f>
        <x:v>2846.4</x:v>
      </x:c>
      <x:c r="X465" s="7" t="n">
        <x:f>IF(OR(ISBLANK(W465),ISBLANK(R465)),"",W465-R465)</x:f>
        <x:v>714.0300000000002</x:v>
      </x:c>
      <x:c r="Y465" s="8" t="n">
        <x:f>IF(OR(ISBLANK(W465),W465=0),"",X465/W465)</x:f>
        <x:v>0.25085370994940986</x:v>
      </x:c>
      <x:c r="Z465" s="9" t="n">
        <x:f>IF(OR(ISBLANK(B465),ISBLANK(C465)),"",C465-B465)</x:f>
        <x:v>1</x:v>
      </x:c>
      <x:c r="AA465" t="str">
        <x:f>IF(ISBLANK(B465),"",TEXT(B465,"mmm"))</x:f>
        <x:v>Feb</x:v>
      </x:c>
      <x:c r="AB465" s="9" t="n">
        <x:f>IF(ISBLANK(B465),"",YEAR(B465))</x:f>
        <x:v>2025</x:v>
      </x:c>
      <x:c r="AC465" s="10" t="str"/>
      <x:c r="AD465" t="str">
        <x:f>IF(AND(U465="Completed",T465="Paid",ISERROR(SEARCH("INVALID",AC465)),ISERROR(SEARCH("REVIEW",AC465))),"Include","Exclude")</x:f>
        <x:v>Include</x:v>
      </x:c>
      <x:c r="AE465" t="str">
        <x:f>IF(T465="Refunded","Refunded","")</x:f>
      </x:c>
    </x:row>
    <x:row r="466">
      <x:c r="A466" t="str">
        <x:v>ORD-2025-10465</x:v>
      </x:c>
      <x:c r="B466" s="5" t="n">
        <x:v>45727</x:v>
      </x:c>
      <x:c r="C466" s="5" t="n">
        <x:v>45731</x:v>
      </x:c>
      <x:c r="D466" t="str">
        <x:v>CUST-7362</x:v>
      </x:c>
      <x:c r="E466" t="str">
        <x:v>Arjun Bose</x:v>
      </x:c>
      <x:c r="F466" t="str">
        <x:v>Corporate</x:v>
      </x:c>
      <x:c r="G466" t="str">
        <x:v>East</x:v>
      </x:c>
      <x:c r="H466" t="str">
        <x:v>Bihar</x:v>
      </x:c>
      <x:c r="I466" t="str">
        <x:v>Patna</x:v>
      </x:c>
      <x:c r="J466" t="str">
        <x:v>Office Supplies</x:v>
      </x:c>
      <x:c r="K466" t="str">
        <x:v>Paper</x:v>
      </x:c>
      <x:c r="L466" t="str">
        <x:v>Elite Paper 106</x:v>
      </x:c>
      <x:c r="M466" t="str">
        <x:v>Same Day</x:v>
      </x:c>
      <x:c r="N466" t="n">
        <x:v>3</x:v>
      </x:c>
      <x:c r="O466" s="7" t="n">
        <x:v>3625.08</x:v>
      </x:c>
      <x:c r="P466" s="6" t="n">
        <x:v>0.05</x:v>
      </x:c>
      <x:c r="Q466" s="7" t="n">
        <x:v>10331.48</x:v>
      </x:c>
      <x:c r="R466" s="7" t="n">
        <x:v>7131.91</x:v>
      </x:c>
      <x:c r="S466" s="7" t="n">
        <x:v>3199.57</x:v>
      </x:c>
      <x:c r="T466" t="str">
        <x:v>Pending</x:v>
      </x:c>
      <x:c r="U466" t="str">
        <x:v>Cancelled</x:v>
      </x:c>
      <x:c r="V466" s="6" t="n">
        <x:f>IF(ISBLANK(P466),IF(AND(ISNUMBER(N466),N466&gt;0,ISNUMBER(O466),O466&gt;=0,ISNUMBER(Q466),Q466&gt;=0,ISNUMBER(R466),R466&gt;=0,ISNUMBER(S466)),0,""),P466)</x:f>
        <x:v>0.05</x:v>
      </x:c>
      <x:c r="W466" s="7" t="n">
        <x:f>IF(ISBLANK(V466),"",N466*O466*(1-V466))</x:f>
        <x:v>10331.478</x:v>
      </x:c>
      <x:c r="X466" s="7" t="n">
        <x:f>IF(OR(ISBLANK(W466),ISBLANK(R466)),"",W466-R466)</x:f>
        <x:v>3199.5679999999993</x:v>
      </x:c>
      <x:c r="Y466" s="8" t="n">
        <x:f>IF(OR(ISBLANK(W466),W466=0),"",X466/W466)</x:f>
        <x:v>0.30969121746181905</x:v>
      </x:c>
      <x:c r="Z466" s="9" t="n">
        <x:f>IF(OR(ISBLANK(B466),ISBLANK(C466)),"",C466-B466)</x:f>
        <x:v>4</x:v>
      </x:c>
      <x:c r="AA466" t="str">
        <x:f>IF(ISBLANK(B466),"",TEXT(B466,"mmm"))</x:f>
        <x:v>Mar</x:v>
      </x:c>
      <x:c r="AB466" s="9" t="n">
        <x:f>IF(ISBLANK(B466),"",YEAR(B466))</x:f>
        <x:v>2025</x:v>
      </x:c>
      <x:c r="AC466" s="10" t="str">
        <x:v>EXCLUDE: Cancelled order</x:v>
      </x:c>
      <x:c r="AD466" t="str">
        <x:f>IF(AND(U466="Completed",T466="Paid",ISERROR(SEARCH("INVALID",AC466)),ISERROR(SEARCH("REVIEW",AC466))),"Include","Exclude")</x:f>
        <x:v>Exclude</x:v>
      </x:c>
      <x:c r="AE466" t="str">
        <x:f>IF(T466="Refunded","Refunded","")</x:f>
      </x:c>
    </x:row>
    <x:row r="467">
      <x:c r="A467" t="str">
        <x:v>ORD-2024-10466</x:v>
      </x:c>
      <x:c r="B467" s="5" t="n">
        <x:v>45320</x:v>
      </x:c>
      <x:c r="C467" s="5" t="n">
        <x:v>45328</x:v>
      </x:c>
      <x:c r="D467" t="str">
        <x:v>CUST-1748</x:v>
      </x:c>
      <x:c r="E467" t="str">
        <x:v>Aarav Sharma</x:v>
      </x:c>
      <x:c r="F467" t="str">
        <x:v>Small Business</x:v>
      </x:c>
      <x:c r="G467" t="str">
        <x:v>West</x:v>
      </x:c>
      <x:c r="H467" t="str">
        <x:v>Madhya Pradesh</x:v>
      </x:c>
      <x:c r="I467" t="str">
        <x:v>Indore</x:v>
      </x:c>
      <x:c r="J467" t="str">
        <x:v>Office Supplies</x:v>
      </x:c>
      <x:c r="K467" t="str">
        <x:v>Labels</x:v>
      </x:c>
      <x:c r="L467" t="str">
        <x:v>Eco Labels 914</x:v>
      </x:c>
      <x:c r="M467" t="str">
        <x:v>Standard Class</x:v>
      </x:c>
      <x:c r="N467" t="n">
        <x:v>2</x:v>
      </x:c>
      <x:c r="O467" s="7" t="n">
        <x:v>1258.9</x:v>
      </x:c>
      <x:c r="P467" s="6" t="n">
        <x:v>0</x:v>
      </x:c>
      <x:c r="Q467" s="7" t="n">
        <x:v>2517.8</x:v>
      </x:c>
      <x:c r="R467" s="7" t="n">
        <x:v>1478.54</x:v>
      </x:c>
      <x:c r="S467" s="7" t="n">
        <x:v>1039.26</x:v>
      </x:c>
      <x:c r="T467" t="str">
        <x:v>Paid</x:v>
      </x:c>
      <x:c r="U467" t="str">
        <x:v>Completed</x:v>
      </x:c>
      <x:c r="V467" s="6" t="n">
        <x:f>IF(ISBLANK(P467),IF(AND(ISNUMBER(N467),N467&gt;0,ISNUMBER(O467),O467&gt;=0,ISNUMBER(Q467),Q467&gt;=0,ISNUMBER(R467),R467&gt;=0,ISNUMBER(S467)),0,""),P467)</x:f>
        <x:v>0</x:v>
      </x:c>
      <x:c r="W467" s="7" t="n">
        <x:f>IF(ISBLANK(V467),"",N467*O467*(1-V467))</x:f>
        <x:v>2517.8</x:v>
      </x:c>
      <x:c r="X467" s="7" t="n">
        <x:f>IF(OR(ISBLANK(W467),ISBLANK(R467)),"",W467-R467)</x:f>
        <x:v>1039.2600000000002</x:v>
      </x:c>
      <x:c r="Y467" s="8" t="n">
        <x:f>IF(OR(ISBLANK(W467),W467=0),"",X467/W467)</x:f>
        <x:v>0.4127651123997141</x:v>
      </x:c>
      <x:c r="Z467" s="9" t="n">
        <x:f>IF(OR(ISBLANK(B467),ISBLANK(C467)),"",C467-B467)</x:f>
        <x:v>8</x:v>
      </x:c>
      <x:c r="AA467" t="str">
        <x:f>IF(ISBLANK(B467),"",TEXT(B467,"mmm"))</x:f>
        <x:v>Jan</x:v>
      </x:c>
      <x:c r="AB467" s="9" t="n">
        <x:f>IF(ISBLANK(B467),"",YEAR(B467))</x:f>
        <x:v>2024</x:v>
      </x:c>
      <x:c r="AC467" s="10" t="str"/>
      <x:c r="AD467" t="str">
        <x:f>IF(AND(U467="Completed",T467="Paid",ISERROR(SEARCH("INVALID",AC467)),ISERROR(SEARCH("REVIEW",AC467))),"Include","Exclude")</x:f>
        <x:v>Include</x:v>
      </x:c>
      <x:c r="AE467" t="str">
        <x:f>IF(T467="Refunded","Refunded","")</x:f>
      </x:c>
    </x:row>
    <x:row r="468">
      <x:c r="A468" t="str">
        <x:v>ORD-2024-10467</x:v>
      </x:c>
      <x:c r="B468" s="5" t="n">
        <x:v>45295</x:v>
      </x:c>
      <x:c r="C468" s="5" t="n">
        <x:v>45299</x:v>
      </x:c>
      <x:c r="D468" t="str">
        <x:v>CUST-2725</x:v>
      </x:c>
      <x:c r="E468" t="str">
        <x:v>Mira Das</x:v>
      </x:c>
      <x:c r="F468" t="str">
        <x:v>Small Business</x:v>
      </x:c>
      <x:c r="G468" t="str">
        <x:v>East</x:v>
      </x:c>
      <x:c r="H468" t="str">
        <x:v>Bihar</x:v>
      </x:c>
      <x:c r="I468" t="str">
        <x:v>Patna</x:v>
      </x:c>
      <x:c r="J468" t="str">
        <x:v>Technology</x:v>
      </x:c>
      <x:c r="K468" t="str">
        <x:v>Accessories</x:v>
      </x:c>
      <x:c r="L468" t="str">
        <x:v>Max Accessories 486</x:v>
      </x:c>
      <x:c r="M468" t="str">
        <x:v>Same Day</x:v>
      </x:c>
      <x:c r="N468" t="n">
        <x:v>9</x:v>
      </x:c>
      <x:c r="O468" s="7" t="n">
        <x:v>1591.96</x:v>
      </x:c>
      <x:c r="P468" s="6" t="n">
        <x:v>0.2</x:v>
      </x:c>
      <x:c r="Q468" s="7" t="n">
        <x:v>11462.11</x:v>
      </x:c>
      <x:c r="R468" s="7" t="n">
        <x:v>7105.48</x:v>
      </x:c>
      <x:c r="S468" s="7" t="n">
        <x:v>4356.63</x:v>
      </x:c>
      <x:c r="T468" t="str">
        <x:v>Paid</x:v>
      </x:c>
      <x:c r="U468" t="str">
        <x:v>Completed</x:v>
      </x:c>
      <x:c r="V468" s="6" t="n">
        <x:f>IF(ISBLANK(P468),IF(AND(ISNUMBER(N468),N468&gt;0,ISNUMBER(O468),O468&gt;=0,ISNUMBER(Q468),Q468&gt;=0,ISNUMBER(R468),R468&gt;=0,ISNUMBER(S468)),0,""),P468)</x:f>
        <x:v>0.2</x:v>
      </x:c>
      <x:c r="W468" s="7" t="n">
        <x:f>IF(ISBLANK(V468),"",N468*O468*(1-V468))</x:f>
        <x:v>11462.112000000001</x:v>
      </x:c>
      <x:c r="X468" s="7" t="n">
        <x:f>IF(OR(ISBLANK(W468),ISBLANK(R468)),"",W468-R468)</x:f>
        <x:v>4356.632000000001</x:v>
      </x:c>
      <x:c r="Y468" s="8" t="n">
        <x:f>IF(OR(ISBLANK(W468),W468=0),"",X468/W468)</x:f>
        <x:v>0.38008981241851425</x:v>
      </x:c>
      <x:c r="Z468" s="9" t="n">
        <x:f>IF(OR(ISBLANK(B468),ISBLANK(C468)),"",C468-B468)</x:f>
        <x:v>4</x:v>
      </x:c>
      <x:c r="AA468" t="str">
        <x:f>IF(ISBLANK(B468),"",TEXT(B468,"mmm"))</x:f>
        <x:v>Jan</x:v>
      </x:c>
      <x:c r="AB468" s="9" t="n">
        <x:f>IF(ISBLANK(B468),"",YEAR(B468))</x:f>
        <x:v>2024</x:v>
      </x:c>
      <x:c r="AC468" s="10" t="str"/>
      <x:c r="AD468" t="str">
        <x:f>IF(AND(U468="Completed",T468="Paid",ISERROR(SEARCH("INVALID",AC468)),ISERROR(SEARCH("REVIEW",AC468))),"Include","Exclude")</x:f>
        <x:v>Include</x:v>
      </x:c>
      <x:c r="AE468" t="str">
        <x:f>IF(T468="Refunded","Refunded","")</x:f>
      </x:c>
    </x:row>
    <x:row r="469">
      <x:c r="A469" t="str">
        <x:v>ORD-2024-10468</x:v>
      </x:c>
      <x:c r="B469" s="5" t="n">
        <x:v>45524</x:v>
      </x:c>
      <x:c r="C469" s="5" t="n">
        <x:v>45525</x:v>
      </x:c>
      <x:c r="D469" t="str">
        <x:v>CUST-9470</x:v>
      </x:c>
      <x:c r="E469" t="str">
        <x:v>Aditi Sen</x:v>
      </x:c>
      <x:c r="F469" t="str">
        <x:v>Corporate</x:v>
      </x:c>
      <x:c r="G469" t="str">
        <x:v>East</x:v>
      </x:c>
      <x:c r="H469" t="str">
        <x:v>Odisha</x:v>
      </x:c>
      <x:c r="I469" t="str">
        <x:v>Bhubaneswar</x:v>
      </x:c>
      <x:c r="J469" t="str">
        <x:v>Technology</x:v>
      </x:c>
      <x:c r="K469" t="str">
        <x:v>Copiers</x:v>
      </x:c>
      <x:c r="L469" t="str">
        <x:v>Max Copiers 867</x:v>
      </x:c>
      <x:c r="M469" t="str">
        <x:v>First Class</x:v>
      </x:c>
      <x:c r="N469" t="n">
        <x:v>5</x:v>
      </x:c>
      <x:c r="O469" s="7" t="n">
        <x:v>4288.33</x:v>
      </x:c>
      <x:c r="P469" s="6" t="n">
        <x:v>0.1</x:v>
      </x:c>
      <x:c r="Q469" s="7" t="n">
        <x:v>19297.49</x:v>
      </x:c>
      <x:c r="R469" s="7" t="n">
        <x:v>15451.66</x:v>
      </x:c>
      <x:c r="S469" s="7" t="n">
        <x:v>3845.83</x:v>
      </x:c>
      <x:c r="T469" t="str">
        <x:v>Refunded</x:v>
      </x:c>
      <x:c r="U469" t="str">
        <x:v>Cancelled</x:v>
      </x:c>
      <x:c r="V469" s="6" t="n">
        <x:f>IF(ISBLANK(P469),IF(AND(ISNUMBER(N469),N469&gt;0,ISNUMBER(O469),O469&gt;=0,ISNUMBER(Q469),Q469&gt;=0,ISNUMBER(R469),R469&gt;=0,ISNUMBER(S469)),0,""),P469)</x:f>
        <x:v>0.1</x:v>
      </x:c>
      <x:c r="W469" s="7" t="n">
        <x:f>IF(ISBLANK(V469),"",N469*O469*(1-V469))</x:f>
        <x:v>19297.485</x:v>
      </x:c>
      <x:c r="X469" s="7" t="n">
        <x:f>IF(OR(ISBLANK(W469),ISBLANK(R469)),"",W469-R469)</x:f>
        <x:v>3845.8250000000007</x:v>
      </x:c>
      <x:c r="Y469" s="8" t="n">
        <x:f>IF(OR(ISBLANK(W469),W469=0),"",X469/W469)</x:f>
        <x:v>0.1992915138941681</x:v>
      </x:c>
      <x:c r="Z469" s="9" t="n">
        <x:f>IF(OR(ISBLANK(B469),ISBLANK(C469)),"",C469-B469)</x:f>
        <x:v>1</x:v>
      </x:c>
      <x:c r="AA469" t="str">
        <x:f>IF(ISBLANK(B469),"",TEXT(B469,"mmm"))</x:f>
        <x:v>Aug</x:v>
      </x:c>
      <x:c r="AB469" s="9" t="n">
        <x:f>IF(ISBLANK(B469),"",YEAR(B469))</x:f>
        <x:v>2024</x:v>
      </x:c>
      <x:c r="AC469" s="10" t="str">
        <x:v>EXCLUDE: Cancelled order; REFUND: Summarize separately</x:v>
      </x:c>
      <x:c r="AD469" t="str">
        <x:f>IF(AND(U469="Completed",T469="Paid",ISERROR(SEARCH("INVALID",AC469)),ISERROR(SEARCH("REVIEW",AC469))),"Include","Exclude")</x:f>
        <x:v>Exclude</x:v>
      </x:c>
      <x:c r="AE469" t="str">
        <x:f>IF(T469="Refunded","Refunded","")</x:f>
        <x:v>Refunded</x:v>
      </x:c>
    </x:row>
    <x:row r="470">
      <x:c r="A470" t="str">
        <x:v>ORD-2025-10469</x:v>
      </x:c>
      <x:c r="B470" s="5" t="n">
        <x:v>45666</x:v>
      </x:c>
      <x:c r="C470" s="5" t="n">
        <x:v>45664</x:v>
      </x:c>
      <x:c r="D470" t="str">
        <x:v>CUST-4176</x:v>
      </x:c>
      <x:c r="E470" t="str">
        <x:v>Aarav Sharma</x:v>
      </x:c>
      <x:c r="F470" t="str">
        <x:v>Home Office</x:v>
      </x:c>
      <x:c r="G470" t="str">
        <x:v>East</x:v>
      </x:c>
      <x:c r="H470" t="str">
        <x:v>West Bengal</x:v>
      </x:c>
      <x:c r="I470" t="str">
        <x:v>Kolkata</x:v>
      </x:c>
      <x:c r="J470" t="str">
        <x:v>Office Supplies</x:v>
      </x:c>
      <x:c r="K470" t="str">
        <x:v>Binders</x:v>
      </x:c>
      <x:c r="L470" t="str">
        <x:v>Pro Binders 555</x:v>
      </x:c>
      <x:c r="M470" t="str">
        <x:v>Second Class</x:v>
      </x:c>
      <x:c r="N470" t="n">
        <x:v>3</x:v>
      </x:c>
      <x:c r="O470" s="7" t="n">
        <x:v>2188.33</x:v>
      </x:c>
      <x:c r="P470" s="6" t="n">
        <x:v>0</x:v>
      </x:c>
      <x:c r="Q470" s="7" t="n">
        <x:v>6564.99</x:v>
      </x:c>
      <x:c r="R470" s="7" t="n">
        <x:v>5407.24</x:v>
      </x:c>
      <x:c r="S470" s="7" t="n">
        <x:v>1157.75</x:v>
      </x:c>
      <x:c r="T470" t="str">
        <x:v>Paid</x:v>
      </x:c>
      <x:c r="U470" t="str">
        <x:v>Completed</x:v>
      </x:c>
      <x:c r="V470" s="6" t="n">
        <x:f>IF(ISBLANK(P470),IF(AND(ISNUMBER(N470),N470&gt;0,ISNUMBER(O470),O470&gt;=0,ISNUMBER(Q470),Q470&gt;=0,ISNUMBER(R470),R470&gt;=0,ISNUMBER(S470)),0,""),P470)</x:f>
        <x:v>0</x:v>
      </x:c>
      <x:c r="W470" s="7" t="n">
        <x:f>IF(ISBLANK(V470),"",N470*O470*(1-V470))</x:f>
        <x:v>6564.99</x:v>
      </x:c>
      <x:c r="X470" s="7" t="n">
        <x:f>IF(OR(ISBLANK(W470),ISBLANK(R470)),"",W470-R470)</x:f>
        <x:v>1157.75</x:v>
      </x:c>
      <x:c r="Y470" s="8" t="n">
        <x:f>IF(OR(ISBLANK(W470),W470=0),"",X470/W470)</x:f>
        <x:v>0.17635213458055535</x:v>
      </x:c>
      <x:c r="Z470" s="9" t="n">
        <x:f>IF(OR(ISBLANK(B470),ISBLANK(C470)),"",C470-B470)</x:f>
        <x:v>-2</x:v>
      </x:c>
      <x:c r="AA470" t="str">
        <x:f>IF(ISBLANK(B470),"",TEXT(B470,"mmm"))</x:f>
        <x:v>Jan</x:v>
      </x:c>
      <x:c r="AB470" s="9" t="n">
        <x:f>IF(ISBLANK(B470),"",YEAR(B470))</x:f>
        <x:v>2025</x:v>
      </x:c>
      <x:c r="AC470" s="10" t="str">
        <x:v>INVALID: Ship date before order date</x:v>
      </x:c>
      <x:c r="AD470" t="str">
        <x:f>IF(AND(U470="Completed",T470="Paid",ISERROR(SEARCH("INVALID",AC470)),ISERROR(SEARCH("REVIEW",AC470))),"Include","Exclude")</x:f>
        <x:v>Exclude</x:v>
      </x:c>
      <x:c r="AE470" t="str">
        <x:f>IF(T470="Refunded","Refunded","")</x:f>
      </x:c>
    </x:row>
    <x:row r="471">
      <x:c r="A471" t="str">
        <x:v>ORD-2024-10470</x:v>
      </x:c>
      <x:c r="B471" s="5" t="n">
        <x:v>45310</x:v>
      </x:c>
      <x:c r="C471" s="5" t="n">
        <x:v>45316</x:v>
      </x:c>
      <x:c r="D471" t="str">
        <x:v>CUST-3448</x:v>
      </x:c>
      <x:c r="E471" t="str">
        <x:v>Aditi Sen</x:v>
      </x:c>
      <x:c r="F471" t="str">
        <x:v>Corporate</x:v>
      </x:c>
      <x:c r="G471" t="str">
        <x:v>West</x:v>
      </x:c>
      <x:c r="H471" t="str">
        <x:v>Goa</x:v>
      </x:c>
      <x:c r="I471" t="str">
        <x:v>Panaji</x:v>
      </x:c>
      <x:c r="J471" t="str">
        <x:v>Technology</x:v>
      </x:c>
      <x:c r="K471" t="str">
        <x:v>Copiers</x:v>
      </x:c>
      <x:c r="L471" t="str">
        <x:v>Pro Copiers 971</x:v>
      </x:c>
      <x:c r="M471" t="str">
        <x:v>First Class</x:v>
      </x:c>
      <x:c r="N471" t="n">
        <x:v>3</x:v>
      </x:c>
      <x:c r="O471" s="7" t="n">
        <x:v>1041.66</x:v>
      </x:c>
      <x:c r="P471" s="6" t="n">
        <x:v>0.1</x:v>
      </x:c>
      <x:c r="Q471" s="7" t="n">
        <x:v>2812.48</x:v>
      </x:c>
      <x:c r="R471" s="7" t="n">
        <x:v>2282.12</x:v>
      </x:c>
      <x:c r="S471" s="7" t="n">
        <x:v>530.36</x:v>
      </x:c>
      <x:c r="T471" t="str">
        <x:v>Paid</x:v>
      </x:c>
      <x:c r="U471" t="str">
        <x:v>Completed</x:v>
      </x:c>
      <x:c r="V471" s="6" t="n">
        <x:f>IF(ISBLANK(P471),IF(AND(ISNUMBER(N471),N471&gt;0,ISNUMBER(O471),O471&gt;=0,ISNUMBER(Q471),Q471&gt;=0,ISNUMBER(R471),R471&gt;=0,ISNUMBER(S471)),0,""),P471)</x:f>
        <x:v>0.1</x:v>
      </x:c>
      <x:c r="W471" s="7" t="n">
        <x:f>IF(ISBLANK(V471),"",N471*O471*(1-V471))</x:f>
        <x:v>2812.4820000000004</x:v>
      </x:c>
      <x:c r="X471" s="7" t="n">
        <x:f>IF(OR(ISBLANK(W471),ISBLANK(R471)),"",W471-R471)</x:f>
        <x:v>530.3620000000005</x:v>
      </x:c>
      <x:c r="Y471" s="8" t="n">
        <x:f>IF(OR(ISBLANK(W471),W471=0),"",X471/W471)</x:f>
        <x:v>0.18857436243147527</x:v>
      </x:c>
      <x:c r="Z471" s="9" t="n">
        <x:f>IF(OR(ISBLANK(B471),ISBLANK(C471)),"",C471-B471)</x:f>
        <x:v>6</x:v>
      </x:c>
      <x:c r="AA471" t="str">
        <x:f>IF(ISBLANK(B471),"",TEXT(B471,"mmm"))</x:f>
        <x:v>Jan</x:v>
      </x:c>
      <x:c r="AB471" s="9" t="n">
        <x:f>IF(ISBLANK(B471),"",YEAR(B471))</x:f>
        <x:v>2024</x:v>
      </x:c>
      <x:c r="AC471" s="10" t="str"/>
      <x:c r="AD471" t="str">
        <x:f>IF(AND(U471="Completed",T471="Paid",ISERROR(SEARCH("INVALID",AC471)),ISERROR(SEARCH("REVIEW",AC471))),"Include","Exclude")</x:f>
        <x:v>Include</x:v>
      </x:c>
      <x:c r="AE471" t="str">
        <x:f>IF(T471="Refunded","Refunded","")</x:f>
      </x:c>
    </x:row>
    <x:row r="472">
      <x:c r="A472" t="str">
        <x:v>ORD-2024-10471</x:v>
      </x:c>
      <x:c r="B472" s="5" t="n">
        <x:v>45501</x:v>
      </x:c>
      <x:c r="C472" s="5" t="n">
        <x:v>45504</x:v>
      </x:c>
      <x:c r="D472" t="str">
        <x:v>CUST-4970</x:v>
      </x:c>
      <x:c r="E472" t="str">
        <x:v>Aditi Sen</x:v>
      </x:c>
      <x:c r="F472" t="str">
        <x:v>Consumer</x:v>
      </x:c>
      <x:c r="G472" t="str">
        <x:v>North</x:v>
      </x:c>
      <x:c r="H472" t="str">
        <x:v>Rajasthan</x:v>
      </x:c>
      <x:c r="I472" t="str">
        <x:v>Jaipur</x:v>
      </x:c>
      <x:c r="J472" t="str">
        <x:v>Furniture</x:v>
      </x:c>
      <x:c r="K472" t="str">
        <x:v>Tables</x:v>
      </x:c>
      <x:c r="L472" t="str">
        <x:v>Pro Tables 833</x:v>
      </x:c>
      <x:c r="M472" t="str">
        <x:v>Same Day</x:v>
      </x:c>
      <x:c r="N472" t="n">
        <x:v>2</x:v>
      </x:c>
      <x:c r="O472" s="7" t="n">
        <x:v>4424.78</x:v>
      </x:c>
      <x:c r="P472" s="6" t="n">
        <x:v>0.2</x:v>
      </x:c>
      <x:c r="Q472" s="7" t="n">
        <x:v>7079.65</x:v>
      </x:c>
      <x:c r="R472" s="7" t="n">
        <x:v>4465.91</x:v>
      </x:c>
      <x:c r="S472" s="7" t="n">
        <x:v>2613.74</x:v>
      </x:c>
      <x:c r="T472" t="str">
        <x:v>Paid</x:v>
      </x:c>
      <x:c r="U472" t="str">
        <x:v>Completed</x:v>
      </x:c>
      <x:c r="V472" s="6" t="n">
        <x:f>IF(ISBLANK(P472),IF(AND(ISNUMBER(N472),N472&gt;0,ISNUMBER(O472),O472&gt;=0,ISNUMBER(Q472),Q472&gt;=0,ISNUMBER(R472),R472&gt;=0,ISNUMBER(S472)),0,""),P472)</x:f>
        <x:v>0.2</x:v>
      </x:c>
      <x:c r="W472" s="7" t="n">
        <x:f>IF(ISBLANK(V472),"",N472*O472*(1-V472))</x:f>
        <x:v>7079.648</x:v>
      </x:c>
      <x:c r="X472" s="7" t="n">
        <x:f>IF(OR(ISBLANK(W472),ISBLANK(R472)),"",W472-R472)</x:f>
        <x:v>2613.7380000000003</x:v>
      </x:c>
      <x:c r="Y472" s="8" t="n">
        <x:f>IF(OR(ISBLANK(W472),W472=0),"",X472/W472)</x:f>
        <x:v>0.36919038912669105</x:v>
      </x:c>
      <x:c r="Z472" s="9" t="n">
        <x:f>IF(OR(ISBLANK(B472),ISBLANK(C472)),"",C472-B472)</x:f>
        <x:v>3</x:v>
      </x:c>
      <x:c r="AA472" t="str">
        <x:f>IF(ISBLANK(B472),"",TEXT(B472,"mmm"))</x:f>
        <x:v>Jul</x:v>
      </x:c>
      <x:c r="AB472" s="9" t="n">
        <x:f>IF(ISBLANK(B472),"",YEAR(B472))</x:f>
        <x:v>2024</x:v>
      </x:c>
      <x:c r="AC472" s="10" t="str"/>
      <x:c r="AD472" t="str">
        <x:f>IF(AND(U472="Completed",T472="Paid",ISERROR(SEARCH("INVALID",AC472)),ISERROR(SEARCH("REVIEW",AC472))),"Include","Exclude")</x:f>
        <x:v>Include</x:v>
      </x:c>
      <x:c r="AE472" t="str">
        <x:f>IF(T472="Refunded","Refunded","")</x:f>
      </x:c>
    </x:row>
    <x:row r="473">
      <x:c r="A473" t="str">
        <x:v>ORD-2024-10472</x:v>
      </x:c>
      <x:c r="B473" s="5" t="n">
        <x:v>45333</x:v>
      </x:c>
      <x:c r="C473" s="5" t="n">
        <x:v>45337</x:v>
      </x:c>
      <x:c r="D473" t="str">
        <x:v>CUST-6147</x:v>
      </x:c>
      <x:c r="E473" t="str">
        <x:v>Kabir Singh</x:v>
      </x:c>
      <x:c r="F473" t="str">
        <x:v>Consumer</x:v>
      </x:c>
      <x:c r="G473" t="str">
        <x:v>South</x:v>
      </x:c>
      <x:c r="H473" t="str">
        <x:v>Telangana</x:v>
      </x:c>
      <x:c r="I473" t="str">
        <x:v>Hyderabad</x:v>
      </x:c>
      <x:c r="J473" t="str">
        <x:v>Office Supplies</x:v>
      </x:c>
      <x:c r="K473" t="str">
        <x:v>Binders</x:v>
      </x:c>
      <x:c r="L473" t="str">
        <x:v>Prime Binders 497</x:v>
      </x:c>
      <x:c r="M473" t="str">
        <x:v>Standard Class</x:v>
      </x:c>
      <x:c r="N473" t="n">
        <x:v>3</x:v>
      </x:c>
      <x:c r="O473" s="7" t="n">
        <x:v>3019.14</x:v>
      </x:c>
      <x:c r="P473" s="6" t="n">
        <x:v>0.25</x:v>
      </x:c>
      <x:c r="Q473" s="7" t="n">
        <x:v>6793.07</x:v>
      </x:c>
      <x:c r="R473" s="7" t="n">
        <x:v>4985.22</x:v>
      </x:c>
      <x:c r="S473" s="7" t="n">
        <x:v>1807.85</x:v>
      </x:c>
      <x:c r="T473" t="str">
        <x:v>Paid</x:v>
      </x:c>
      <x:c r="U473" t="str">
        <x:v>Completed</x:v>
      </x:c>
      <x:c r="V473" s="6" t="n">
        <x:f>IF(ISBLANK(P473),IF(AND(ISNUMBER(N473),N473&gt;0,ISNUMBER(O473),O473&gt;=0,ISNUMBER(Q473),Q473&gt;=0,ISNUMBER(R473),R473&gt;=0,ISNUMBER(S473)),0,""),P473)</x:f>
        <x:v>0.25</x:v>
      </x:c>
      <x:c r="W473" s="7" t="n">
        <x:f>IF(ISBLANK(V473),"",N473*O473*(1-V473))</x:f>
        <x:v>6793.0650000000005</x:v>
      </x:c>
      <x:c r="X473" s="7" t="n">
        <x:f>IF(OR(ISBLANK(W473),ISBLANK(R473)),"",W473-R473)</x:f>
        <x:v>1807.8450000000003</x:v>
      </x:c>
      <x:c r="Y473" s="8" t="n">
        <x:f>IF(OR(ISBLANK(W473),W473=0),"",X473/W473)</x:f>
        <x:v>0.2661309732793665</x:v>
      </x:c>
      <x:c r="Z473" s="9" t="n">
        <x:f>IF(OR(ISBLANK(B473),ISBLANK(C473)),"",C473-B473)</x:f>
        <x:v>4</x:v>
      </x:c>
      <x:c r="AA473" t="str">
        <x:f>IF(ISBLANK(B473),"",TEXT(B473,"mmm"))</x:f>
        <x:v>Feb</x:v>
      </x:c>
      <x:c r="AB473" s="9" t="n">
        <x:f>IF(ISBLANK(B473),"",YEAR(B473))</x:f>
        <x:v>2024</x:v>
      </x:c>
      <x:c r="AC473" s="10" t="str"/>
      <x:c r="AD473" t="str">
        <x:f>IF(AND(U473="Completed",T473="Paid",ISERROR(SEARCH("INVALID",AC473)),ISERROR(SEARCH("REVIEW",AC473))),"Include","Exclude")</x:f>
        <x:v>Include</x:v>
      </x:c>
      <x:c r="AE473" t="str">
        <x:f>IF(T473="Refunded","Refunded","")</x:f>
      </x:c>
    </x:row>
    <x:row r="474">
      <x:c r="A474" t="str">
        <x:v>ORD-2024-10473</x:v>
      </x:c>
      <x:c r="B474" s="5" t="n">
        <x:v>45353</x:v>
      </x:c>
      <x:c r="C474" s="5" t="n">
        <x:v>45358</x:v>
      </x:c>
      <x:c r="D474" t="str">
        <x:v>CUST-7208</x:v>
      </x:c>
      <x:c r="E474" t="str">
        <x:v>Rohan Mehta</x:v>
      </x:c>
      <x:c r="F474" t="str">
        <x:v>Corporate</x:v>
      </x:c>
      <x:c r="G474" t="str">
        <x:v>East</x:v>
      </x:c>
      <x:c r="H474" t="str">
        <x:v>Odisha</x:v>
      </x:c>
      <x:c r="I474" t="str">
        <x:v>Bhubaneswar</x:v>
      </x:c>
      <x:c r="J474" t="str">
        <x:v>Office Supplies</x:v>
      </x:c>
      <x:c r="K474" t="str">
        <x:v>Storage</x:v>
      </x:c>
      <x:c r="L474" t="str">
        <x:v>Pro Storage 756</x:v>
      </x:c>
      <x:c r="M474" t="str">
        <x:v>Standard Class</x:v>
      </x:c>
      <x:c r="N474" t="n">
        <x:v>7</x:v>
      </x:c>
      <x:c r="O474" s="7" t="n">
        <x:v>263.46</x:v>
      </x:c>
      <x:c r="P474" s="6" t="n">
        <x:v>0</x:v>
      </x:c>
      <x:c r="Q474" s="7" t="n">
        <x:v>1844.22</x:v>
      </x:c>
      <x:c r="R474" s="7" t="n">
        <x:v>1094.21</x:v>
      </x:c>
      <x:c r="S474" s="7" t="n">
        <x:v>750.01</x:v>
      </x:c>
      <x:c r="T474" t="str">
        <x:v>Paid</x:v>
      </x:c>
      <x:c r="U474" t="str">
        <x:v>Completed</x:v>
      </x:c>
      <x:c r="V474" s="6" t="n">
        <x:f>IF(ISBLANK(P474),IF(AND(ISNUMBER(N474),N474&gt;0,ISNUMBER(O474),O474&gt;=0,ISNUMBER(Q474),Q474&gt;=0,ISNUMBER(R474),R474&gt;=0,ISNUMBER(S474)),0,""),P474)</x:f>
        <x:v>0</x:v>
      </x:c>
      <x:c r="W474" s="7" t="n">
        <x:f>IF(ISBLANK(V474),"",N474*O474*(1-V474))</x:f>
        <x:v>1844.2199999999998</x:v>
      </x:c>
      <x:c r="X474" s="7" t="n">
        <x:f>IF(OR(ISBLANK(W474),ISBLANK(R474)),"",W474-R474)</x:f>
        <x:v>750.0099999999998</x:v>
      </x:c>
      <x:c r="Y474" s="8" t="n">
        <x:f>IF(OR(ISBLANK(W474),W474=0),"",X474/W474)</x:f>
        <x:v>0.40668141544934977</x:v>
      </x:c>
      <x:c r="Z474" s="9" t="n">
        <x:f>IF(OR(ISBLANK(B474),ISBLANK(C474)),"",C474-B474)</x:f>
        <x:v>5</x:v>
      </x:c>
      <x:c r="AA474" t="str">
        <x:f>IF(ISBLANK(B474),"",TEXT(B474,"mmm"))</x:f>
        <x:v>Mar</x:v>
      </x:c>
      <x:c r="AB474" s="9" t="n">
        <x:f>IF(ISBLANK(B474),"",YEAR(B474))</x:f>
        <x:v>2024</x:v>
      </x:c>
      <x:c r="AC474" s="10" t="str"/>
      <x:c r="AD474" t="str">
        <x:f>IF(AND(U474="Completed",T474="Paid",ISERROR(SEARCH("INVALID",AC474)),ISERROR(SEARCH("REVIEW",AC474))),"Include","Exclude")</x:f>
        <x:v>Include</x:v>
      </x:c>
      <x:c r="AE474" t="str">
        <x:f>IF(T474="Refunded","Refunded","")</x:f>
      </x:c>
    </x:row>
    <x:row r="475">
      <x:c r="A475" t="str">
        <x:v>ORD-2024-10474</x:v>
      </x:c>
      <x:c r="B475" s="5" t="n">
        <x:v>45609</x:v>
      </x:c>
      <x:c r="C475" s="5" t="n">
        <x:v>45609</x:v>
      </x:c>
      <x:c r="D475" t="str">
        <x:v>CUST-2794</x:v>
      </x:c>
      <x:c r="E475" t="str">
        <x:v>Priya Menon</x:v>
      </x:c>
      <x:c r="F475" t="str">
        <x:v>Consumer</x:v>
      </x:c>
      <x:c r="G475" t="str">
        <x:v>West</x:v>
      </x:c>
      <x:c r="H475" t="str">
        <x:v>Goa</x:v>
      </x:c>
      <x:c r="I475" t="str">
        <x:v>Panaji</x:v>
      </x:c>
      <x:c r="J475" t="str">
        <x:v>Technology</x:v>
      </x:c>
      <x:c r="K475" t="str">
        <x:v>Copiers</x:v>
      </x:c>
      <x:c r="L475" t="str">
        <x:v>Max Copiers 829</x:v>
      </x:c>
      <x:c r="M475" t="str">
        <x:v>Standard Class</x:v>
      </x:c>
      <x:c r="N475" t="n">
        <x:v>6</x:v>
      </x:c>
      <x:c r="O475" s="7" t="n">
        <x:v>191.45</x:v>
      </x:c>
      <x:c r="P475" s="6" t="n">
        <x:v>0.2</x:v>
      </x:c>
      <x:c r="Q475" s="7" t="n">
        <x:v>918.96</x:v>
      </x:c>
      <x:c r="R475" s="7" t="n">
        <x:v>554.18</x:v>
      </x:c>
      <x:c r="S475" s="7" t="n">
        <x:v>364.78</x:v>
      </x:c>
      <x:c r="T475" t="str">
        <x:v>Paid</x:v>
      </x:c>
      <x:c r="U475" t="str">
        <x:v>Completed</x:v>
      </x:c>
      <x:c r="V475" s="6" t="n">
        <x:f>IF(ISBLANK(P475),IF(AND(ISNUMBER(N475),N475&gt;0,ISNUMBER(O475),O475&gt;=0,ISNUMBER(Q475),Q475&gt;=0,ISNUMBER(R475),R475&gt;=0,ISNUMBER(S475)),0,""),P475)</x:f>
        <x:v>0.2</x:v>
      </x:c>
      <x:c r="W475" s="7" t="n">
        <x:f>IF(ISBLANK(V475),"",N475*O475*(1-V475))</x:f>
        <x:v>918.9599999999999</x:v>
      </x:c>
      <x:c r="X475" s="7" t="n">
        <x:f>IF(OR(ISBLANK(W475),ISBLANK(R475)),"",W475-R475)</x:f>
        <x:v>364.78</x:v>
      </x:c>
      <x:c r="Y475" s="8" t="n">
        <x:f>IF(OR(ISBLANK(W475),W475=0),"",X475/W475)</x:f>
        <x:v>0.39694872464525116</x:v>
      </x:c>
      <x:c r="Z475" s="9" t="n">
        <x:f>IF(OR(ISBLANK(B475),ISBLANK(C475)),"",C475-B475)</x:f>
        <x:v>0</x:v>
      </x:c>
      <x:c r="AA475" t="str">
        <x:f>IF(ISBLANK(B475),"",TEXT(B475,"mmm"))</x:f>
        <x:v>Nov</x:v>
      </x:c>
      <x:c r="AB475" s="9" t="n">
        <x:f>IF(ISBLANK(B475),"",YEAR(B475))</x:f>
        <x:v>2024</x:v>
      </x:c>
      <x:c r="AC475" s="10" t="str"/>
      <x:c r="AD475" t="str">
        <x:f>IF(AND(U475="Completed",T475="Paid",ISERROR(SEARCH("INVALID",AC475)),ISERROR(SEARCH("REVIEW",AC475))),"Include","Exclude")</x:f>
        <x:v>Include</x:v>
      </x:c>
      <x:c r="AE475" t="str">
        <x:f>IF(T475="Refunded","Refunded","")</x:f>
      </x:c>
    </x:row>
    <x:row r="476">
      <x:c r="A476" t="str">
        <x:v>ORD-2024-10475</x:v>
      </x:c>
      <x:c r="B476" s="5" t="n">
        <x:v>45446</x:v>
      </x:c>
      <x:c r="C476" s="5" t="n">
        <x:v>45453</x:v>
      </x:c>
      <x:c r="D476" t="str">
        <x:v>CUST-6249</x:v>
      </x:c>
      <x:c r="E476" t="str">
        <x:v>Diya Patel</x:v>
      </x:c>
      <x:c r="F476" t="str">
        <x:v>Corporate</x:v>
      </x:c>
      <x:c r="G476" t="str">
        <x:v>North</x:v>
      </x:c>
      <x:c r="H476" t="str">
        <x:v>Punjab</x:v>
      </x:c>
      <x:c r="I476" t="str">
        <x:v>Ludhiana</x:v>
      </x:c>
      <x:c r="J476" t="str">
        <x:v>Furniture</x:v>
      </x:c>
      <x:c r="K476" t="str">
        <x:v>Furnishings</x:v>
      </x:c>
      <x:c r="L476" t="str">
        <x:v>Prime Furnishings 827</x:v>
      </x:c>
      <x:c r="M476" t="str">
        <x:v>Standard Class</x:v>
      </x:c>
      <x:c r="N476" t="n">
        <x:v>3</x:v>
      </x:c>
      <x:c r="O476" s="7" t="n">
        <x:v>1633.57</x:v>
      </x:c>
      <x:c r="P476" s="6" t="n">
        <x:v>0</x:v>
      </x:c>
      <x:c r="Q476" s="7" t="n">
        <x:v>4900.71</x:v>
      </x:c>
      <x:c r="R476" s="7" t="n">
        <x:v>2713.9</x:v>
      </x:c>
      <x:c r="S476" s="7" t="n">
        <x:v>2186.81</x:v>
      </x:c>
      <x:c r="T476" t="str">
        <x:v>Paid</x:v>
      </x:c>
      <x:c r="U476" t="str">
        <x:v>Completed</x:v>
      </x:c>
      <x:c r="V476" s="6" t="n">
        <x:f>IF(ISBLANK(P476),IF(AND(ISNUMBER(N476),N476&gt;0,ISNUMBER(O476),O476&gt;=0,ISNUMBER(Q476),Q476&gt;=0,ISNUMBER(R476),R476&gt;=0,ISNUMBER(S476)),0,""),P476)</x:f>
        <x:v>0</x:v>
      </x:c>
      <x:c r="W476" s="7" t="n">
        <x:f>IF(ISBLANK(V476),"",N476*O476*(1-V476))</x:f>
        <x:v>4900.71</x:v>
      </x:c>
      <x:c r="X476" s="7" t="n">
        <x:f>IF(OR(ISBLANK(W476),ISBLANK(R476)),"",W476-R476)</x:f>
        <x:v>2186.81</x:v>
      </x:c>
      <x:c r="Y476" s="8" t="n">
        <x:f>IF(OR(ISBLANK(W476),W476=0),"",X476/W476)</x:f>
        <x:v>0.44622309828575857</x:v>
      </x:c>
      <x:c r="Z476" s="9" t="n">
        <x:f>IF(OR(ISBLANK(B476),ISBLANK(C476)),"",C476-B476)</x:f>
        <x:v>7</x:v>
      </x:c>
      <x:c r="AA476" t="str">
        <x:f>IF(ISBLANK(B476),"",TEXT(B476,"mmm"))</x:f>
        <x:v>Jun</x:v>
      </x:c>
      <x:c r="AB476" s="9" t="n">
        <x:f>IF(ISBLANK(B476),"",YEAR(B476))</x:f>
        <x:v>2024</x:v>
      </x:c>
      <x:c r="AC476" s="10" t="str"/>
      <x:c r="AD476" t="str">
        <x:f>IF(AND(U476="Completed",T476="Paid",ISERROR(SEARCH("INVALID",AC476)),ISERROR(SEARCH("REVIEW",AC476))),"Include","Exclude")</x:f>
        <x:v>Include</x:v>
      </x:c>
      <x:c r="AE476" t="str">
        <x:f>IF(T476="Refunded","Refunded","")</x:f>
      </x:c>
    </x:row>
    <x:row r="477">
      <x:c r="A477" t="str">
        <x:v>ORD-2025-10476</x:v>
      </x:c>
      <x:c r="B477" s="5" t="n">
        <x:v>45717</x:v>
      </x:c>
      <x:c r="C477" s="5" t="n">
        <x:v>45724</x:v>
      </x:c>
      <x:c r="D477" t="str">
        <x:v>CUST-5712</x:v>
      </x:c>
      <x:c r="E477" t="str">
        <x:v>Vikram Iyer</x:v>
      </x:c>
      <x:c r="F477" t="str">
        <x:v>Consumer</x:v>
      </x:c>
      <x:c r="G477" t="str">
        <x:v>East</x:v>
      </x:c>
      <x:c r="H477" t="str">
        <x:v>West Bengal</x:v>
      </x:c>
      <x:c r="I477" t="str">
        <x:v>Kolkata</x:v>
      </x:c>
      <x:c r="J477" t="str">
        <x:v>Furniture</x:v>
      </x:c>
      <x:c r="K477" t="str">
        <x:v>Chairs</x:v>
      </x:c>
      <x:c r="L477" t="str">
        <x:v>Eco Chairs 365</x:v>
      </x:c>
      <x:c r="M477" t="str">
        <x:v>Same Day</x:v>
      </x:c>
      <x:c r="N477" t="n">
        <x:v>8</x:v>
      </x:c>
      <x:c r="O477" s="7" t="n">
        <x:v>3378.82</x:v>
      </x:c>
      <x:c r="P477" s="6" t="n">
        <x:v>0.25</x:v>
      </x:c>
      <x:c r="Q477" s="7" t="n">
        <x:v>20272.92</x:v>
      </x:c>
      <x:c r="R477" s="7" t="n">
        <x:v>15873.38</x:v>
      </x:c>
      <x:c r="S477" s="7" t="n">
        <x:v>4399.54</x:v>
      </x:c>
      <x:c r="T477" t="str">
        <x:v>Pending</x:v>
      </x:c>
      <x:c r="U477" t="str">
        <x:v>Returned</x:v>
      </x:c>
      <x:c r="V477" s="6" t="n">
        <x:f>IF(ISBLANK(P477),IF(AND(ISNUMBER(N477),N477&gt;0,ISNUMBER(O477),O477&gt;=0,ISNUMBER(Q477),Q477&gt;=0,ISNUMBER(R477),R477&gt;=0,ISNUMBER(S477)),0,""),P477)</x:f>
        <x:v>0.25</x:v>
      </x:c>
      <x:c r="W477" s="7" t="n">
        <x:f>IF(ISBLANK(V477),"",N477*O477*(1-V477))</x:f>
        <x:v>20272.920000000002</x:v>
      </x:c>
      <x:c r="X477" s="7" t="n">
        <x:f>IF(OR(ISBLANK(W477),ISBLANK(R477)),"",W477-R477)</x:f>
        <x:v>4399.540000000003</x:v>
      </x:c>
      <x:c r="Y477" s="8" t="n">
        <x:f>IF(OR(ISBLANK(W477),W477=0),"",X477/W477)</x:f>
        <x:v>0.21701560505344086</x:v>
      </x:c>
      <x:c r="Z477" s="9" t="n">
        <x:f>IF(OR(ISBLANK(B477),ISBLANK(C477)),"",C477-B477)</x:f>
        <x:v>7</x:v>
      </x:c>
      <x:c r="AA477" t="str">
        <x:f>IF(ISBLANK(B477),"",TEXT(B477,"mmm"))</x:f>
        <x:v>Mar</x:v>
      </x:c>
      <x:c r="AB477" s="9" t="n">
        <x:f>IF(ISBLANK(B477),"",YEAR(B477))</x:f>
        <x:v>2025</x:v>
      </x:c>
      <x:c r="AC477" s="10" t="str"/>
      <x:c r="AD477" t="str">
        <x:f>IF(AND(U477="Completed",T477="Paid",ISERROR(SEARCH("INVALID",AC477)),ISERROR(SEARCH("REVIEW",AC477))),"Include","Exclude")</x:f>
        <x:v>Exclude</x:v>
      </x:c>
      <x:c r="AE477" t="str">
        <x:f>IF(T477="Refunded","Refunded","")</x:f>
      </x:c>
    </x:row>
    <x:row r="478">
      <x:c r="A478" t="str">
        <x:v>ORD-2024-10477</x:v>
      </x:c>
      <x:c r="B478" s="5" t="n">
        <x:v>45419</x:v>
      </x:c>
      <x:c r="C478" s="5" t="n">
        <x:v>45426</x:v>
      </x:c>
      <x:c r="D478" t="str">
        <x:v>CUST-3004</x:v>
      </x:c>
      <x:c r="E478" t="str">
        <x:v>Sneha Kapoor</x:v>
      </x:c>
      <x:c r="F478" t="str">
        <x:v>Small Business</x:v>
      </x:c>
      <x:c r="G478" t="str">
        <x:v>North</x:v>
      </x:c>
      <x:c r="H478" t="str">
        <x:v>Rajasthan</x:v>
      </x:c>
      <x:c r="I478" t="str">
        <x:v>Jaipur</x:v>
      </x:c>
      <x:c r="J478" t="str">
        <x:v>Office Supplies</x:v>
      </x:c>
      <x:c r="K478" t="str">
        <x:v>Storage</x:v>
      </x:c>
      <x:c r="L478" t="str">
        <x:v>Classic Storage 545</x:v>
      </x:c>
      <x:c r="M478" t="str">
        <x:v>First Class</x:v>
      </x:c>
      <x:c r="N478" t="n">
        <x:v>3</x:v>
      </x:c>
      <x:c r="O478" s="7" t="n">
        <x:v>383.58</x:v>
      </x:c>
      <x:c r="P478" s="6" t="n">
        <x:v>0.1</x:v>
      </x:c>
      <x:c r="Q478" s="7" t="n">
        <x:v>1035.67</x:v>
      </x:c>
      <x:c r="R478" s="7" t="n">
        <x:v>595.42</x:v>
      </x:c>
      <x:c r="S478" s="7" t="n">
        <x:v>440.25</x:v>
      </x:c>
      <x:c r="T478" t="str">
        <x:v>Paid</x:v>
      </x:c>
      <x:c r="U478" t="str">
        <x:v>Completed</x:v>
      </x:c>
      <x:c r="V478" s="6" t="n">
        <x:f>IF(ISBLANK(P478),IF(AND(ISNUMBER(N478),N478&gt;0,ISNUMBER(O478),O478&gt;=0,ISNUMBER(Q478),Q478&gt;=0,ISNUMBER(R478),R478&gt;=0,ISNUMBER(S478)),0,""),P478)</x:f>
        <x:v>0.1</x:v>
      </x:c>
      <x:c r="W478" s="7" t="n">
        <x:f>IF(ISBLANK(V478),"",N478*O478*(1-V478))</x:f>
        <x:v>1035.666</x:v>
      </x:c>
      <x:c r="X478" s="7" t="n">
        <x:f>IF(OR(ISBLANK(W478),ISBLANK(R478)),"",W478-R478)</x:f>
        <x:v>440.246</x:v>
      </x:c>
      <x:c r="Y478" s="8" t="n">
        <x:f>IF(OR(ISBLANK(W478),W478=0),"",X478/W478)</x:f>
        <x:v>0.42508492120046426</x:v>
      </x:c>
      <x:c r="Z478" s="9" t="n">
        <x:f>IF(OR(ISBLANK(B478),ISBLANK(C478)),"",C478-B478)</x:f>
        <x:v>7</x:v>
      </x:c>
      <x:c r="AA478" t="str">
        <x:f>IF(ISBLANK(B478),"",TEXT(B478,"mmm"))</x:f>
        <x:v>May</x:v>
      </x:c>
      <x:c r="AB478" s="9" t="n">
        <x:f>IF(ISBLANK(B478),"",YEAR(B478))</x:f>
        <x:v>2024</x:v>
      </x:c>
      <x:c r="AC478" s="10" t="str"/>
      <x:c r="AD478" t="str">
        <x:f>IF(AND(U478="Completed",T478="Paid",ISERROR(SEARCH("INVALID",AC478)),ISERROR(SEARCH("REVIEW",AC478))),"Include","Exclude")</x:f>
        <x:v>Include</x:v>
      </x:c>
      <x:c r="AE478" t="str">
        <x:f>IF(T478="Refunded","Refunded","")</x:f>
      </x:c>
    </x:row>
    <x:row r="479">
      <x:c r="A479" t="str">
        <x:v>ORD-2025-10478</x:v>
      </x:c>
      <x:c r="B479" s="5" t="n">
        <x:v>45892</x:v>
      </x:c>
      <x:c r="C479" s="5" t="n">
        <x:v>45897</x:v>
      </x:c>
      <x:c r="D479" t="str">
        <x:v>CUST-6920</x:v>
      </x:c>
      <x:c r="E479" t="str">
        <x:v>Vikram Iyer</x:v>
      </x:c>
      <x:c r="F479" t="str">
        <x:v>Corporate</x:v>
      </x:c>
      <x:c r="G479" t="str">
        <x:v>West</x:v>
      </x:c>
      <x:c r="H479" t="str">
        <x:v>Gujarat</x:v>
      </x:c>
      <x:c r="I479" t="str">
        <x:v>Ahmedabad</x:v>
      </x:c>
      <x:c r="J479" t="str">
        <x:v>Furniture</x:v>
      </x:c>
      <x:c r="K479" t="str">
        <x:v>Chairs</x:v>
      </x:c>
      <x:c r="L479" t="str">
        <x:v>Pro Chairs 186</x:v>
      </x:c>
      <x:c r="M479" t="str">
        <x:v>Standard Class</x:v>
      </x:c>
      <x:c r="N479" t="n">
        <x:v>6</x:v>
      </x:c>
      <x:c r="O479" s="7" t="n">
        <x:v>2193.23</x:v>
      </x:c>
      <x:c r="P479" s="6" t="n">
        <x:v>0.1</x:v>
      </x:c>
      <x:c r="Q479" s="7" t="n">
        <x:v>11843.44</x:v>
      </x:c>
      <x:c r="R479" s="7" t="n">
        <x:v>9356.88</x:v>
      </x:c>
      <x:c r="S479" s="7" t="n">
        <x:v>2486.56</x:v>
      </x:c>
      <x:c r="T479" t="str">
        <x:v>Paid</x:v>
      </x:c>
      <x:c r="U479" t="str">
        <x:v>Cancelled</x:v>
      </x:c>
      <x:c r="V479" s="6" t="n">
        <x:f>IF(ISBLANK(P479),IF(AND(ISNUMBER(N479),N479&gt;0,ISNUMBER(O479),O479&gt;=0,ISNUMBER(Q479),Q479&gt;=0,ISNUMBER(R479),R479&gt;=0,ISNUMBER(S479)),0,""),P479)</x:f>
        <x:v>0.1</x:v>
      </x:c>
      <x:c r="W479" s="7" t="n">
        <x:f>IF(ISBLANK(V479),"",N479*O479*(1-V479))</x:f>
        <x:v>11843.442000000001</x:v>
      </x:c>
      <x:c r="X479" s="7" t="n">
        <x:f>IF(OR(ISBLANK(W479),ISBLANK(R479)),"",W479-R479)</x:f>
        <x:v>2486.5620000000017</x:v>
      </x:c>
      <x:c r="Y479" s="8" t="n">
        <x:f>IF(OR(ISBLANK(W479),W479=0),"",X479/W479)</x:f>
        <x:v>0.20995264721184953</x:v>
      </x:c>
      <x:c r="Z479" s="9" t="n">
        <x:f>IF(OR(ISBLANK(B479),ISBLANK(C479)),"",C479-B479)</x:f>
        <x:v>5</x:v>
      </x:c>
      <x:c r="AA479" t="str">
        <x:f>IF(ISBLANK(B479),"",TEXT(B479,"mmm"))</x:f>
        <x:v>Aug</x:v>
      </x:c>
      <x:c r="AB479" s="9" t="n">
        <x:f>IF(ISBLANK(B479),"",YEAR(B479))</x:f>
        <x:v>2025</x:v>
      </x:c>
      <x:c r="AC479" s="10" t="str">
        <x:v>EXCLUDE: Cancelled order</x:v>
      </x:c>
      <x:c r="AD479" t="str">
        <x:f>IF(AND(U479="Completed",T479="Paid",ISERROR(SEARCH("INVALID",AC479)),ISERROR(SEARCH("REVIEW",AC479))),"Include","Exclude")</x:f>
        <x:v>Exclude</x:v>
      </x:c>
      <x:c r="AE479" t="str">
        <x:f>IF(T479="Refunded","Refunded","")</x:f>
      </x:c>
    </x:row>
    <x:row r="480">
      <x:c r="A480" t="str">
        <x:v>ORD-2024-10479</x:v>
      </x:c>
      <x:c r="B480" s="5" t="n">
        <x:v>45452</x:v>
      </x:c>
      <x:c r="C480" s="5" t="n">
        <x:v>45456</x:v>
      </x:c>
      <x:c r="D480" t="str">
        <x:v>CUST-4838</x:v>
      </x:c>
      <x:c r="E480" t="str">
        <x:v>Mira Das</x:v>
      </x:c>
      <x:c r="F480" t="str">
        <x:v>Home Office</x:v>
      </x:c>
      <x:c r="G480" t="str">
        <x:v>Unknown</x:v>
      </x:c>
      <x:c r="H480" t="str">
        <x:v>Uttar Pradesh</x:v>
      </x:c>
      <x:c r="I480" t="str">
        <x:v>Noida</x:v>
      </x:c>
      <x:c r="J480" t="str">
        <x:v>Technology</x:v>
      </x:c>
      <x:c r="K480" t="str">
        <x:v>Machines</x:v>
      </x:c>
      <x:c r="L480" t="str">
        <x:v>Classic Machines 561</x:v>
      </x:c>
      <x:c r="M480" t="str">
        <x:v>Same Day</x:v>
      </x:c>
      <x:c r="N480" t="n">
        <x:v>7</x:v>
      </x:c>
      <x:c r="O480" s="7" t="n">
        <x:v>4079.71</x:v>
      </x:c>
      <x:c r="P480" s="6" t="n">
        <x:v>0.1</x:v>
      </x:c>
      <x:c r="Q480" s="7" t="n">
        <x:v>25702.17</x:v>
      </x:c>
      <x:c r="R480" s="7" t="n">
        <x:v>14571.48</x:v>
      </x:c>
      <x:c r="S480" s="7" t="n">
        <x:v>11130.69</x:v>
      </x:c>
      <x:c r="T480" t="str">
        <x:v>Refunded</x:v>
      </x:c>
      <x:c r="U480" t="str">
        <x:v>Returned</x:v>
      </x:c>
      <x:c r="V480" s="6" t="n">
        <x:f>IF(ISBLANK(P480),IF(AND(ISNUMBER(N480),N480&gt;0,ISNUMBER(O480),O480&gt;=0,ISNUMBER(Q480),Q480&gt;=0,ISNUMBER(R480),R480&gt;=0,ISNUMBER(S480)),0,""),P480)</x:f>
        <x:v>0.1</x:v>
      </x:c>
      <x:c r="W480" s="7" t="n">
        <x:f>IF(ISBLANK(V480),"",N480*O480*(1-V480))</x:f>
        <x:v>25702.173000000003</x:v>
      </x:c>
      <x:c r="X480" s="7" t="n">
        <x:f>IF(OR(ISBLANK(W480),ISBLANK(R480)),"",W480-R480)</x:f>
        <x:v>11130.693000000003</x:v>
      </x:c>
      <x:c r="Y480" s="8" t="n">
        <x:f>IF(OR(ISBLANK(W480),W480=0),"",X480/W480)</x:f>
        <x:v>0.43306427826160854</x:v>
      </x:c>
      <x:c r="Z480" s="9" t="n">
        <x:f>IF(OR(ISBLANK(B480),ISBLANK(C480)),"",C480-B480)</x:f>
        <x:v>4</x:v>
      </x:c>
      <x:c r="AA480" t="str">
        <x:f>IF(ISBLANK(B480),"",TEXT(B480,"mmm"))</x:f>
        <x:v>Jun</x:v>
      </x:c>
      <x:c r="AB480" s="9" t="n">
        <x:f>IF(ISBLANK(B480),"",YEAR(B480))</x:f>
        <x:v>2024</x:v>
      </x:c>
      <x:c r="AC480" s="10" t="str">
        <x:v>FLAG: Missing region filled as Unknown; REFUND: Summarize separately</x:v>
      </x:c>
      <x:c r="AD480" t="str">
        <x:f>IF(AND(U480="Completed",T480="Paid",ISERROR(SEARCH("INVALID",AC480)),ISERROR(SEARCH("REVIEW",AC480))),"Include","Exclude")</x:f>
        <x:v>Exclude</x:v>
      </x:c>
      <x:c r="AE480" t="str">
        <x:f>IF(T480="Refunded","Refunded","")</x:f>
        <x:v>Refunded</x:v>
      </x:c>
    </x:row>
    <x:row r="481">
      <x:c r="A481" t="str">
        <x:v>ORD-2024-10480</x:v>
      </x:c>
      <x:c r="B481" s="5" t="n">
        <x:v>45345</x:v>
      </x:c>
      <x:c r="C481" s="5" t="n">
        <x:v>45342</x:v>
      </x:c>
      <x:c r="D481" t="str">
        <x:v>CUST-7520</x:v>
      </x:c>
      <x:c r="E481" t="str">
        <x:v>Arjun Bose</x:v>
      </x:c>
      <x:c r="F481" t="str">
        <x:v>Corporate</x:v>
      </x:c>
      <x:c r="G481" t="str">
        <x:v>East</x:v>
      </x:c>
      <x:c r="H481" t="str">
        <x:v>Odisha</x:v>
      </x:c>
      <x:c r="I481" t="str">
        <x:v>Bhubaneswar</x:v>
      </x:c>
      <x:c r="J481" t="str">
        <x:v>Furniture</x:v>
      </x:c>
      <x:c r="K481" t="str">
        <x:v>Chairs</x:v>
      </x:c>
      <x:c r="L481" t="str">
        <x:v>Max Chairs 594</x:v>
      </x:c>
      <x:c r="M481" t="str">
        <x:v>Second Class</x:v>
      </x:c>
      <x:c r="N481" t="n">
        <x:v>1</x:v>
      </x:c>
      <x:c r="O481" s="7" t="n">
        <x:v>2202.55</x:v>
      </x:c>
      <x:c r="P481" s="6"/>
      <x:c r="Q481" s="7" t="n">
        <x:v>1651.91</x:v>
      </x:c>
      <x:c r="R481" s="7" t="n">
        <x:v>1034.57</x:v>
      </x:c>
      <x:c r="S481" s="7" t="n">
        <x:v>617.34</x:v>
      </x:c>
      <x:c r="T481" t="str">
        <x:v>Paid</x:v>
      </x:c>
      <x:c r="U481" t="str">
        <x:v>Completed</x:v>
      </x:c>
      <x:c r="V481" s="6" t="n">
        <x:f>IF(ISBLANK(P481),IF(AND(ISNUMBER(N481),N481&gt;0,ISNUMBER(O481),O481&gt;=0,ISNUMBER(Q481),Q481&gt;=0,ISNUMBER(R481),R481&gt;=0,ISNUMBER(S481)),0,""),P481)</x:f>
        <x:v>0</x:v>
      </x:c>
      <x:c r="W481" s="7" t="n">
        <x:f>IF(ISBLANK(V481),"",N481*O481*(1-V481))</x:f>
        <x:v>2202.55</x:v>
      </x:c>
      <x:c r="X481" s="7" t="n">
        <x:f>IF(OR(ISBLANK(W481),ISBLANK(R481)),"",W481-R481)</x:f>
        <x:v>1167.9800000000002</x:v>
      </x:c>
      <x:c r="Y481" s="8" t="n">
        <x:f>IF(OR(ISBLANK(W481),W481=0),"",X481/W481)</x:f>
        <x:v>0.5302853510703504</x:v>
      </x:c>
      <x:c r="Z481" s="9" t="n">
        <x:f>IF(OR(ISBLANK(B481),ISBLANK(C481)),"",C481-B481)</x:f>
        <x:v>-3</x:v>
      </x:c>
      <x:c r="AA481" t="str">
        <x:f>IF(ISBLANK(B481),"",TEXT(B481,"mmm"))</x:f>
        <x:v>Feb</x:v>
      </x:c>
      <x:c r="AB481" s="9" t="n">
        <x:f>IF(ISBLANK(B481),"",YEAR(B481))</x:f>
        <x:v>2024</x:v>
      </x:c>
      <x:c r="AC481" s="10" t="str">
        <x:v>FLAG: Missing discount treated as 0; INVALID: Ship date before order date</x:v>
      </x:c>
      <x:c r="AD481" t="str">
        <x:f>IF(AND(U481="Completed",T481="Paid",ISERROR(SEARCH("INVALID",AC481)),ISERROR(SEARCH("REVIEW",AC481))),"Include","Exclude")</x:f>
        <x:v>Exclude</x:v>
      </x:c>
      <x:c r="AE481" t="str">
        <x:f>IF(T481="Refunded","Refunded","")</x:f>
      </x:c>
    </x:row>
    <x:row r="482">
      <x:c r="A482" t="str">
        <x:v>ORD-2025-10481</x:v>
      </x:c>
      <x:c r="B482" s="5" t="n">
        <x:v>45662</x:v>
      </x:c>
      <x:c r="C482" s="5" t="n">
        <x:v>45666</x:v>
      </x:c>
      <x:c r="D482" t="str">
        <x:v>CUST-9947</x:v>
      </x:c>
      <x:c r="E482" t="str">
        <x:v>Neha Gupta</x:v>
      </x:c>
      <x:c r="F482" t="str">
        <x:v>Small Business</x:v>
      </x:c>
      <x:c r="G482" t="str">
        <x:v>South</x:v>
      </x:c>
      <x:c r="H482" t="str">
        <x:v>Tamil Nadu</x:v>
      </x:c>
      <x:c r="I482" t="str">
        <x:v>Chennai</x:v>
      </x:c>
      <x:c r="J482" t="str">
        <x:v>Office Supplies</x:v>
      </x:c>
      <x:c r="K482" t="str">
        <x:v>Storage</x:v>
      </x:c>
      <x:c r="L482" t="str">
        <x:v>Eco Storage 923</x:v>
      </x:c>
      <x:c r="M482" t="str">
        <x:v>Unknown</x:v>
      </x:c>
      <x:c r="N482" t="n">
        <x:v>5</x:v>
      </x:c>
      <x:c r="O482" s="7" t="n">
        <x:v>905.16</x:v>
      </x:c>
      <x:c r="P482" s="6" t="n">
        <x:v>0</x:v>
      </x:c>
      <x:c r="Q482" s="7" t="n">
        <x:v>4525.8</x:v>
      </x:c>
      <x:c r="R482" s="7" t="n">
        <x:v>2714.51</x:v>
      </x:c>
      <x:c r="S482" s="7" t="n">
        <x:v>1811.29</x:v>
      </x:c>
      <x:c r="T482" t="str">
        <x:v>Paid</x:v>
      </x:c>
      <x:c r="U482" t="str">
        <x:v>Completed</x:v>
      </x:c>
      <x:c r="V482" s="6" t="n">
        <x:f>IF(ISBLANK(P482),IF(AND(ISNUMBER(N482),N482&gt;0,ISNUMBER(O482),O482&gt;=0,ISNUMBER(Q482),Q482&gt;=0,ISNUMBER(R482),R482&gt;=0,ISNUMBER(S482)),0,""),P482)</x:f>
        <x:v>0</x:v>
      </x:c>
      <x:c r="W482" s="7" t="n">
        <x:f>IF(ISBLANK(V482),"",N482*O482*(1-V482))</x:f>
        <x:v>4525.8</x:v>
      </x:c>
      <x:c r="X482" s="7" t="n">
        <x:f>IF(OR(ISBLANK(W482),ISBLANK(R482)),"",W482-R482)</x:f>
        <x:v>1811.29</x:v>
      </x:c>
      <x:c r="Y482" s="8" t="n">
        <x:f>IF(OR(ISBLANK(W482),W482=0),"",X482/W482)</x:f>
        <x:v>0.40021432674886204</x:v>
      </x:c>
      <x:c r="Z482" s="9" t="n">
        <x:f>IF(OR(ISBLANK(B482),ISBLANK(C482)),"",C482-B482)</x:f>
        <x:v>4</x:v>
      </x:c>
      <x:c r="AA482" t="str">
        <x:f>IF(ISBLANK(B482),"",TEXT(B482,"mmm"))</x:f>
        <x:v>Jan</x:v>
      </x:c>
      <x:c r="AB482" s="9" t="n">
        <x:f>IF(ISBLANK(B482),"",YEAR(B482))</x:f>
        <x:v>2025</x:v>
      </x:c>
      <x:c r="AC482" s="10" t="str">
        <x:v>FLAG: Missing ship mode filled as Unknown</x:v>
      </x:c>
      <x:c r="AD482" t="str">
        <x:f>IF(AND(U482="Completed",T482="Paid",ISERROR(SEARCH("INVALID",AC482)),ISERROR(SEARCH("REVIEW",AC482))),"Include","Exclude")</x:f>
        <x:v>Include</x:v>
      </x:c>
      <x:c r="AE482" t="str">
        <x:f>IF(T482="Refunded","Refunded","")</x:f>
      </x:c>
    </x:row>
    <x:row r="483">
      <x:c r="A483" t="str">
        <x:v>ORD-2025-10482</x:v>
      </x:c>
      <x:c r="B483" s="5" t="n">
        <x:v>45813</x:v>
      </x:c>
      <x:c r="C483" s="5" t="n">
        <x:v>45821</x:v>
      </x:c>
      <x:c r="D483" t="str">
        <x:v>CUST-4403</x:v>
      </x:c>
      <x:c r="E483" t="str">
        <x:v>Isha Nair</x:v>
      </x:c>
      <x:c r="F483" t="str">
        <x:v>Consumer</x:v>
      </x:c>
      <x:c r="G483" t="str">
        <x:v>North</x:v>
      </x:c>
      <x:c r="H483" t="str">
        <x:v>Uttar Pradesh</x:v>
      </x:c>
      <x:c r="I483" t="str">
        <x:v>Noida</x:v>
      </x:c>
      <x:c r="J483" t="str">
        <x:v>Technology</x:v>
      </x:c>
      <x:c r="K483" t="str">
        <x:v>Machines</x:v>
      </x:c>
      <x:c r="L483" t="str">
        <x:v>Classic Machines 287</x:v>
      </x:c>
      <x:c r="M483" t="str">
        <x:v>Same Day</x:v>
      </x:c>
      <x:c r="N483" t="n">
        <x:v>4</x:v>
      </x:c>
      <x:c r="O483" s="7" t="n">
        <x:v>2793.88</x:v>
      </x:c>
      <x:c r="P483" s="6" t="n">
        <x:v>0.85</x:v>
      </x:c>
      <x:c r="Q483" s="7" t="n">
        <x:v>10616.74</x:v>
      </x:c>
      <x:c r="R483" s="7" t="n">
        <x:v>6353.59</x:v>
      </x:c>
      <x:c r="S483" s="7" t="n">
        <x:v>4263.15</x:v>
      </x:c>
      <x:c r="T483" t="str">
        <x:v>Paid</x:v>
      </x:c>
      <x:c r="U483" t="str">
        <x:v>Completed</x:v>
      </x:c>
      <x:c r="V483" s="6" t="n">
        <x:f>IF(ISBLANK(P483),IF(AND(ISNUMBER(N483),N483&gt;0,ISNUMBER(O483),O483&gt;=0,ISNUMBER(Q483),Q483&gt;=0,ISNUMBER(R483),R483&gt;=0,ISNUMBER(S483)),0,""),P483)</x:f>
        <x:v>0.85</x:v>
      </x:c>
      <x:c r="W483" s="7" t="n">
        <x:f>IF(ISBLANK(V483),"",N483*O483*(1-V483))</x:f>
        <x:v>1676.3280000000002</x:v>
      </x:c>
      <x:c r="X483" s="7" t="n">
        <x:f>IF(OR(ISBLANK(W483),ISBLANK(R483)),"",W483-R483)</x:f>
        <x:v>-4677.262</x:v>
      </x:c>
      <x:c r="Y483" s="8" t="n">
        <x:f>IF(OR(ISBLANK(W483),W483=0),"",X483/W483)</x:f>
        <x:v>-2.7901830667983827</x:v>
      </x:c>
      <x:c r="Z483" s="9" t="n">
        <x:f>IF(OR(ISBLANK(B483),ISBLANK(C483)),"",C483-B483)</x:f>
        <x:v>8</x:v>
      </x:c>
      <x:c r="AA483" t="str">
        <x:f>IF(ISBLANK(B483),"",TEXT(B483,"mmm"))</x:f>
        <x:v>Jun</x:v>
      </x:c>
      <x:c r="AB483" s="9" t="n">
        <x:f>IF(ISBLANK(B483),"",YEAR(B483))</x:f>
        <x:v>2025</x:v>
      </x:c>
      <x:c r="AC483" s="10" t="str">
        <x:v>INVALID: Discount above allowed range</x:v>
      </x:c>
      <x:c r="AD483" t="str">
        <x:f>IF(AND(U483="Completed",T483="Paid",ISERROR(SEARCH("INVALID",AC483)),ISERROR(SEARCH("REVIEW",AC483))),"Include","Exclude")</x:f>
        <x:v>Exclude</x:v>
      </x:c>
      <x:c r="AE483" t="str">
        <x:f>IF(T483="Refunded","Refunded","")</x:f>
      </x:c>
    </x:row>
    <x:row r="484">
      <x:c r="A484" t="str">
        <x:v>ORD-2024-10483</x:v>
      </x:c>
      <x:c r="B484" s="5" t="n">
        <x:v>45495</x:v>
      </x:c>
      <x:c r="C484" s="5" t="n">
        <x:v>45495</x:v>
      </x:c>
      <x:c r="D484" t="str">
        <x:v>CUST-3583</x:v>
      </x:c>
      <x:c r="E484" t="str">
        <x:v>Priya Menon</x:v>
      </x:c>
      <x:c r="F484" t="str">
        <x:v>Consumer</x:v>
      </x:c>
      <x:c r="G484" t="str">
        <x:v>South</x:v>
      </x:c>
      <x:c r="H484" t="str">
        <x:v>Karnataka</x:v>
      </x:c>
      <x:c r="I484" t="str">
        <x:v>Bengaluru</x:v>
      </x:c>
      <x:c r="J484" t="str">
        <x:v>Technology</x:v>
      </x:c>
      <x:c r="K484" t="str">
        <x:v>Accessories</x:v>
      </x:c>
      <x:c r="L484" t="str">
        <x:v>Basic Accessories 518</x:v>
      </x:c>
      <x:c r="M484" t="str">
        <x:v>Second Class</x:v>
      </x:c>
      <x:c r="N484" t="n">
        <x:v>3</x:v>
      </x:c>
      <x:c r="O484" s="7" t="n">
        <x:v>1286.22</x:v>
      </x:c>
      <x:c r="P484" s="6" t="n">
        <x:v>0.25</x:v>
      </x:c>
      <x:c r="Q484" s="7" t="n">
        <x:v>2893.99</x:v>
      </x:c>
      <x:c r="R484" s="7" t="n">
        <x:v>1856.03</x:v>
      </x:c>
      <x:c r="S484" s="7" t="n">
        <x:v>1037.96</x:v>
      </x:c>
      <x:c r="T484" t="str">
        <x:v>Paid</x:v>
      </x:c>
      <x:c r="U484" t="str">
        <x:v>Completed</x:v>
      </x:c>
      <x:c r="V484" s="6" t="n">
        <x:f>IF(ISBLANK(P484),IF(AND(ISNUMBER(N484),N484&gt;0,ISNUMBER(O484),O484&gt;=0,ISNUMBER(Q484),Q484&gt;=0,ISNUMBER(R484),R484&gt;=0,ISNUMBER(S484)),0,""),P484)</x:f>
        <x:v>0.25</x:v>
      </x:c>
      <x:c r="W484" s="7" t="n">
        <x:f>IF(ISBLANK(V484),"",N484*O484*(1-V484))</x:f>
        <x:v>2893.995</x:v>
      </x:c>
      <x:c r="X484" s="7" t="n">
        <x:f>IF(OR(ISBLANK(W484),ISBLANK(R484)),"",W484-R484)</x:f>
        <x:v>1037.965</x:v>
      </x:c>
      <x:c r="Y484" s="8" t="n">
        <x:f>IF(OR(ISBLANK(W484),W484=0),"",X484/W484)</x:f>
        <x:v>0.35866164247001114</x:v>
      </x:c>
      <x:c r="Z484" s="9" t="n">
        <x:f>IF(OR(ISBLANK(B484),ISBLANK(C484)),"",C484-B484)</x:f>
        <x:v>0</x:v>
      </x:c>
      <x:c r="AA484" t="str">
        <x:f>IF(ISBLANK(B484),"",TEXT(B484,"mmm"))</x:f>
        <x:v>Jul</x:v>
      </x:c>
      <x:c r="AB484" s="9" t="n">
        <x:f>IF(ISBLANK(B484),"",YEAR(B484))</x:f>
        <x:v>2024</x:v>
      </x:c>
      <x:c r="AC484" s="10" t="str"/>
      <x:c r="AD484" t="str">
        <x:f>IF(AND(U484="Completed",T484="Paid",ISERROR(SEARCH("INVALID",AC484)),ISERROR(SEARCH("REVIEW",AC484))),"Include","Exclude")</x:f>
        <x:v>Include</x:v>
      </x:c>
      <x:c r="AE484" t="str">
        <x:f>IF(T484="Refunded","Refunded","")</x:f>
      </x:c>
    </x:row>
    <x:row r="485">
      <x:c r="A485" t="str">
        <x:v>ORD-2024-10484</x:v>
      </x:c>
      <x:c r="B485" s="5" t="n">
        <x:v>45651</x:v>
      </x:c>
      <x:c r="C485" s="5" t="n">
        <x:v>45651</x:v>
      </x:c>
      <x:c r="D485" t="str">
        <x:v>CUST-9432</x:v>
      </x:c>
      <x:c r="E485" t="str">
        <x:v>Mira Das</x:v>
      </x:c>
      <x:c r="F485" t="str">
        <x:v>Corporate</x:v>
      </x:c>
      <x:c r="G485" t="str">
        <x:v>East</x:v>
      </x:c>
      <x:c r="H485" t="str">
        <x:v>Bihar</x:v>
      </x:c>
      <x:c r="I485" t="str">
        <x:v>Patna</x:v>
      </x:c>
      <x:c r="J485" t="str">
        <x:v>Technology</x:v>
      </x:c>
      <x:c r="K485" t="str">
        <x:v>Copiers</x:v>
      </x:c>
      <x:c r="L485" t="str">
        <x:v>Pro Copiers 984</x:v>
      </x:c>
      <x:c r="M485" t="str">
        <x:v>Standard Class</x:v>
      </x:c>
      <x:c r="N485" t="n">
        <x:v>1</x:v>
      </x:c>
      <x:c r="O485" s="7" t="n">
        <x:v>829.66</x:v>
      </x:c>
      <x:c r="P485" s="6" t="n">
        <x:v>0.15</x:v>
      </x:c>
      <x:c r="Q485" s="7" t="n">
        <x:v>705.21</x:v>
      </x:c>
      <x:c r="R485" s="7" t="n">
        <x:v>438.32</x:v>
      </x:c>
      <x:c r="S485" s="7" t="n">
        <x:v>266.89</x:v>
      </x:c>
      <x:c r="T485" t="str">
        <x:v>Paid</x:v>
      </x:c>
      <x:c r="U485" t="str">
        <x:v>Completed</x:v>
      </x:c>
      <x:c r="V485" s="6" t="n">
        <x:f>IF(ISBLANK(P485),IF(AND(ISNUMBER(N485),N485&gt;0,ISNUMBER(O485),O485&gt;=0,ISNUMBER(Q485),Q485&gt;=0,ISNUMBER(R485),R485&gt;=0,ISNUMBER(S485)),0,""),P485)</x:f>
        <x:v>0.15</x:v>
      </x:c>
      <x:c r="W485" s="7" t="n">
        <x:f>IF(ISBLANK(V485),"",N485*O485*(1-V485))</x:f>
        <x:v>705.2109999999999</x:v>
      </x:c>
      <x:c r="X485" s="7" t="n">
        <x:f>IF(OR(ISBLANK(W485),ISBLANK(R485)),"",W485-R485)</x:f>
        <x:v>266.8909999999999</x:v>
      </x:c>
      <x:c r="Y485" s="8" t="n">
        <x:f>IF(OR(ISBLANK(W485),W485=0),"",X485/W485)</x:f>
        <x:v>0.3784555260765926</x:v>
      </x:c>
      <x:c r="Z485" s="9" t="n">
        <x:f>IF(OR(ISBLANK(B485),ISBLANK(C485)),"",C485-B485)</x:f>
        <x:v>0</x:v>
      </x:c>
      <x:c r="AA485" t="str">
        <x:f>IF(ISBLANK(B485),"",TEXT(B485,"mmm"))</x:f>
        <x:v>Dec</x:v>
      </x:c>
      <x:c r="AB485" s="9" t="n">
        <x:f>IF(ISBLANK(B485),"",YEAR(B485))</x:f>
        <x:v>2024</x:v>
      </x:c>
      <x:c r="AC485" s="10" t="str"/>
      <x:c r="AD485" t="str">
        <x:f>IF(AND(U485="Completed",T485="Paid",ISERROR(SEARCH("INVALID",AC485)),ISERROR(SEARCH("REVIEW",AC485))),"Include","Exclude")</x:f>
        <x:v>Include</x:v>
      </x:c>
      <x:c r="AE485" t="str">
        <x:f>IF(T485="Refunded","Refunded","")</x:f>
      </x:c>
    </x:row>
    <x:row r="486">
      <x:c r="A486" t="str">
        <x:v>ORD-2024-10485</x:v>
      </x:c>
      <x:c r="B486" s="5" t="n">
        <x:v>45654</x:v>
      </x:c>
      <x:c r="C486" s="5" t="n">
        <x:v>45657</x:v>
      </x:c>
      <x:c r="D486" t="str">
        <x:v>CUST-1801</x:v>
      </x:c>
      <x:c r="E486" t="str">
        <x:v>Mira Das</x:v>
      </x:c>
      <x:c r="F486" t="str">
        <x:v>Small Business</x:v>
      </x:c>
      <x:c r="G486" t="str">
        <x:v>South</x:v>
      </x:c>
      <x:c r="H486" t="str">
        <x:v>Andhra Pradesh</x:v>
      </x:c>
      <x:c r="I486" t="str">
        <x:v>Vijayawada</x:v>
      </x:c>
      <x:c r="J486" t="str">
        <x:v>Furniture</x:v>
      </x:c>
      <x:c r="K486" t="str">
        <x:v>Furnishings</x:v>
      </x:c>
      <x:c r="L486" t="str">
        <x:v>Max Furnishings 297</x:v>
      </x:c>
      <x:c r="M486" t="str">
        <x:v>First Class</x:v>
      </x:c>
      <x:c r="N486" t="n">
        <x:v>6</x:v>
      </x:c>
      <x:c r="O486" s="7" t="n">
        <x:v>3641.22</x:v>
      </x:c>
      <x:c r="P486" s="6" t="n">
        <x:v>0.25</x:v>
      </x:c>
      <x:c r="Q486" s="7" t="n">
        <x:v>16385.49</x:v>
      </x:c>
      <x:c r="R486" s="7" t="n">
        <x:v>13679.24</x:v>
      </x:c>
      <x:c r="S486" s="7" t="n">
        <x:v>2706.25</x:v>
      </x:c>
      <x:c r="T486" t="str">
        <x:v>Paid</x:v>
      </x:c>
      <x:c r="U486" t="str">
        <x:v>Completed</x:v>
      </x:c>
      <x:c r="V486" s="6" t="n">
        <x:f>IF(ISBLANK(P486),IF(AND(ISNUMBER(N486),N486&gt;0,ISNUMBER(O486),O486&gt;=0,ISNUMBER(Q486),Q486&gt;=0,ISNUMBER(R486),R486&gt;=0,ISNUMBER(S486)),0,""),P486)</x:f>
        <x:v>0.25</x:v>
      </x:c>
      <x:c r="W486" s="7" t="n">
        <x:f>IF(ISBLANK(V486),"",N486*O486*(1-V486))</x:f>
        <x:v>16385.489999999998</x:v>
      </x:c>
      <x:c r="X486" s="7" t="n">
        <x:f>IF(OR(ISBLANK(W486),ISBLANK(R486)),"",W486-R486)</x:f>
        <x:v>2706.249999999998</x:v>
      </x:c>
      <x:c r="Y486" s="8" t="n">
        <x:f>IF(OR(ISBLANK(W486),W486=0),"",X486/W486)</x:f>
        <x:v>0.16516137143289572</x:v>
      </x:c>
      <x:c r="Z486" s="9" t="n">
        <x:f>IF(OR(ISBLANK(B486),ISBLANK(C486)),"",C486-B486)</x:f>
        <x:v>3</x:v>
      </x:c>
      <x:c r="AA486" t="str">
        <x:f>IF(ISBLANK(B486),"",TEXT(B486,"mmm"))</x:f>
        <x:v>Dec</x:v>
      </x:c>
      <x:c r="AB486" s="9" t="n">
        <x:f>IF(ISBLANK(B486),"",YEAR(B486))</x:f>
        <x:v>2024</x:v>
      </x:c>
      <x:c r="AC486" s="10" t="str"/>
      <x:c r="AD486" t="str">
        <x:f>IF(AND(U486="Completed",T486="Paid",ISERROR(SEARCH("INVALID",AC486)),ISERROR(SEARCH("REVIEW",AC486))),"Include","Exclude")</x:f>
        <x:v>Include</x:v>
      </x:c>
      <x:c r="AE486" t="str">
        <x:f>IF(T486="Refunded","Refunded","")</x:f>
      </x:c>
    </x:row>
    <x:row r="487">
      <x:c r="A487" t="str">
        <x:v>ORD-2025-10486</x:v>
      </x:c>
      <x:c r="B487" s="5" t="n">
        <x:v>45679</x:v>
      </x:c>
      <x:c r="C487" s="5" t="n">
        <x:v>45680</x:v>
      </x:c>
      <x:c r="D487" t="str">
        <x:v>CUST-1594</x:v>
      </x:c>
      <x:c r="E487" t="str">
        <x:v>Rahul Verma</x:v>
      </x:c>
      <x:c r="F487" t="str">
        <x:v>Corporate</x:v>
      </x:c>
      <x:c r="G487" t="str">
        <x:v>West</x:v>
      </x:c>
      <x:c r="H487" t="str">
        <x:v>Goa</x:v>
      </x:c>
      <x:c r="I487" t="str">
        <x:v>Panaji</x:v>
      </x:c>
      <x:c r="J487" t="str">
        <x:v>Furniture</x:v>
      </x:c>
      <x:c r="K487" t="str">
        <x:v>Bookcases</x:v>
      </x:c>
      <x:c r="L487" t="str">
        <x:v>Elite Bookcases 802</x:v>
      </x:c>
      <x:c r="M487" t="str">
        <x:v>Standard Class</x:v>
      </x:c>
      <x:c r="N487" t="n">
        <x:v>4</x:v>
      </x:c>
      <x:c r="O487" s="7" t="n">
        <x:v>2555.19</x:v>
      </x:c>
      <x:c r="P487" s="6" t="n">
        <x:v>0.25</x:v>
      </x:c>
      <x:c r="Q487" s="7" t="n">
        <x:v>7665.57</x:v>
      </x:c>
      <x:c r="R487" s="7" t="n">
        <x:v>5595.6</x:v>
      </x:c>
      <x:c r="S487" s="7" t="n">
        <x:v>2069.97</x:v>
      </x:c>
      <x:c r="T487" t="str">
        <x:v>Paid</x:v>
      </x:c>
      <x:c r="U487" t="str">
        <x:v>Completed</x:v>
      </x:c>
      <x:c r="V487" s="6" t="n">
        <x:f>IF(ISBLANK(P487),IF(AND(ISNUMBER(N487),N487&gt;0,ISNUMBER(O487),O487&gt;=0,ISNUMBER(Q487),Q487&gt;=0,ISNUMBER(R487),R487&gt;=0,ISNUMBER(S487)),0,""),P487)</x:f>
        <x:v>0.25</x:v>
      </x:c>
      <x:c r="W487" s="7" t="n">
        <x:f>IF(ISBLANK(V487),"",N487*O487*(1-V487))</x:f>
        <x:v>7665.57</x:v>
      </x:c>
      <x:c r="X487" s="7" t="n">
        <x:f>IF(OR(ISBLANK(W487),ISBLANK(R487)),"",W487-R487)</x:f>
        <x:v>2069.9699999999993</x:v>
      </x:c>
      <x:c r="Y487" s="8" t="n">
        <x:f>IF(OR(ISBLANK(W487),W487=0),"",X487/W487)</x:f>
        <x:v>0.27003471366121495</x:v>
      </x:c>
      <x:c r="Z487" s="9" t="n">
        <x:f>IF(OR(ISBLANK(B487),ISBLANK(C487)),"",C487-B487)</x:f>
        <x:v>1</x:v>
      </x:c>
      <x:c r="AA487" t="str">
        <x:f>IF(ISBLANK(B487),"",TEXT(B487,"mmm"))</x:f>
        <x:v>Jan</x:v>
      </x:c>
      <x:c r="AB487" s="9" t="n">
        <x:f>IF(ISBLANK(B487),"",YEAR(B487))</x:f>
        <x:v>2025</x:v>
      </x:c>
      <x:c r="AC487" s="10" t="str"/>
      <x:c r="AD487" t="str">
        <x:f>IF(AND(U487="Completed",T487="Paid",ISERROR(SEARCH("INVALID",AC487)),ISERROR(SEARCH("REVIEW",AC487))),"Include","Exclude")</x:f>
        <x:v>Include</x:v>
      </x:c>
      <x:c r="AE487" t="str">
        <x:f>IF(T487="Refunded","Refunded","")</x:f>
      </x:c>
    </x:row>
    <x:row r="488">
      <x:c r="A488" t="str">
        <x:v>ORD-2025-10487</x:v>
      </x:c>
      <x:c r="B488" s="5" t="n">
        <x:v>45830</x:v>
      </x:c>
      <x:c r="C488" s="5" t="n">
        <x:v>45834</x:v>
      </x:c>
      <x:c r="D488" t="str">
        <x:v>CUST-8132</x:v>
      </x:c>
      <x:c r="E488" t="str">
        <x:v>Rahul Verma</x:v>
      </x:c>
      <x:c r="F488" t="str">
        <x:v>Corporate</x:v>
      </x:c>
      <x:c r="G488" t="str">
        <x:v>West</x:v>
      </x:c>
      <x:c r="H488" t="str">
        <x:v>Goa</x:v>
      </x:c>
      <x:c r="I488" t="str">
        <x:v>Panaji</x:v>
      </x:c>
      <x:c r="J488" t="str">
        <x:v>Furniture</x:v>
      </x:c>
      <x:c r="K488" t="str">
        <x:v>Tables</x:v>
      </x:c>
      <x:c r="L488" t="str">
        <x:v>Pro Tables 257</x:v>
      </x:c>
      <x:c r="M488" t="str">
        <x:v>Standard Class</x:v>
      </x:c>
      <x:c r="N488" t="n">
        <x:v>3</x:v>
      </x:c>
      <x:c r="O488" s="7" t="n">
        <x:v>1946.18</x:v>
      </x:c>
      <x:c r="P488" s="6" t="n">
        <x:v>0.2</x:v>
      </x:c>
      <x:c r="Q488" s="7" t="n">
        <x:v>4670.83</x:v>
      </x:c>
      <x:c r="R488" s="7" t="n">
        <x:v>3166.49</x:v>
      </x:c>
      <x:c r="S488" s="7" t="n">
        <x:v>1504.34</x:v>
      </x:c>
      <x:c r="T488" t="str">
        <x:v>Paid</x:v>
      </x:c>
      <x:c r="U488" t="str">
        <x:v>Completed</x:v>
      </x:c>
      <x:c r="V488" s="6" t="n">
        <x:f>IF(ISBLANK(P488),IF(AND(ISNUMBER(N488),N488&gt;0,ISNUMBER(O488),O488&gt;=0,ISNUMBER(Q488),Q488&gt;=0,ISNUMBER(R488),R488&gt;=0,ISNUMBER(S488)),0,""),P488)</x:f>
        <x:v>0.2</x:v>
      </x:c>
      <x:c r="W488" s="7" t="n">
        <x:f>IF(ISBLANK(V488),"",N488*O488*(1-V488))</x:f>
        <x:v>4670.832</x:v>
      </x:c>
      <x:c r="X488" s="7" t="n">
        <x:f>IF(OR(ISBLANK(W488),ISBLANK(R488)),"",W488-R488)</x:f>
        <x:v>1504.3420000000006</x:v>
      </x:c>
      <x:c r="Y488" s="8" t="n">
        <x:f>IF(OR(ISBLANK(W488),W488=0),"",X488/W488)</x:f>
        <x:v>0.3220715281560117</x:v>
      </x:c>
      <x:c r="Z488" s="9" t="n">
        <x:f>IF(OR(ISBLANK(B488),ISBLANK(C488)),"",C488-B488)</x:f>
        <x:v>4</x:v>
      </x:c>
      <x:c r="AA488" t="str">
        <x:f>IF(ISBLANK(B488),"",TEXT(B488,"mmm"))</x:f>
        <x:v>Jun</x:v>
      </x:c>
      <x:c r="AB488" s="9" t="n">
        <x:f>IF(ISBLANK(B488),"",YEAR(B488))</x:f>
        <x:v>2025</x:v>
      </x:c>
      <x:c r="AC488" s="10" t="str"/>
      <x:c r="AD488" t="str">
        <x:f>IF(AND(U488="Completed",T488="Paid",ISERROR(SEARCH("INVALID",AC488)),ISERROR(SEARCH("REVIEW",AC488))),"Include","Exclude")</x:f>
        <x:v>Include</x:v>
      </x:c>
      <x:c r="AE488" t="str">
        <x:f>IF(T488="Refunded","Refunded","")</x:f>
      </x:c>
    </x:row>
    <x:row r="489">
      <x:c r="A489" t="str">
        <x:v>ORD-2025-10488</x:v>
      </x:c>
      <x:c r="B489" s="5" t="n">
        <x:v>45818</x:v>
      </x:c>
      <x:c r="C489" s="5" t="n">
        <x:v>45825</x:v>
      </x:c>
      <x:c r="D489" t="str">
        <x:v>CUST-7685</x:v>
      </x:c>
      <x:c r="E489" t="str">
        <x:v>Rahul Verma</x:v>
      </x:c>
      <x:c r="F489" t="str">
        <x:v>Corporate</x:v>
      </x:c>
      <x:c r="G489" t="str">
        <x:v>South</x:v>
      </x:c>
      <x:c r="H489" t="str">
        <x:v>Telangana</x:v>
      </x:c>
      <x:c r="I489" t="str">
        <x:v>Hyderabad</x:v>
      </x:c>
      <x:c r="J489" t="str">
        <x:v>Furniture</x:v>
      </x:c>
      <x:c r="K489" t="str">
        <x:v>Furnishings</x:v>
      </x:c>
      <x:c r="L489" t="str">
        <x:v>Prime Furnishings 299</x:v>
      </x:c>
      <x:c r="M489" t="str">
        <x:v>Standard Class</x:v>
      </x:c>
      <x:c r="N489" t="n">
        <x:v>5</x:v>
      </x:c>
      <x:c r="O489" s="7" t="n">
        <x:v>1231.1</x:v>
      </x:c>
      <x:c r="P489" s="6" t="n">
        <x:v>0</x:v>
      </x:c>
      <x:c r="Q489" s="7" t="n">
        <x:v>6155.5</x:v>
      </x:c>
      <x:c r="R489" s="7" t="n">
        <x:v>4282.09</x:v>
      </x:c>
      <x:c r="S489" s="7" t="n">
        <x:v>1873.41</x:v>
      </x:c>
      <x:c r="T489" t="str">
        <x:v>Refunded</x:v>
      </x:c>
      <x:c r="U489" t="str">
        <x:v>Returned</x:v>
      </x:c>
      <x:c r="V489" s="6" t="n">
        <x:f>IF(ISBLANK(P489),IF(AND(ISNUMBER(N489),N489&gt;0,ISNUMBER(O489),O489&gt;=0,ISNUMBER(Q489),Q489&gt;=0,ISNUMBER(R489),R489&gt;=0,ISNUMBER(S489)),0,""),P489)</x:f>
        <x:v>0</x:v>
      </x:c>
      <x:c r="W489" s="7" t="n">
        <x:f>IF(ISBLANK(V489),"",N489*O489*(1-V489))</x:f>
        <x:v>6155.5</x:v>
      </x:c>
      <x:c r="X489" s="7" t="n">
        <x:f>IF(OR(ISBLANK(W489),ISBLANK(R489)),"",W489-R489)</x:f>
        <x:v>1873.4099999999999</x:v>
      </x:c>
      <x:c r="Y489" s="8" t="n">
        <x:f>IF(OR(ISBLANK(W489),W489=0),"",X489/W489)</x:f>
        <x:v>0.3043473316546178</x:v>
      </x:c>
      <x:c r="Z489" s="9" t="n">
        <x:f>IF(OR(ISBLANK(B489),ISBLANK(C489)),"",C489-B489)</x:f>
        <x:v>7</x:v>
      </x:c>
      <x:c r="AA489" t="str">
        <x:f>IF(ISBLANK(B489),"",TEXT(B489,"mmm"))</x:f>
        <x:v>Jun</x:v>
      </x:c>
      <x:c r="AB489" s="9" t="n">
        <x:f>IF(ISBLANK(B489),"",YEAR(B489))</x:f>
        <x:v>2025</x:v>
      </x:c>
      <x:c r="AC489" s="10" t="str">
        <x:v>REFUND: Summarize separately</x:v>
      </x:c>
      <x:c r="AD489" t="str">
        <x:f>IF(AND(U489="Completed",T489="Paid",ISERROR(SEARCH("INVALID",AC489)),ISERROR(SEARCH("REVIEW",AC489))),"Include","Exclude")</x:f>
        <x:v>Exclude</x:v>
      </x:c>
      <x:c r="AE489" t="str">
        <x:f>IF(T489="Refunded","Refunded","")</x:f>
        <x:v>Refunded</x:v>
      </x:c>
    </x:row>
    <x:row r="490">
      <x:c r="A490" t="str">
        <x:v>ORD-2024-10489</x:v>
      </x:c>
      <x:c r="B490" s="5" t="n">
        <x:v>45579</x:v>
      </x:c>
      <x:c r="C490" s="5" t="n">
        <x:v>45585</x:v>
      </x:c>
      <x:c r="D490" t="str">
        <x:v>CUST-2183</x:v>
      </x:c>
      <x:c r="E490" t="str">
        <x:v>Aditi Sen</x:v>
      </x:c>
      <x:c r="F490" t="str">
        <x:v>Small Business</x:v>
      </x:c>
      <x:c r="G490" t="str">
        <x:v>North</x:v>
      </x:c>
      <x:c r="H490" t="str">
        <x:v>Rajasthan</x:v>
      </x:c>
      <x:c r="I490" t="str">
        <x:v>Jaipur</x:v>
      </x:c>
      <x:c r="J490" t="str">
        <x:v>Furniture</x:v>
      </x:c>
      <x:c r="K490" t="str">
        <x:v>Tables</x:v>
      </x:c>
      <x:c r="L490" t="str">
        <x:v>Eco Tables 487</x:v>
      </x:c>
      <x:c r="M490" t="str">
        <x:v>Same Day</x:v>
      </x:c>
      <x:c r="N490" t="n">
        <x:v>7</x:v>
      </x:c>
      <x:c r="O490" s="7" t="n">
        <x:v>1547.6</x:v>
      </x:c>
      <x:c r="P490" s="6" t="n">
        <x:v>0.2</x:v>
      </x:c>
      <x:c r="Q490" s="7" t="n">
        <x:v>8666.56</x:v>
      </x:c>
      <x:c r="R490" s="7" t="n">
        <x:v>5967.44</x:v>
      </x:c>
      <x:c r="S490" s="7" t="n">
        <x:v>2699.12</x:v>
      </x:c>
      <x:c r="T490" t="str">
        <x:v>Paid</x:v>
      </x:c>
      <x:c r="U490" t="str">
        <x:v>Completed</x:v>
      </x:c>
      <x:c r="V490" s="6" t="n">
        <x:f>IF(ISBLANK(P490),IF(AND(ISNUMBER(N490),N490&gt;0,ISNUMBER(O490),O490&gt;=0,ISNUMBER(Q490),Q490&gt;=0,ISNUMBER(R490),R490&gt;=0,ISNUMBER(S490)),0,""),P490)</x:f>
        <x:v>0.2</x:v>
      </x:c>
      <x:c r="W490" s="7" t="n">
        <x:f>IF(ISBLANK(V490),"",N490*O490*(1-V490))</x:f>
        <x:v>8666.56</x:v>
      </x:c>
      <x:c r="X490" s="7" t="n">
        <x:f>IF(OR(ISBLANK(W490),ISBLANK(R490)),"",W490-R490)</x:f>
        <x:v>2699.12</x:v>
      </x:c>
      <x:c r="Y490" s="8" t="n">
        <x:f>IF(OR(ISBLANK(W490),W490=0),"",X490/W490)</x:f>
        <x:v>0.3114407561939224</x:v>
      </x:c>
      <x:c r="Z490" s="9" t="n">
        <x:f>IF(OR(ISBLANK(B490),ISBLANK(C490)),"",C490-B490)</x:f>
        <x:v>6</x:v>
      </x:c>
      <x:c r="AA490" t="str">
        <x:f>IF(ISBLANK(B490),"",TEXT(B490,"mmm"))</x:f>
        <x:v>Oct</x:v>
      </x:c>
      <x:c r="AB490" s="9" t="n">
        <x:f>IF(ISBLANK(B490),"",YEAR(B490))</x:f>
        <x:v>2024</x:v>
      </x:c>
      <x:c r="AC490" s="10" t="str"/>
      <x:c r="AD490" t="str">
        <x:f>IF(AND(U490="Completed",T490="Paid",ISERROR(SEARCH("INVALID",AC490)),ISERROR(SEARCH("REVIEW",AC490))),"Include","Exclude")</x:f>
        <x:v>Include</x:v>
      </x:c>
      <x:c r="AE490" t="str">
        <x:f>IF(T490="Refunded","Refunded","")</x:f>
      </x:c>
    </x:row>
    <x:row r="491">
      <x:c r="A491" t="str">
        <x:v>ORD-2024-10490</x:v>
      </x:c>
      <x:c r="B491" s="5" t="n">
        <x:v>45329</x:v>
      </x:c>
      <x:c r="C491" s="5" t="n">
        <x:v>45334</x:v>
      </x:c>
      <x:c r="D491" t="str">
        <x:v>CUST-1636</x:v>
      </x:c>
      <x:c r="E491" t="str">
        <x:v>Arjun Bose</x:v>
      </x:c>
      <x:c r="F491" t="str">
        <x:v>Home Office</x:v>
      </x:c>
      <x:c r="G491" t="str">
        <x:v>East</x:v>
      </x:c>
      <x:c r="H491" t="str">
        <x:v>West Bengal</x:v>
      </x:c>
      <x:c r="I491" t="str">
        <x:v>Kolkata</x:v>
      </x:c>
      <x:c r="J491" t="str">
        <x:v>Technology</x:v>
      </x:c>
      <x:c r="K491" t="str">
        <x:v>Accessories</x:v>
      </x:c>
      <x:c r="L491" t="str">
        <x:v>Prime Accessories 960</x:v>
      </x:c>
      <x:c r="M491" t="str">
        <x:v>Second Class</x:v>
      </x:c>
      <x:c r="N491" t="n">
        <x:v>1</x:v>
      </x:c>
      <x:c r="O491" s="7" t="n">
        <x:v>452.19</x:v>
      </x:c>
      <x:c r="P491" s="6" t="n">
        <x:v>0.2</x:v>
      </x:c>
      <x:c r="Q491" s="7" t="n">
        <x:v>361.75</x:v>
      </x:c>
      <x:c r="R491" s="7" t="n">
        <x:v>262.53</x:v>
      </x:c>
      <x:c r="S491" s="7" t="n">
        <x:v>99.22</x:v>
      </x:c>
      <x:c r="T491" t="str">
        <x:v>Paid</x:v>
      </x:c>
      <x:c r="U491" t="str">
        <x:v>Completed</x:v>
      </x:c>
      <x:c r="V491" s="6" t="n">
        <x:f>IF(ISBLANK(P491),IF(AND(ISNUMBER(N491),N491&gt;0,ISNUMBER(O491),O491&gt;=0,ISNUMBER(Q491),Q491&gt;=0,ISNUMBER(R491),R491&gt;=0,ISNUMBER(S491)),0,""),P491)</x:f>
        <x:v>0.2</x:v>
      </x:c>
      <x:c r="W491" s="7" t="n">
        <x:f>IF(ISBLANK(V491),"",N491*O491*(1-V491))</x:f>
        <x:v>361.752</x:v>
      </x:c>
      <x:c r="X491" s="7" t="n">
        <x:f>IF(OR(ISBLANK(W491),ISBLANK(R491)),"",W491-R491)</x:f>
        <x:v>99.22200000000004</x:v>
      </x:c>
      <x:c r="Y491" s="8" t="n">
        <x:f>IF(OR(ISBLANK(W491),W491=0),"",X491/W491)</x:f>
        <x:v>0.27428182843495</x:v>
      </x:c>
      <x:c r="Z491" s="9" t="n">
        <x:f>IF(OR(ISBLANK(B491),ISBLANK(C491)),"",C491-B491)</x:f>
        <x:v>5</x:v>
      </x:c>
      <x:c r="AA491" t="str">
        <x:f>IF(ISBLANK(B491),"",TEXT(B491,"mmm"))</x:f>
        <x:v>Feb</x:v>
      </x:c>
      <x:c r="AB491" s="9" t="n">
        <x:f>IF(ISBLANK(B491),"",YEAR(B491))</x:f>
        <x:v>2024</x:v>
      </x:c>
      <x:c r="AC491" s="10" t="str"/>
      <x:c r="AD491" t="str">
        <x:f>IF(AND(U491="Completed",T491="Paid",ISERROR(SEARCH("INVALID",AC491)),ISERROR(SEARCH("REVIEW",AC491))),"Include","Exclude")</x:f>
        <x:v>Include</x:v>
      </x:c>
      <x:c r="AE491" t="str">
        <x:f>IF(T491="Refunded","Refunded","")</x:f>
      </x:c>
    </x:row>
    <x:row r="492">
      <x:c r="A492" t="str">
        <x:v>ORD-2024-10491</x:v>
      </x:c>
      <x:c r="B492" s="5" t="n">
        <x:v>45551</x:v>
      </x:c>
      <x:c r="C492" s="5" t="n">
        <x:v>45554</x:v>
      </x:c>
      <x:c r="D492" t="str">
        <x:v>CUST-1350</x:v>
      </x:c>
      <x:c r="E492" t="str">
        <x:v>Aditi Sen</x:v>
      </x:c>
      <x:c r="F492" t="str">
        <x:v>Consumer</x:v>
      </x:c>
      <x:c r="G492" t="str">
        <x:v>West</x:v>
      </x:c>
      <x:c r="H492" t="str">
        <x:v>Rajasthan</x:v>
      </x:c>
      <x:c r="I492" t="str">
        <x:v>Udaipur</x:v>
      </x:c>
      <x:c r="J492" t="str">
        <x:v>Office Supplies</x:v>
      </x:c>
      <x:c r="K492" t="str">
        <x:v>Binders</x:v>
      </x:c>
      <x:c r="L492" t="str">
        <x:v>Smart Binders 191</x:v>
      </x:c>
      <x:c r="M492" t="str">
        <x:v>First Class</x:v>
      </x:c>
      <x:c r="N492" t="n">
        <x:v>7</x:v>
      </x:c>
      <x:c r="O492" s="7" t="n">
        <x:v>406.42</x:v>
      </x:c>
      <x:c r="P492" s="6" t="n">
        <x:v>0.15</x:v>
      </x:c>
      <x:c r="Q492" s="7" t="n">
        <x:v>2418.2</x:v>
      </x:c>
      <x:c r="R492" s="7" t="n">
        <x:v>1613.82</x:v>
      </x:c>
      <x:c r="S492" s="7" t="n">
        <x:v>804.38</x:v>
      </x:c>
      <x:c r="T492" t="str">
        <x:v>Paid</x:v>
      </x:c>
      <x:c r="U492" t="str">
        <x:v>Completed</x:v>
      </x:c>
      <x:c r="V492" s="6" t="n">
        <x:f>IF(ISBLANK(P492),IF(AND(ISNUMBER(N492),N492&gt;0,ISNUMBER(O492),O492&gt;=0,ISNUMBER(Q492),Q492&gt;=0,ISNUMBER(R492),R492&gt;=0,ISNUMBER(S492)),0,""),P492)</x:f>
        <x:v>0.15</x:v>
      </x:c>
      <x:c r="W492" s="7" t="n">
        <x:f>IF(ISBLANK(V492),"",N492*O492*(1-V492))</x:f>
        <x:v>2418.199</x:v>
      </x:c>
      <x:c r="X492" s="7" t="n">
        <x:f>IF(OR(ISBLANK(W492),ISBLANK(R492)),"",W492-R492)</x:f>
        <x:v>804.3790000000001</x:v>
      </x:c>
      <x:c r="Y492" s="8" t="n">
        <x:f>IF(OR(ISBLANK(W492),W492=0),"",X492/W492)</x:f>
        <x:v>0.3326355688675746</x:v>
      </x:c>
      <x:c r="Z492" s="9" t="n">
        <x:f>IF(OR(ISBLANK(B492),ISBLANK(C492)),"",C492-B492)</x:f>
        <x:v>3</x:v>
      </x:c>
      <x:c r="AA492" t="str">
        <x:f>IF(ISBLANK(B492),"",TEXT(B492,"mmm"))</x:f>
        <x:v>Sep</x:v>
      </x:c>
      <x:c r="AB492" s="9" t="n">
        <x:f>IF(ISBLANK(B492),"",YEAR(B492))</x:f>
        <x:v>2024</x:v>
      </x:c>
      <x:c r="AC492" s="10" t="str"/>
      <x:c r="AD492" t="str">
        <x:f>IF(AND(U492="Completed",T492="Paid",ISERROR(SEARCH("INVALID",AC492)),ISERROR(SEARCH("REVIEW",AC492))),"Include","Exclude")</x:f>
        <x:v>Include</x:v>
      </x:c>
      <x:c r="AE492" t="str">
        <x:f>IF(T492="Refunded","Refunded","")</x:f>
      </x:c>
    </x:row>
    <x:row r="493">
      <x:c r="A493" t="str">
        <x:v>ORD-2025-10492</x:v>
      </x:c>
      <x:c r="B493" s="5" t="n">
        <x:v>45776</x:v>
      </x:c>
      <x:c r="C493" s="5" t="n">
        <x:v>45777</x:v>
      </x:c>
      <x:c r="D493" t="str">
        <x:v>CUST-4101</x:v>
      </x:c>
      <x:c r="E493" t="str">
        <x:v>Mira Das</x:v>
      </x:c>
      <x:c r="F493" t="str">
        <x:v>Corporate</x:v>
      </x:c>
      <x:c r="G493" t="str">
        <x:v>South</x:v>
      </x:c>
      <x:c r="H493" t="str">
        <x:v>Kerala</x:v>
      </x:c>
      <x:c r="I493" t="str">
        <x:v>Kochi</x:v>
      </x:c>
      <x:c r="J493" t="str">
        <x:v>Technology</x:v>
      </x:c>
      <x:c r="K493" t="str">
        <x:v>Accessories</x:v>
      </x:c>
      <x:c r="L493" t="str">
        <x:v>Prime Accessories 118</x:v>
      </x:c>
      <x:c r="M493" t="str">
        <x:v>Standard Class</x:v>
      </x:c>
      <x:c r="N493" t="n">
        <x:v>4</x:v>
      </x:c>
      <x:c r="O493" s="7" t="n">
        <x:v>606.58</x:v>
      </x:c>
      <x:c r="P493" s="6" t="n">
        <x:v>0.2</x:v>
      </x:c>
      <x:c r="Q493" s="7" t="n">
        <x:v>1941.06</x:v>
      </x:c>
      <x:c r="R493" s="7" t="n">
        <x:v>1207.42</x:v>
      </x:c>
      <x:c r="S493" s="7" t="n">
        <x:v>733.64</x:v>
      </x:c>
      <x:c r="T493" t="str">
        <x:v>Paid</x:v>
      </x:c>
      <x:c r="U493" t="str">
        <x:v>Completed</x:v>
      </x:c>
      <x:c r="V493" s="6" t="n">
        <x:f>IF(ISBLANK(P493),IF(AND(ISNUMBER(N493),N493&gt;0,ISNUMBER(O493),O493&gt;=0,ISNUMBER(Q493),Q493&gt;=0,ISNUMBER(R493),R493&gt;=0,ISNUMBER(S493)),0,""),P493)</x:f>
        <x:v>0.2</x:v>
      </x:c>
      <x:c r="W493" s="7" t="n">
        <x:f>IF(ISBLANK(V493),"",N493*O493*(1-V493))</x:f>
        <x:v>1941.0560000000003</x:v>
      </x:c>
      <x:c r="X493" s="7" t="n">
        <x:f>IF(OR(ISBLANK(W493),ISBLANK(R493)),"",W493-R493)</x:f>
        <x:v>733.6360000000002</x:v>
      </x:c>
      <x:c r="Y493" s="8" t="n">
        <x:f>IF(OR(ISBLANK(W493),W493=0),"",X493/W493)</x:f>
        <x:v>0.37795715321969076</x:v>
      </x:c>
      <x:c r="Z493" s="9" t="n">
        <x:f>IF(OR(ISBLANK(B493),ISBLANK(C493)),"",C493-B493)</x:f>
        <x:v>1</x:v>
      </x:c>
      <x:c r="AA493" t="str">
        <x:f>IF(ISBLANK(B493),"",TEXT(B493,"mmm"))</x:f>
        <x:v>Apr</x:v>
      </x:c>
      <x:c r="AB493" s="9" t="n">
        <x:f>IF(ISBLANK(B493),"",YEAR(B493))</x:f>
        <x:v>2025</x:v>
      </x:c>
      <x:c r="AC493" s="10" t="str"/>
      <x:c r="AD493" t="str">
        <x:f>IF(AND(U493="Completed",T493="Paid",ISERROR(SEARCH("INVALID",AC493)),ISERROR(SEARCH("REVIEW",AC493))),"Include","Exclude")</x:f>
        <x:v>Include</x:v>
      </x:c>
      <x:c r="AE493" t="str">
        <x:f>IF(T493="Refunded","Refunded","")</x:f>
      </x:c>
    </x:row>
    <x:row r="494">
      <x:c r="A494" t="str">
        <x:v>ORD-2025-10493</x:v>
      </x:c>
      <x:c r="B494" s="5" t="n">
        <x:v>45836</x:v>
      </x:c>
      <x:c r="C494" s="5" t="n">
        <x:v>45840</x:v>
      </x:c>
      <x:c r="D494" t="str">
        <x:v>CUST-4679</x:v>
      </x:c>
      <x:c r="E494" t="str">
        <x:v>Ananya Rao</x:v>
      </x:c>
      <x:c r="F494" t="str">
        <x:v>Corporate</x:v>
      </x:c>
      <x:c r="G494" t="str">
        <x:v>South</x:v>
      </x:c>
      <x:c r="H494" t="str">
        <x:v>Andhra Pradesh</x:v>
      </x:c>
      <x:c r="I494" t="str">
        <x:v>Vijayawada</x:v>
      </x:c>
      <x:c r="J494" t="str">
        <x:v>Office Supplies</x:v>
      </x:c>
      <x:c r="K494" t="str">
        <x:v>Storage</x:v>
      </x:c>
      <x:c r="L494" t="str">
        <x:v>Elite Storage 331</x:v>
      </x:c>
      <x:c r="M494" t="str">
        <x:v>Second Class</x:v>
      </x:c>
      <x:c r="N494" t="n">
        <x:v>2</x:v>
      </x:c>
      <x:c r="O494" s="7" t="n">
        <x:v>2725.44</x:v>
      </x:c>
      <x:c r="P494" s="6" t="n">
        <x:v>0.25</x:v>
      </x:c>
      <x:c r="Q494" s="7" t="n">
        <x:v>4088.16</x:v>
      </x:c>
      <x:c r="R494" s="7" t="n">
        <x:v>3205.68</x:v>
      </x:c>
      <x:c r="S494" s="7" t="n">
        <x:v>882.48</x:v>
      </x:c>
      <x:c r="T494" t="str">
        <x:v>Paid</x:v>
      </x:c>
      <x:c r="U494" t="str">
        <x:v>Completed</x:v>
      </x:c>
      <x:c r="V494" s="6" t="n">
        <x:f>IF(ISBLANK(P494),IF(AND(ISNUMBER(N494),N494&gt;0,ISNUMBER(O494),O494&gt;=0,ISNUMBER(Q494),Q494&gt;=0,ISNUMBER(R494),R494&gt;=0,ISNUMBER(S494)),0,""),P494)</x:f>
        <x:v>0.25</x:v>
      </x:c>
      <x:c r="W494" s="7" t="n">
        <x:f>IF(ISBLANK(V494),"",N494*O494*(1-V494))</x:f>
        <x:v>4088.16</x:v>
      </x:c>
      <x:c r="X494" s="7" t="n">
        <x:f>IF(OR(ISBLANK(W494),ISBLANK(R494)),"",W494-R494)</x:f>
        <x:v>882.48</x:v>
      </x:c>
      <x:c r="Y494" s="8" t="n">
        <x:f>IF(OR(ISBLANK(W494),W494=0),"",X494/W494)</x:f>
        <x:v>0.21586239286133616</x:v>
      </x:c>
      <x:c r="Z494" s="9" t="n">
        <x:f>IF(OR(ISBLANK(B494),ISBLANK(C494)),"",C494-B494)</x:f>
        <x:v>4</x:v>
      </x:c>
      <x:c r="AA494" t="str">
        <x:f>IF(ISBLANK(B494),"",TEXT(B494,"mmm"))</x:f>
        <x:v>Jun</x:v>
      </x:c>
      <x:c r="AB494" s="9" t="n">
        <x:f>IF(ISBLANK(B494),"",YEAR(B494))</x:f>
        <x:v>2025</x:v>
      </x:c>
      <x:c r="AC494" s="10" t="str"/>
      <x:c r="AD494" t="str">
        <x:f>IF(AND(U494="Completed",T494="Paid",ISERROR(SEARCH("INVALID",AC494)),ISERROR(SEARCH("REVIEW",AC494))),"Include","Exclude")</x:f>
        <x:v>Include</x:v>
      </x:c>
      <x:c r="AE494" t="str">
        <x:f>IF(T494="Refunded","Refunded","")</x:f>
      </x:c>
    </x:row>
    <x:row r="495">
      <x:c r="A495" t="str">
        <x:v>ORD-2025-10494</x:v>
      </x:c>
      <x:c r="B495" s="5" t="n">
        <x:v>45701</x:v>
      </x:c>
      <x:c r="C495" s="5" t="n">
        <x:v>45701</x:v>
      </x:c>
      <x:c r="D495" t="str">
        <x:v>CUST-3765</x:v>
      </x:c>
      <x:c r="E495" t="str">
        <x:v>Kabir Singh</x:v>
      </x:c>
      <x:c r="F495" t="str">
        <x:v>Corporate</x:v>
      </x:c>
      <x:c r="G495" t="str">
        <x:v>East</x:v>
      </x:c>
      <x:c r="H495" t="str">
        <x:v>Odisha</x:v>
      </x:c>
      <x:c r="I495" t="str">
        <x:v>Bhubaneswar</x:v>
      </x:c>
      <x:c r="J495" t="str">
        <x:v>Office Supplies</x:v>
      </x:c>
      <x:c r="K495" t="str">
        <x:v>Paper</x:v>
      </x:c>
      <x:c r="L495" t="str">
        <x:v>Prime Paper 996</x:v>
      </x:c>
      <x:c r="M495" t="str">
        <x:v>Second Class</x:v>
      </x:c>
      <x:c r="N495" t="n">
        <x:v>7</x:v>
      </x:c>
      <x:c r="O495" s="7" t="n">
        <x:v>2296.7</x:v>
      </x:c>
      <x:c r="P495" s="6" t="n">
        <x:v>0.05</x:v>
      </x:c>
      <x:c r="Q495" s="7" t="n">
        <x:v>15273.05</x:v>
      </x:c>
      <x:c r="R495" s="7" t="n">
        <x:v>11088.76</x:v>
      </x:c>
      <x:c r="S495" s="7" t="n">
        <x:v>4184.29</x:v>
      </x:c>
      <x:c r="T495" t="str">
        <x:v>Paid</x:v>
      </x:c>
      <x:c r="U495" t="str">
        <x:v>Completed</x:v>
      </x:c>
      <x:c r="V495" s="6" t="n">
        <x:f>IF(ISBLANK(P495),IF(AND(ISNUMBER(N495),N495&gt;0,ISNUMBER(O495),O495&gt;=0,ISNUMBER(Q495),Q495&gt;=0,ISNUMBER(R495),R495&gt;=0,ISNUMBER(S495)),0,""),P495)</x:f>
        <x:v>0.05</x:v>
      </x:c>
      <x:c r="W495" s="7" t="n">
        <x:f>IF(ISBLANK(V495),"",N495*O495*(1-V495))</x:f>
        <x:v>15273.054999999997</x:v>
      </x:c>
      <x:c r="X495" s="7" t="n">
        <x:f>IF(OR(ISBLANK(W495),ISBLANK(R495)),"",W495-R495)</x:f>
        <x:v>4184.294999999996</x:v>
      </x:c>
      <x:c r="Y495" s="8" t="n">
        <x:f>IF(OR(ISBLANK(W495),W495=0),"",X495/W495)</x:f>
        <x:v>0.2739658175787357</x:v>
      </x:c>
      <x:c r="Z495" s="9" t="n">
        <x:f>IF(OR(ISBLANK(B495),ISBLANK(C495)),"",C495-B495)</x:f>
        <x:v>0</x:v>
      </x:c>
      <x:c r="AA495" t="str">
        <x:f>IF(ISBLANK(B495),"",TEXT(B495,"mmm"))</x:f>
        <x:v>Feb</x:v>
      </x:c>
      <x:c r="AB495" s="9" t="n">
        <x:f>IF(ISBLANK(B495),"",YEAR(B495))</x:f>
        <x:v>2025</x:v>
      </x:c>
      <x:c r="AC495" s="10" t="str"/>
      <x:c r="AD495" t="str">
        <x:f>IF(AND(U495="Completed",T495="Paid",ISERROR(SEARCH("INVALID",AC495)),ISERROR(SEARCH("REVIEW",AC495))),"Include","Exclude")</x:f>
        <x:v>Include</x:v>
      </x:c>
      <x:c r="AE495" t="str">
        <x:f>IF(T495="Refunded","Refunded","")</x:f>
      </x:c>
    </x:row>
    <x:row r="496">
      <x:c r="A496" t="str">
        <x:v>ORD-2024-10495</x:v>
      </x:c>
      <x:c r="B496" s="5" t="n">
        <x:v>45610</x:v>
      </x:c>
      <x:c r="C496" s="5" t="n">
        <x:v>45618</x:v>
      </x:c>
      <x:c r="D496" t="str">
        <x:v>CUST-9056</x:v>
      </x:c>
      <x:c r="E496" t="str">
        <x:v>Isha Nair</x:v>
      </x:c>
      <x:c r="F496" t="str">
        <x:v>Consumer</x:v>
      </x:c>
      <x:c r="G496" t="str">
        <x:v>West</x:v>
      </x:c>
      <x:c r="H496" t="str">
        <x:v>Madhya Pradesh</x:v>
      </x:c>
      <x:c r="I496" t="str">
        <x:v>Indore</x:v>
      </x:c>
      <x:c r="J496" t="str">
        <x:v>Technology</x:v>
      </x:c>
      <x:c r="K496" t="str">
        <x:v>Phones</x:v>
      </x:c>
      <x:c r="L496" t="str">
        <x:v>Smart Phones 125</x:v>
      </x:c>
      <x:c r="M496" t="str">
        <x:v>Standard Class</x:v>
      </x:c>
      <x:c r="N496" t="n">
        <x:v>3</x:v>
      </x:c>
      <x:c r="O496" s="7" t="n">
        <x:v>671.68</x:v>
      </x:c>
      <x:c r="P496" s="6" t="n">
        <x:v>-0.13</x:v>
      </x:c>
      <x:c r="Q496" s="7" t="n">
        <x:v>1712.78</x:v>
      </x:c>
      <x:c r="R496" s="7" t="n">
        <x:v>1569.38</x:v>
      </x:c>
      <x:c r="S496" s="7" t="n">
        <x:v>360.66</x:v>
      </x:c>
      <x:c r="T496" t="str">
        <x:v>Failed</x:v>
      </x:c>
      <x:c r="U496" t="str">
        <x:v>Cancelled</x:v>
      </x:c>
      <x:c r="V496" s="6" t="n">
        <x:f>IF(ISBLANK(P496),IF(AND(ISNUMBER(N496),N496&gt;0,ISNUMBER(O496),O496&gt;=0,ISNUMBER(Q496),Q496&gt;=0,ISNUMBER(R496),R496&gt;=0,ISNUMBER(S496)),0,""),P496)</x:f>
        <x:v>-0.13</x:v>
      </x:c>
      <x:c r="W496" s="7" t="n">
        <x:f>IF(ISBLANK(V496),"",N496*O496*(1-V496))</x:f>
        <x:v>2276.9952</x:v>
      </x:c>
      <x:c r="X496" s="7" t="n">
        <x:f>IF(OR(ISBLANK(W496),ISBLANK(R496)),"",W496-R496)</x:f>
        <x:v>707.6151999999997</x:v>
      </x:c>
      <x:c r="Y496" s="8" t="n">
        <x:f>IF(OR(ISBLANK(W496),W496=0),"",X496/W496)</x:f>
        <x:v>0.3107671021880063</x:v>
      </x:c>
      <x:c r="Z496" s="9" t="n">
        <x:f>IF(OR(ISBLANK(B496),ISBLANK(C496)),"",C496-B496)</x:f>
        <x:v>8</x:v>
      </x:c>
      <x:c r="AA496" t="str">
        <x:f>IF(ISBLANK(B496),"",TEXT(B496,"mmm"))</x:f>
        <x:v>Nov</x:v>
      </x:c>
      <x:c r="AB496" s="9" t="n">
        <x:f>IF(ISBLANK(B496),"",YEAR(B496))</x:f>
        <x:v>2024</x:v>
      </x:c>
      <x:c r="AC496" s="10" t="str">
        <x:v>INVALID: Negative discount; EXCLUDE: Cancelled order; EXCLUDE: Failed payment</x:v>
      </x:c>
      <x:c r="AD496" t="str">
        <x:f>IF(AND(U496="Completed",T496="Paid",ISERROR(SEARCH("INVALID",AC496)),ISERROR(SEARCH("REVIEW",AC496))),"Include","Exclude")</x:f>
        <x:v>Exclude</x:v>
      </x:c>
      <x:c r="AE496" t="str">
        <x:f>IF(T496="Refunded","Refunded","")</x:f>
      </x:c>
    </x:row>
    <x:row r="497">
      <x:c r="A497" t="str">
        <x:v>ORD-2024-10496</x:v>
      </x:c>
      <x:c r="B497" s="5" t="n">
        <x:v>45421</x:v>
      </x:c>
      <x:c r="C497" s="5" t="n">
        <x:v>45427</x:v>
      </x:c>
      <x:c r="D497" t="str">
        <x:v>CUST-9801</x:v>
      </x:c>
      <x:c r="E497" t="str">
        <x:v>Mira Das</x:v>
      </x:c>
      <x:c r="F497" t="str">
        <x:v>Small Business</x:v>
      </x:c>
      <x:c r="G497" t="str">
        <x:v>East</x:v>
      </x:c>
      <x:c r="H497" t="str">
        <x:v>Assam</x:v>
      </x:c>
      <x:c r="I497" t="str">
        <x:v>Guwahati</x:v>
      </x:c>
      <x:c r="J497" t="str">
        <x:v>Technology</x:v>
      </x:c>
      <x:c r="K497" t="str">
        <x:v>Phones</x:v>
      </x:c>
      <x:c r="L497" t="str">
        <x:v>Eco Phones 220</x:v>
      </x:c>
      <x:c r="M497" t="str">
        <x:v>Second Class</x:v>
      </x:c>
      <x:c r="N497" t="n">
        <x:v>4</x:v>
      </x:c>
      <x:c r="O497" s="7" t="n">
        <x:v>995.98</x:v>
      </x:c>
      <x:c r="P497" s="6" t="n">
        <x:v>0.05</x:v>
      </x:c>
      <x:c r="Q497" s="7" t="n">
        <x:v>3784.72</x:v>
      </x:c>
      <x:c r="R497" s="7" t="n">
        <x:v>2419.24</x:v>
      </x:c>
      <x:c r="S497" s="7" t="n">
        <x:v>1365.48</x:v>
      </x:c>
      <x:c r="T497" t="str">
        <x:v>Refunded</x:v>
      </x:c>
      <x:c r="U497" t="str">
        <x:v>Returned</x:v>
      </x:c>
      <x:c r="V497" s="6" t="n">
        <x:f>IF(ISBLANK(P497),IF(AND(ISNUMBER(N497),N497&gt;0,ISNUMBER(O497),O497&gt;=0,ISNUMBER(Q497),Q497&gt;=0,ISNUMBER(R497),R497&gt;=0,ISNUMBER(S497)),0,""),P497)</x:f>
        <x:v>0.05</x:v>
      </x:c>
      <x:c r="W497" s="7" t="n">
        <x:f>IF(ISBLANK(V497),"",N497*O497*(1-V497))</x:f>
        <x:v>3784.7239999999997</x:v>
      </x:c>
      <x:c r="X497" s="7" t="n">
        <x:f>IF(OR(ISBLANK(W497),ISBLANK(R497)),"",W497-R497)</x:f>
        <x:v>1365.484</x:v>
      </x:c>
      <x:c r="Y497" s="8" t="n">
        <x:f>IF(OR(ISBLANK(W497),W497=0),"",X497/W497)</x:f>
        <x:v>0.3607882635563386</x:v>
      </x:c>
      <x:c r="Z497" s="9" t="n">
        <x:f>IF(OR(ISBLANK(B497),ISBLANK(C497)),"",C497-B497)</x:f>
        <x:v>6</x:v>
      </x:c>
      <x:c r="AA497" t="str">
        <x:f>IF(ISBLANK(B497),"",TEXT(B497,"mmm"))</x:f>
        <x:v>May</x:v>
      </x:c>
      <x:c r="AB497" s="9" t="n">
        <x:f>IF(ISBLANK(B497),"",YEAR(B497))</x:f>
        <x:v>2024</x:v>
      </x:c>
      <x:c r="AC497" s="10" t="str">
        <x:v>REFUND: Summarize separately</x:v>
      </x:c>
      <x:c r="AD497" t="str">
        <x:f>IF(AND(U497="Completed",T497="Paid",ISERROR(SEARCH("INVALID",AC497)),ISERROR(SEARCH("REVIEW",AC497))),"Include","Exclude")</x:f>
        <x:v>Exclude</x:v>
      </x:c>
      <x:c r="AE497" t="str">
        <x:f>IF(T497="Refunded","Refunded","")</x:f>
        <x:v>Refunded</x:v>
      </x:c>
    </x:row>
    <x:row r="498">
      <x:c r="A498" t="str">
        <x:v>ORD-2025-10497</x:v>
      </x:c>
      <x:c r="B498" s="5" t="n">
        <x:v>45842</x:v>
      </x:c>
      <x:c r="C498" s="5" t="n">
        <x:v>45844</x:v>
      </x:c>
      <x:c r="D498" t="str">
        <x:v>CUST-2038</x:v>
      </x:c>
      <x:c r="E498" t="str">
        <x:v>Kabir Singh</x:v>
      </x:c>
      <x:c r="F498" t="str">
        <x:v>Small Business</x:v>
      </x:c>
      <x:c r="G498" t="str">
        <x:v>East</x:v>
      </x:c>
      <x:c r="H498" t="str">
        <x:v>Jharkhand</x:v>
      </x:c>
      <x:c r="I498" t="str">
        <x:v>Ranchi</x:v>
      </x:c>
      <x:c r="J498" t="str">
        <x:v>Furniture</x:v>
      </x:c>
      <x:c r="K498" t="str">
        <x:v>Chairs</x:v>
      </x:c>
      <x:c r="L498" t="str">
        <x:v>Eco Chairs 795</x:v>
      </x:c>
      <x:c r="M498" t="str">
        <x:v>Second Class</x:v>
      </x:c>
      <x:c r="N498" t="n">
        <x:v>2</x:v>
      </x:c>
      <x:c r="O498" s="7" t="n">
        <x:v>3686.42</x:v>
      </x:c>
      <x:c r="P498" s="6" t="n">
        <x:v>0.1</x:v>
      </x:c>
      <x:c r="Q498" s="7" t="n">
        <x:v>6635.56</x:v>
      </x:c>
      <x:c r="R498" s="7" t="n">
        <x:v>3652.91</x:v>
      </x:c>
      <x:c r="S498" s="7" t="n">
        <x:v>2982.65</x:v>
      </x:c>
      <x:c r="T498" t="str">
        <x:v>Paid</x:v>
      </x:c>
      <x:c r="U498" t="str">
        <x:v>Completed</x:v>
      </x:c>
      <x:c r="V498" s="6" t="n">
        <x:f>IF(ISBLANK(P498),IF(AND(ISNUMBER(N498),N498&gt;0,ISNUMBER(O498),O498&gt;=0,ISNUMBER(Q498),Q498&gt;=0,ISNUMBER(R498),R498&gt;=0,ISNUMBER(S498)),0,""),P498)</x:f>
        <x:v>0.1</x:v>
      </x:c>
      <x:c r="W498" s="7" t="n">
        <x:f>IF(ISBLANK(V498),"",N498*O498*(1-V498))</x:f>
        <x:v>6635.5560000000005</x:v>
      </x:c>
      <x:c r="X498" s="7" t="n">
        <x:f>IF(OR(ISBLANK(W498),ISBLANK(R498)),"",W498-R498)</x:f>
        <x:v>2982.6460000000006</x:v>
      </x:c>
      <x:c r="Y498" s="8" t="n">
        <x:f>IF(OR(ISBLANK(W498),W498=0),"",X498/W498)</x:f>
        <x:v>0.4494945110854313</x:v>
      </x:c>
      <x:c r="Z498" s="9" t="n">
        <x:f>IF(OR(ISBLANK(B498),ISBLANK(C498)),"",C498-B498)</x:f>
        <x:v>2</x:v>
      </x:c>
      <x:c r="AA498" t="str">
        <x:f>IF(ISBLANK(B498),"",TEXT(B498,"mmm"))</x:f>
        <x:v>Jul</x:v>
      </x:c>
      <x:c r="AB498" s="9" t="n">
        <x:f>IF(ISBLANK(B498),"",YEAR(B498))</x:f>
        <x:v>2025</x:v>
      </x:c>
      <x:c r="AC498" s="10" t="str"/>
      <x:c r="AD498" t="str">
        <x:f>IF(AND(U498="Completed",T498="Paid",ISERROR(SEARCH("INVALID",AC498)),ISERROR(SEARCH("REVIEW",AC498))),"Include","Exclude")</x:f>
        <x:v>Include</x:v>
      </x:c>
      <x:c r="AE498" t="str">
        <x:f>IF(T498="Refunded","Refunded","")</x:f>
      </x:c>
    </x:row>
    <x:row r="499">
      <x:c r="A499" t="str">
        <x:v>ORD-2024-10498</x:v>
      </x:c>
      <x:c r="B499" s="5" t="n">
        <x:v>45533</x:v>
      </x:c>
      <x:c r="C499" s="5" t="n">
        <x:v>45533</x:v>
      </x:c>
      <x:c r="D499" t="str">
        <x:v>CUST-1567</x:v>
      </x:c>
      <x:c r="E499" t="str">
        <x:v>Sneha Kapoor</x:v>
      </x:c>
      <x:c r="F499" t="str">
        <x:v>Small Business</x:v>
      </x:c>
      <x:c r="G499" t="str">
        <x:v>North</x:v>
      </x:c>
      <x:c r="H499" t="str">
        <x:v>Uttar Pradesh</x:v>
      </x:c>
      <x:c r="I499" t="str">
        <x:v>Noida</x:v>
      </x:c>
      <x:c r="J499" t="str">
        <x:v>Technology</x:v>
      </x:c>
      <x:c r="K499" t="str">
        <x:v>Accessories</x:v>
      </x:c>
      <x:c r="L499" t="str">
        <x:v>Smart Accessories 896</x:v>
      </x:c>
      <x:c r="M499" t="str">
        <x:v>Second Class</x:v>
      </x:c>
      <x:c r="N499" t="n">
        <x:v>1</x:v>
      </x:c>
      <x:c r="O499" s="7" t="n">
        <x:v>3106.88</x:v>
      </x:c>
      <x:c r="P499" s="6" t="n">
        <x:v>0.2</x:v>
      </x:c>
      <x:c r="Q499" s="7" t="n">
        <x:v>2485.5</x:v>
      </x:c>
      <x:c r="R499" s="7" t="n">
        <x:v>2028.43</x:v>
      </x:c>
      <x:c r="S499" s="7" t="n">
        <x:v>457.07</x:v>
      </x:c>
      <x:c r="T499" t="str">
        <x:v>Paid</x:v>
      </x:c>
      <x:c r="U499" t="str">
        <x:v>Cancelled</x:v>
      </x:c>
      <x:c r="V499" s="6" t="n">
        <x:f>IF(ISBLANK(P499),IF(AND(ISNUMBER(N499),N499&gt;0,ISNUMBER(O499),O499&gt;=0,ISNUMBER(Q499),Q499&gt;=0,ISNUMBER(R499),R499&gt;=0,ISNUMBER(S499)),0,""),P499)</x:f>
        <x:v>0.2</x:v>
      </x:c>
      <x:c r="W499" s="7" t="n">
        <x:f>IF(ISBLANK(V499),"",N499*O499*(1-V499))</x:f>
        <x:v>2485.5040000000004</x:v>
      </x:c>
      <x:c r="X499" s="7" t="n">
        <x:f>IF(OR(ISBLANK(W499),ISBLANK(R499)),"",W499-R499)</x:f>
        <x:v>457.0740000000003</x:v>
      </x:c>
      <x:c r="Y499" s="8" t="n">
        <x:f>IF(OR(ISBLANK(W499),W499=0),"",X499/W499)</x:f>
        <x:v>0.18389590199814615</x:v>
      </x:c>
      <x:c r="Z499" s="9" t="n">
        <x:f>IF(OR(ISBLANK(B499),ISBLANK(C499)),"",C499-B499)</x:f>
        <x:v>0</x:v>
      </x:c>
      <x:c r="AA499" t="str">
        <x:f>IF(ISBLANK(B499),"",TEXT(B499,"mmm"))</x:f>
        <x:v>Aug</x:v>
      </x:c>
      <x:c r="AB499" s="9" t="n">
        <x:f>IF(ISBLANK(B499),"",YEAR(B499))</x:f>
        <x:v>2024</x:v>
      </x:c>
      <x:c r="AC499" s="10" t="str">
        <x:v>EXCLUDE: Cancelled order</x:v>
      </x:c>
      <x:c r="AD499" t="str">
        <x:f>IF(AND(U499="Completed",T499="Paid",ISERROR(SEARCH("INVALID",AC499)),ISERROR(SEARCH("REVIEW",AC499))),"Include","Exclude")</x:f>
        <x:v>Exclude</x:v>
      </x:c>
      <x:c r="AE499" t="str">
        <x:f>IF(T499="Refunded","Refunded","")</x:f>
      </x:c>
    </x:row>
    <x:row r="500">
      <x:c r="A500" t="str">
        <x:v>ORD-2025-10499</x:v>
      </x:c>
      <x:c r="B500" s="5" t="n">
        <x:v>45907</x:v>
      </x:c>
      <x:c r="C500" s="5" t="n">
        <x:v>45910</x:v>
      </x:c>
      <x:c r="D500" t="str">
        <x:v>CUST-1190</x:v>
      </x:c>
      <x:c r="E500" t="str">
        <x:v>Karan Malhotra</x:v>
      </x:c>
      <x:c r="F500" t="str">
        <x:v>Consumer</x:v>
      </x:c>
      <x:c r="G500" t="str">
        <x:v>North</x:v>
      </x:c>
      <x:c r="H500" t="str">
        <x:v>Punjab</x:v>
      </x:c>
      <x:c r="I500" t="str">
        <x:v>Ludhiana</x:v>
      </x:c>
      <x:c r="J500" t="str">
        <x:v>Furniture</x:v>
      </x:c>
      <x:c r="K500" t="str">
        <x:v>Chairs</x:v>
      </x:c>
      <x:c r="L500" t="str">
        <x:v>Basic Chairs 255</x:v>
      </x:c>
      <x:c r="M500" t="str">
        <x:v>Same Day</x:v>
      </x:c>
      <x:c r="N500" t="n">
        <x:v>2</x:v>
      </x:c>
      <x:c r="O500" s="7" t="n">
        <x:v>447.55</x:v>
      </x:c>
      <x:c r="P500" s="6" t="n">
        <x:v>0.05</x:v>
      </x:c>
      <x:c r="Q500" s="7" t="n">
        <x:v>850.35</x:v>
      </x:c>
      <x:c r="R500" s="7" t="n">
        <x:v>600.98</x:v>
      </x:c>
      <x:c r="S500" s="7" t="n">
        <x:v>249.37</x:v>
      </x:c>
      <x:c r="T500" t="str">
        <x:v>Refunded</x:v>
      </x:c>
      <x:c r="U500" t="str">
        <x:v>Cancelled</x:v>
      </x:c>
      <x:c r="V500" s="6" t="n">
        <x:f>IF(ISBLANK(P500),IF(AND(ISNUMBER(N500),N500&gt;0,ISNUMBER(O500),O500&gt;=0,ISNUMBER(Q500),Q500&gt;=0,ISNUMBER(R500),R500&gt;=0,ISNUMBER(S500)),0,""),P500)</x:f>
        <x:v>0.05</x:v>
      </x:c>
      <x:c r="W500" s="7" t="n">
        <x:f>IF(ISBLANK(V500),"",N500*O500*(1-V500))</x:f>
        <x:v>850.345</x:v>
      </x:c>
      <x:c r="X500" s="7" t="n">
        <x:f>IF(OR(ISBLANK(W500),ISBLANK(R500)),"",W500-R500)</x:f>
        <x:v>249.365</x:v>
      </x:c>
      <x:c r="Y500" s="8" t="n">
        <x:f>IF(OR(ISBLANK(W500),W500=0),"",X500/W500)</x:f>
        <x:v>0.29325156260106194</x:v>
      </x:c>
      <x:c r="Z500" s="9" t="n">
        <x:f>IF(OR(ISBLANK(B500),ISBLANK(C500)),"",C500-B500)</x:f>
        <x:v>3</x:v>
      </x:c>
      <x:c r="AA500" t="str">
        <x:f>IF(ISBLANK(B500),"",TEXT(B500,"mmm"))</x:f>
        <x:v>Sep</x:v>
      </x:c>
      <x:c r="AB500" s="9" t="n">
        <x:f>IF(ISBLANK(B500),"",YEAR(B500))</x:f>
        <x:v>2025</x:v>
      </x:c>
      <x:c r="AC500" s="10" t="str">
        <x:v>EXCLUDE: Cancelled order; REFUND: Summarize separately</x:v>
      </x:c>
      <x:c r="AD500" t="str">
        <x:f>IF(AND(U500="Completed",T500="Paid",ISERROR(SEARCH("INVALID",AC500)),ISERROR(SEARCH("REVIEW",AC500))),"Include","Exclude")</x:f>
        <x:v>Exclude</x:v>
      </x:c>
      <x:c r="AE500" t="str">
        <x:f>IF(T500="Refunded","Refunded","")</x:f>
        <x:v>Refunded</x:v>
      </x:c>
    </x:row>
    <x:row r="501">
      <x:c r="A501" t="str">
        <x:v>ORD-2024-10500</x:v>
      </x:c>
      <x:c r="B501" s="5" t="n">
        <x:v>45648</x:v>
      </x:c>
      <x:c r="C501" s="5" t="n">
        <x:v>45652</x:v>
      </x:c>
      <x:c r="D501" t="str">
        <x:v>CUST-5604</x:v>
      </x:c>
      <x:c r="E501" t="str">
        <x:v>Rahul Verma</x:v>
      </x:c>
      <x:c r="F501" t="str">
        <x:v>Home Office</x:v>
      </x:c>
      <x:c r="G501" t="str">
        <x:v>North</x:v>
      </x:c>
      <x:c r="H501" t="str">
        <x:v>Uttar Pradesh</x:v>
      </x:c>
      <x:c r="I501" t="str">
        <x:v>Noida</x:v>
      </x:c>
      <x:c r="J501" t="str">
        <x:v>Furniture</x:v>
      </x:c>
      <x:c r="K501" t="str">
        <x:v>Chairs</x:v>
      </x:c>
      <x:c r="L501" t="str">
        <x:v>Eco Chairs 210</x:v>
      </x:c>
      <x:c r="M501" t="str">
        <x:v>Standard Class</x:v>
      </x:c>
      <x:c r="N501" t="n">
        <x:v>9</x:v>
      </x:c>
      <x:c r="O501" s="7" t="n">
        <x:v>1110.87</x:v>
      </x:c>
      <x:c r="P501" s="6"/>
      <x:c r="Q501" s="7" t="n">
        <x:v>7498.37</x:v>
      </x:c>
      <x:c r="R501" s="7" t="n">
        <x:v>6059.07</x:v>
      </x:c>
      <x:c r="S501" s="7" t="n">
        <x:v>1439.3</x:v>
      </x:c>
      <x:c r="T501" t="str">
        <x:v>Paid</x:v>
      </x:c>
      <x:c r="U501" t="str">
        <x:v>Cancelled</x:v>
      </x:c>
      <x:c r="V501" s="6" t="n">
        <x:f>IF(ISBLANK(P501),IF(AND(ISNUMBER(N501),N501&gt;0,ISNUMBER(O501),O501&gt;=0,ISNUMBER(Q501),Q501&gt;=0,ISNUMBER(R501),R501&gt;=0,ISNUMBER(S501)),0,""),P501)</x:f>
        <x:v>0</x:v>
      </x:c>
      <x:c r="W501" s="7" t="n">
        <x:f>IF(ISBLANK(V501),"",N501*O501*(1-V501))</x:f>
        <x:v>9997.829999999998</x:v>
      </x:c>
      <x:c r="X501" s="7" t="n">
        <x:f>IF(OR(ISBLANK(W501),ISBLANK(R501)),"",W501-R501)</x:f>
        <x:v>3938.7599999999984</x:v>
      </x:c>
      <x:c r="Y501" s="8" t="n">
        <x:f>IF(OR(ISBLANK(W501),W501=0),"",X501/W501)</x:f>
        <x:v>0.3939614896432525</x:v>
      </x:c>
      <x:c r="Z501" s="9" t="n">
        <x:f>IF(OR(ISBLANK(B501),ISBLANK(C501)),"",C501-B501)</x:f>
        <x:v>4</x:v>
      </x:c>
      <x:c r="AA501" t="str">
        <x:f>IF(ISBLANK(B501),"",TEXT(B501,"mmm"))</x:f>
        <x:v>Dec</x:v>
      </x:c>
      <x:c r="AB501" s="9" t="n">
        <x:f>IF(ISBLANK(B501),"",YEAR(B501))</x:f>
        <x:v>2024</x:v>
      </x:c>
      <x:c r="AC501" s="10" t="str">
        <x:v>FLAG: Missing discount treated as 0; EXCLUDE: Cancelled order</x:v>
      </x:c>
      <x:c r="AD501" t="str">
        <x:f>IF(AND(U501="Completed",T501="Paid",ISERROR(SEARCH("INVALID",AC501)),ISERROR(SEARCH("REVIEW",AC501))),"Include","Exclude")</x:f>
        <x:v>Exclude</x:v>
      </x:c>
      <x:c r="AE501" t="str">
        <x:f>IF(T501="Refunded","Refunded","")</x:f>
      </x:c>
    </x:row>
    <x:row r="502">
      <x:c r="A502" t="str">
        <x:v>ORD-2024-10501</x:v>
      </x:c>
      <x:c r="B502" s="5" t="n">
        <x:v>45429</x:v>
      </x:c>
      <x:c r="C502" s="5" t="n">
        <x:v>45434</x:v>
      </x:c>
      <x:c r="D502" t="str">
        <x:v>CUST-7661</x:v>
      </x:c>
      <x:c r="E502" t="str">
        <x:v>Sneha Kapoor</x:v>
      </x:c>
      <x:c r="F502" t="str">
        <x:v>Consumer</x:v>
      </x:c>
      <x:c r="G502" t="str">
        <x:v>South</x:v>
      </x:c>
      <x:c r="H502" t="str">
        <x:v>Kerala</x:v>
      </x:c>
      <x:c r="I502" t="str">
        <x:v>Kochi</x:v>
      </x:c>
      <x:c r="J502" t="str">
        <x:v>Technology</x:v>
      </x:c>
      <x:c r="K502" t="str">
        <x:v>Phones</x:v>
      </x:c>
      <x:c r="L502" t="str">
        <x:v>Prime Phones 533</x:v>
      </x:c>
      <x:c r="M502" t="str">
        <x:v>Same Day</x:v>
      </x:c>
      <x:c r="N502" t="n">
        <x:v>9</x:v>
      </x:c>
      <x:c r="O502" s="7" t="n">
        <x:v>3795.99</x:v>
      </x:c>
      <x:c r="P502" s="6" t="n">
        <x:v>0.85</x:v>
      </x:c>
      <x:c r="Q502" s="7" t="n">
        <x:v>34163.91</x:v>
      </x:c>
      <x:c r="R502" s="7" t="n">
        <x:v>28577.15</x:v>
      </x:c>
      <x:c r="S502" s="7" t="n">
        <x:v>5586.76</x:v>
      </x:c>
      <x:c r="T502" t="str">
        <x:v>Paid</x:v>
      </x:c>
      <x:c r="U502" t="str">
        <x:v>Completed</x:v>
      </x:c>
      <x:c r="V502" s="6" t="n">
        <x:f>IF(ISBLANK(P502),IF(AND(ISNUMBER(N502),N502&gt;0,ISNUMBER(O502),O502&gt;=0,ISNUMBER(Q502),Q502&gt;=0,ISNUMBER(R502),R502&gt;=0,ISNUMBER(S502)),0,""),P502)</x:f>
        <x:v>0.85</x:v>
      </x:c>
      <x:c r="W502" s="7" t="n">
        <x:f>IF(ISBLANK(V502),"",N502*O502*(1-V502))</x:f>
        <x:v>5124.5865</x:v>
      </x:c>
      <x:c r="X502" s="7" t="n">
        <x:f>IF(OR(ISBLANK(W502),ISBLANK(R502)),"",W502-R502)</x:f>
        <x:v>-23452.5635</x:v>
      </x:c>
      <x:c r="Y502" s="8" t="n">
        <x:f>IF(OR(ISBLANK(W502),W502=0),"",X502/W502)</x:f>
        <x:v>-4.576479194955534</x:v>
      </x:c>
      <x:c r="Z502" s="9" t="n">
        <x:f>IF(OR(ISBLANK(B502),ISBLANK(C502)),"",C502-B502)</x:f>
        <x:v>5</x:v>
      </x:c>
      <x:c r="AA502" t="str">
        <x:f>IF(ISBLANK(B502),"",TEXT(B502,"mmm"))</x:f>
        <x:v>May</x:v>
      </x:c>
      <x:c r="AB502" s="9" t="n">
        <x:f>IF(ISBLANK(B502),"",YEAR(B502))</x:f>
        <x:v>2024</x:v>
      </x:c>
      <x:c r="AC502" s="10" t="str">
        <x:v>INVALID: Discount above allowed range</x:v>
      </x:c>
      <x:c r="AD502" t="str">
        <x:f>IF(AND(U502="Completed",T502="Paid",ISERROR(SEARCH("INVALID",AC502)),ISERROR(SEARCH("REVIEW",AC502))),"Include","Exclude")</x:f>
        <x:v>Exclude</x:v>
      </x:c>
      <x:c r="AE502" t="str">
        <x:f>IF(T502="Refunded","Refunded","")</x:f>
      </x:c>
    </x:row>
    <x:row r="503">
      <x:c r="A503" t="str">
        <x:v>ORD-2024-10502</x:v>
      </x:c>
      <x:c r="B503" s="5" t="n">
        <x:v>45515</x:v>
      </x:c>
      <x:c r="C503" s="5" t="n">
        <x:v>45521</x:v>
      </x:c>
      <x:c r="D503" t="str">
        <x:v>CUST-3710</x:v>
      </x:c>
      <x:c r="E503" t="str">
        <x:v>Neha Gupta</x:v>
      </x:c>
      <x:c r="F503" t="str">
        <x:v>Consumer</x:v>
      </x:c>
      <x:c r="G503" t="str">
        <x:v>East</x:v>
      </x:c>
      <x:c r="H503" t="str">
        <x:v>Jharkhand</x:v>
      </x:c>
      <x:c r="I503" t="str">
        <x:v>Ranchi</x:v>
      </x:c>
      <x:c r="J503" t="str">
        <x:v>Office Supplies</x:v>
      </x:c>
      <x:c r="K503" t="str">
        <x:v>Art</x:v>
      </x:c>
      <x:c r="L503" t="str">
        <x:v>Elite Art 325</x:v>
      </x:c>
      <x:c r="M503" t="str">
        <x:v>Second Class</x:v>
      </x:c>
      <x:c r="N503" t="n">
        <x:v>6</x:v>
      </x:c>
      <x:c r="O503" s="7" t="n">
        <x:v>3497.54</x:v>
      </x:c>
      <x:c r="P503" s="6" t="n">
        <x:v>0.15</x:v>
      </x:c>
      <x:c r="Q503" s="7" t="n">
        <x:v>17837.45</x:v>
      </x:c>
      <x:c r="R503" s="7" t="n">
        <x:v>13627.02</x:v>
      </x:c>
      <x:c r="S503" s="7" t="n">
        <x:v>4210.43</x:v>
      </x:c>
      <x:c r="T503" t="str">
        <x:v>Paid</x:v>
      </x:c>
      <x:c r="U503" t="str">
        <x:v>Completed</x:v>
      </x:c>
      <x:c r="V503" s="6" t="n">
        <x:f>IF(ISBLANK(P503),IF(AND(ISNUMBER(N503),N503&gt;0,ISNUMBER(O503),O503&gt;=0,ISNUMBER(Q503),Q503&gt;=0,ISNUMBER(R503),R503&gt;=0,ISNUMBER(S503)),0,""),P503)</x:f>
        <x:v>0.15</x:v>
      </x:c>
      <x:c r="W503" s="7" t="n">
        <x:f>IF(ISBLANK(V503),"",N503*O503*(1-V503))</x:f>
        <x:v>17837.453999999998</x:v>
      </x:c>
      <x:c r="X503" s="7" t="n">
        <x:f>IF(OR(ISBLANK(W503),ISBLANK(R503)),"",W503-R503)</x:f>
        <x:v>4210.4339999999975</x:v>
      </x:c>
      <x:c r="Y503" s="8" t="n">
        <x:f>IF(OR(ISBLANK(W503),W503=0),"",X503/W503)</x:f>
        <x:v>0.23604456106796395</x:v>
      </x:c>
      <x:c r="Z503" s="9" t="n">
        <x:f>IF(OR(ISBLANK(B503),ISBLANK(C503)),"",C503-B503)</x:f>
        <x:v>6</x:v>
      </x:c>
      <x:c r="AA503" t="str">
        <x:f>IF(ISBLANK(B503),"",TEXT(B503,"mmm"))</x:f>
        <x:v>Aug</x:v>
      </x:c>
      <x:c r="AB503" s="9" t="n">
        <x:f>IF(ISBLANK(B503),"",YEAR(B503))</x:f>
        <x:v>2024</x:v>
      </x:c>
      <x:c r="AC503" s="10" t="str"/>
      <x:c r="AD503" t="str">
        <x:f>IF(AND(U503="Completed",T503="Paid",ISERROR(SEARCH("INVALID",AC503)),ISERROR(SEARCH("REVIEW",AC503))),"Include","Exclude")</x:f>
        <x:v>Include</x:v>
      </x:c>
      <x:c r="AE503" t="str">
        <x:f>IF(T503="Refunded","Refunded","")</x:f>
      </x:c>
    </x:row>
    <x:row r="504">
      <x:c r="A504" t="str">
        <x:v>ORD-2024-10503</x:v>
      </x:c>
      <x:c r="B504" s="5" t="n">
        <x:v>45383</x:v>
      </x:c>
      <x:c r="C504" s="5" t="n">
        <x:v>45391</x:v>
      </x:c>
      <x:c r="D504" t="str">
        <x:v>CUST-1534</x:v>
      </x:c>
      <x:c r="E504" t="str">
        <x:v>Priya Menon</x:v>
      </x:c>
      <x:c r="F504" t="str">
        <x:v>Small Business</x:v>
      </x:c>
      <x:c r="G504" t="str">
        <x:v>East</x:v>
      </x:c>
      <x:c r="H504" t="str">
        <x:v>Odisha</x:v>
      </x:c>
      <x:c r="I504" t="str">
        <x:v>Bhubaneswar</x:v>
      </x:c>
      <x:c r="J504" t="str">
        <x:v>Technology</x:v>
      </x:c>
      <x:c r="K504" t="str">
        <x:v>Copiers</x:v>
      </x:c>
      <x:c r="L504" t="str">
        <x:v>Prime Copiers 557</x:v>
      </x:c>
      <x:c r="M504" t="str">
        <x:v>Second Class</x:v>
      </x:c>
      <x:c r="N504" t="n">
        <x:v>6</x:v>
      </x:c>
      <x:c r="O504" s="7" t="n">
        <x:v>826.93</x:v>
      </x:c>
      <x:c r="P504" s="6" t="n">
        <x:v>0.1</x:v>
      </x:c>
      <x:c r="Q504" s="7" t="n">
        <x:v>4465.42</x:v>
      </x:c>
      <x:c r="R504" s="7" t="n">
        <x:v>3377.1</x:v>
      </x:c>
      <x:c r="S504" s="7" t="n">
        <x:v>1088.32</x:v>
      </x:c>
      <x:c r="T504" t="str">
        <x:v>Paid</x:v>
      </x:c>
      <x:c r="U504" t="str">
        <x:v>Completed</x:v>
      </x:c>
      <x:c r="V504" s="6" t="n">
        <x:f>IF(ISBLANK(P504),IF(AND(ISNUMBER(N504),N504&gt;0,ISNUMBER(O504),O504&gt;=0,ISNUMBER(Q504),Q504&gt;=0,ISNUMBER(R504),R504&gt;=0,ISNUMBER(S504)),0,""),P504)</x:f>
        <x:v>0.1</x:v>
      </x:c>
      <x:c r="W504" s="7" t="n">
        <x:f>IF(ISBLANK(V504),"",N504*O504*(1-V504))</x:f>
        <x:v>4465.4220000000005</x:v>
      </x:c>
      <x:c r="X504" s="7" t="n">
        <x:f>IF(OR(ISBLANK(W504),ISBLANK(R504)),"",W504-R504)</x:f>
        <x:v>1088.3220000000006</x:v>
      </x:c>
      <x:c r="Y504" s="8" t="n">
        <x:f>IF(OR(ISBLANK(W504),W504=0),"",X504/W504)</x:f>
        <x:v>0.24372209390288319</x:v>
      </x:c>
      <x:c r="Z504" s="9" t="n">
        <x:f>IF(OR(ISBLANK(B504),ISBLANK(C504)),"",C504-B504)</x:f>
        <x:v>8</x:v>
      </x:c>
      <x:c r="AA504" t="str">
        <x:f>IF(ISBLANK(B504),"",TEXT(B504,"mmm"))</x:f>
        <x:v>Apr</x:v>
      </x:c>
      <x:c r="AB504" s="9" t="n">
        <x:f>IF(ISBLANK(B504),"",YEAR(B504))</x:f>
        <x:v>2024</x:v>
      </x:c>
      <x:c r="AC504" s="10" t="str"/>
      <x:c r="AD504" t="str">
        <x:f>IF(AND(U504="Completed",T504="Paid",ISERROR(SEARCH("INVALID",AC504)),ISERROR(SEARCH("REVIEW",AC504))),"Include","Exclude")</x:f>
        <x:v>Include</x:v>
      </x:c>
      <x:c r="AE504" t="str">
        <x:f>IF(T504="Refunded","Refunded","")</x:f>
      </x:c>
    </x:row>
    <x:row r="505">
      <x:c r="A505" t="str">
        <x:v>ORD-2024-10504</x:v>
      </x:c>
      <x:c r="B505" s="5" t="n">
        <x:v>45563</x:v>
      </x:c>
      <x:c r="C505" s="5" t="n">
        <x:v>45570</x:v>
      </x:c>
      <x:c r="D505" t="str">
        <x:v>CUST-7422</x:v>
      </x:c>
      <x:c r="E505" t="str">
        <x:v>Aarav Sharma</x:v>
      </x:c>
      <x:c r="F505" t="str">
        <x:v>Consumer</x:v>
      </x:c>
      <x:c r="G505" t="str">
        <x:v>South</x:v>
      </x:c>
      <x:c r="H505" t="str">
        <x:v>Tamil Nadu</x:v>
      </x:c>
      <x:c r="I505" t="str">
        <x:v>Chennai</x:v>
      </x:c>
      <x:c r="J505" t="str">
        <x:v>Technology</x:v>
      </x:c>
      <x:c r="K505" t="str">
        <x:v>Phones</x:v>
      </x:c>
      <x:c r="L505" t="str">
        <x:v>Smart Phones 674</x:v>
      </x:c>
      <x:c r="M505" t="str">
        <x:v>Standard Class</x:v>
      </x:c>
      <x:c r="N505" t="n">
        <x:v>7</x:v>
      </x:c>
      <x:c r="O505" s="7" t="n">
        <x:v>1681.6</x:v>
      </x:c>
      <x:c r="P505" s="6" t="n">
        <x:v>0.1</x:v>
      </x:c>
      <x:c r="Q505" s="7" t="n">
        <x:v>10594.08</x:v>
      </x:c>
      <x:c r="R505" s="7" t="n">
        <x:v>7160.31</x:v>
      </x:c>
      <x:c r="S505" s="7" t="n">
        <x:v>3433.77</x:v>
      </x:c>
      <x:c r="T505" t="str">
        <x:v>Paid</x:v>
      </x:c>
      <x:c r="U505" t="str">
        <x:v>Completed</x:v>
      </x:c>
      <x:c r="V505" s="6" t="n">
        <x:f>IF(ISBLANK(P505),IF(AND(ISNUMBER(N505),N505&gt;0,ISNUMBER(O505),O505&gt;=0,ISNUMBER(Q505),Q505&gt;=0,ISNUMBER(R505),R505&gt;=0,ISNUMBER(S505)),0,""),P505)</x:f>
        <x:v>0.1</x:v>
      </x:c>
      <x:c r="W505" s="7" t="n">
        <x:f>IF(ISBLANK(V505),"",N505*O505*(1-V505))</x:f>
        <x:v>10594.08</x:v>
      </x:c>
      <x:c r="X505" s="7" t="n">
        <x:f>IF(OR(ISBLANK(W505),ISBLANK(R505)),"",W505-R505)</x:f>
        <x:v>3433.7699999999995</x:v>
      </x:c>
      <x:c r="Y505" s="8" t="n">
        <x:f>IF(OR(ISBLANK(W505),W505=0),"",X505/W505)</x:f>
        <x:v>0.32412158488514337</x:v>
      </x:c>
      <x:c r="Z505" s="9" t="n">
        <x:f>IF(OR(ISBLANK(B505),ISBLANK(C505)),"",C505-B505)</x:f>
        <x:v>7</x:v>
      </x:c>
      <x:c r="AA505" t="str">
        <x:f>IF(ISBLANK(B505),"",TEXT(B505,"mmm"))</x:f>
        <x:v>Sep</x:v>
      </x:c>
      <x:c r="AB505" s="9" t="n">
        <x:f>IF(ISBLANK(B505),"",YEAR(B505))</x:f>
        <x:v>2024</x:v>
      </x:c>
      <x:c r="AC505" s="10" t="str"/>
      <x:c r="AD505" t="str">
        <x:f>IF(AND(U505="Completed",T505="Paid",ISERROR(SEARCH("INVALID",AC505)),ISERROR(SEARCH("REVIEW",AC505))),"Include","Exclude")</x:f>
        <x:v>Include</x:v>
      </x:c>
      <x:c r="AE505" t="str">
        <x:f>IF(T505="Refunded","Refunded","")</x:f>
      </x:c>
    </x:row>
    <x:row r="506">
      <x:c r="A506" t="str">
        <x:v>ORD-2025-10505</x:v>
      </x:c>
      <x:c r="B506" s="5" t="n">
        <x:v>45700</x:v>
      </x:c>
      <x:c r="C506" s="5" t="n">
        <x:v>45705</x:v>
      </x:c>
      <x:c r="D506" t="str">
        <x:v>CUST-9693</x:v>
      </x:c>
      <x:c r="E506" t="str">
        <x:v>Arjun Bose</x:v>
      </x:c>
      <x:c r="F506" t="str">
        <x:v>Corporate</x:v>
      </x:c>
      <x:c r="G506" t="str">
        <x:v>West</x:v>
      </x:c>
      <x:c r="H506" t="str">
        <x:v>Gujarat</x:v>
      </x:c>
      <x:c r="I506" t="str">
        <x:v>Ahmedabad</x:v>
      </x:c>
      <x:c r="J506" t="str">
        <x:v>Office Supplies</x:v>
      </x:c>
      <x:c r="K506" t="str">
        <x:v>Art</x:v>
      </x:c>
      <x:c r="L506" t="str">
        <x:v>Elite Art 553</x:v>
      </x:c>
      <x:c r="M506" t="str">
        <x:v>Standard Class</x:v>
      </x:c>
      <x:c r="N506" t="n">
        <x:v>4</x:v>
      </x:c>
      <x:c r="O506" s="7" t="n">
        <x:v>4328.12</x:v>
      </x:c>
      <x:c r="P506" s="6" t="n">
        <x:v>0</x:v>
      </x:c>
      <x:c r="Q506" s="7" t="n">
        <x:v>17312.48</x:v>
      </x:c>
      <x:c r="R506" s="7" t="n">
        <x:v>14424.22</x:v>
      </x:c>
      <x:c r="S506" s="7" t="n">
        <x:v>2888.26</x:v>
      </x:c>
      <x:c r="T506" t="str">
        <x:v>Paid</x:v>
      </x:c>
      <x:c r="U506" t="str">
        <x:v>Completed</x:v>
      </x:c>
      <x:c r="V506" s="6" t="n">
        <x:f>IF(ISBLANK(P506),IF(AND(ISNUMBER(N506),N506&gt;0,ISNUMBER(O506),O506&gt;=0,ISNUMBER(Q506),Q506&gt;=0,ISNUMBER(R506),R506&gt;=0,ISNUMBER(S506)),0,""),P506)</x:f>
        <x:v>0</x:v>
      </x:c>
      <x:c r="W506" s="7" t="n">
        <x:f>IF(ISBLANK(V506),"",N506*O506*(1-V506))</x:f>
        <x:v>17312.48</x:v>
      </x:c>
      <x:c r="X506" s="7" t="n">
        <x:f>IF(OR(ISBLANK(W506),ISBLANK(R506)),"",W506-R506)</x:f>
        <x:v>2888.26</x:v>
      </x:c>
      <x:c r="Y506" s="8" t="n">
        <x:f>IF(OR(ISBLANK(W506),W506=0),"",X506/W506)</x:f>
        <x:v>0.16683109525613893</x:v>
      </x:c>
      <x:c r="Z506" s="9" t="n">
        <x:f>IF(OR(ISBLANK(B506),ISBLANK(C506)),"",C506-B506)</x:f>
        <x:v>5</x:v>
      </x:c>
      <x:c r="AA506" t="str">
        <x:f>IF(ISBLANK(B506),"",TEXT(B506,"mmm"))</x:f>
        <x:v>Feb</x:v>
      </x:c>
      <x:c r="AB506" s="9" t="n">
        <x:f>IF(ISBLANK(B506),"",YEAR(B506))</x:f>
        <x:v>2025</x:v>
      </x:c>
      <x:c r="AC506" s="10" t="str"/>
      <x:c r="AD506" t="str">
        <x:f>IF(AND(U506="Completed",T506="Paid",ISERROR(SEARCH("INVALID",AC506)),ISERROR(SEARCH("REVIEW",AC506))),"Include","Exclude")</x:f>
        <x:v>Include</x:v>
      </x:c>
      <x:c r="AE506" t="str">
        <x:f>IF(T506="Refunded","Refunded","")</x:f>
      </x:c>
    </x:row>
    <x:row r="507">
      <x:c r="A507" t="str">
        <x:v>ORD-2024-10506</x:v>
      </x:c>
      <x:c r="B507" s="5" t="n">
        <x:v>45605</x:v>
      </x:c>
      <x:c r="C507" s="5" t="n">
        <x:v>45610</x:v>
      </x:c>
      <x:c r="D507" t="str">
        <x:v>CUST-5458</x:v>
      </x:c>
      <x:c r="E507" t="str">
        <x:v>Neha Gupta</x:v>
      </x:c>
      <x:c r="F507" t="str">
        <x:v>Corporate</x:v>
      </x:c>
      <x:c r="G507" t="str">
        <x:v>West</x:v>
      </x:c>
      <x:c r="H507" t="str">
        <x:v>Madhya Pradesh</x:v>
      </x:c>
      <x:c r="I507" t="str">
        <x:v>Indore</x:v>
      </x:c>
      <x:c r="J507" t="str">
        <x:v>Office Supplies</x:v>
      </x:c>
      <x:c r="K507" t="str">
        <x:v>Art</x:v>
      </x:c>
      <x:c r="L507" t="str">
        <x:v>Classic Art 339</x:v>
      </x:c>
      <x:c r="M507" t="str">
        <x:v>First Class</x:v>
      </x:c>
      <x:c r="N507" t="n">
        <x:v>9</x:v>
      </x:c>
      <x:c r="O507" s="7" t="n">
        <x:v>2438.29</x:v>
      </x:c>
      <x:c r="P507" s="6" t="n">
        <x:v>0.2</x:v>
      </x:c>
      <x:c r="Q507" s="7" t="n">
        <x:v>17555.69</x:v>
      </x:c>
      <x:c r="R507" s="7" t="n">
        <x:v>13293.2</x:v>
      </x:c>
      <x:c r="S507" s="7" t="n">
        <x:v>4262.49</x:v>
      </x:c>
      <x:c r="T507" t="str">
        <x:v>Paid</x:v>
      </x:c>
      <x:c r="U507" t="str">
        <x:v>Cancelled</x:v>
      </x:c>
      <x:c r="V507" s="6" t="n">
        <x:f>IF(ISBLANK(P507),IF(AND(ISNUMBER(N507),N507&gt;0,ISNUMBER(O507),O507&gt;=0,ISNUMBER(Q507),Q507&gt;=0,ISNUMBER(R507),R507&gt;=0,ISNUMBER(S507)),0,""),P507)</x:f>
        <x:v>0.2</x:v>
      </x:c>
      <x:c r="W507" s="7" t="n">
        <x:f>IF(ISBLANK(V507),"",N507*O507*(1-V507))</x:f>
        <x:v>17555.688000000002</x:v>
      </x:c>
      <x:c r="X507" s="7" t="n">
        <x:f>IF(OR(ISBLANK(W507),ISBLANK(R507)),"",W507-R507)</x:f>
        <x:v>4262.488000000001</x:v>
      </x:c>
      <x:c r="Y507" s="8" t="n">
        <x:f>IF(OR(ISBLANK(W507),W507=0),"",X507/W507)</x:f>
        <x:v>0.24279811762432785</x:v>
      </x:c>
      <x:c r="Z507" s="9" t="n">
        <x:f>IF(OR(ISBLANK(B507),ISBLANK(C507)),"",C507-B507)</x:f>
        <x:v>5</x:v>
      </x:c>
      <x:c r="AA507" t="str">
        <x:f>IF(ISBLANK(B507),"",TEXT(B507,"mmm"))</x:f>
        <x:v>Nov</x:v>
      </x:c>
      <x:c r="AB507" s="9" t="n">
        <x:f>IF(ISBLANK(B507),"",YEAR(B507))</x:f>
        <x:v>2024</x:v>
      </x:c>
      <x:c r="AC507" s="10" t="str">
        <x:v>EXCLUDE: Cancelled order</x:v>
      </x:c>
      <x:c r="AD507" t="str">
        <x:f>IF(AND(U507="Completed",T507="Paid",ISERROR(SEARCH("INVALID",AC507)),ISERROR(SEARCH("REVIEW",AC507))),"Include","Exclude")</x:f>
        <x:v>Exclude</x:v>
      </x:c>
      <x:c r="AE507" t="str">
        <x:f>IF(T507="Refunded","Refunded","")</x:f>
      </x:c>
    </x:row>
    <x:row r="508">
      <x:c r="A508" t="str">
        <x:v>ORD-2024-10507</x:v>
      </x:c>
      <x:c r="B508" s="5" t="n">
        <x:v>45641</x:v>
      </x:c>
      <x:c r="C508" s="5" t="n">
        <x:v>45641</x:v>
      </x:c>
      <x:c r="D508" t="str">
        <x:v>CUST-3011</x:v>
      </x:c>
      <x:c r="E508" t="str">
        <x:v>Aarav Sharma</x:v>
      </x:c>
      <x:c r="F508" t="str">
        <x:v>Small Business</x:v>
      </x:c>
      <x:c r="G508" t="str">
        <x:v>North</x:v>
      </x:c>
      <x:c r="H508" t="str">
        <x:v>Punjab</x:v>
      </x:c>
      <x:c r="I508" t="str">
        <x:v>Ludhiana</x:v>
      </x:c>
      <x:c r="J508" t="str">
        <x:v>Furniture</x:v>
      </x:c>
      <x:c r="K508" t="str">
        <x:v>Furnishings</x:v>
      </x:c>
      <x:c r="L508" t="str">
        <x:v>Smart Furnishings 352</x:v>
      </x:c>
      <x:c r="M508" t="str">
        <x:v>First Class</x:v>
      </x:c>
      <x:c r="N508" t="n">
        <x:v>2</x:v>
      </x:c>
      <x:c r="O508" s="7" t="n">
        <x:v>669.8</x:v>
      </x:c>
      <x:c r="P508" s="6" t="n">
        <x:v>0.1</x:v>
      </x:c>
      <x:c r="Q508" s="7" t="n">
        <x:v>1205.64</x:v>
      </x:c>
      <x:c r="R508" s="7" t="n">
        <x:v>842.07</x:v>
      </x:c>
      <x:c r="S508" s="7" t="n">
        <x:v>363.57</x:v>
      </x:c>
      <x:c r="T508" t="str">
        <x:v>Refunded</x:v>
      </x:c>
      <x:c r="U508" t="str">
        <x:v>Returned</x:v>
      </x:c>
      <x:c r="V508" s="6" t="n">
        <x:f>IF(ISBLANK(P508),IF(AND(ISNUMBER(N508),N508&gt;0,ISNUMBER(O508),O508&gt;=0,ISNUMBER(Q508),Q508&gt;=0,ISNUMBER(R508),R508&gt;=0,ISNUMBER(S508)),0,""),P508)</x:f>
        <x:v>0.1</x:v>
      </x:c>
      <x:c r="W508" s="7" t="n">
        <x:f>IF(ISBLANK(V508),"",N508*O508*(1-V508))</x:f>
        <x:v>1205.6399999999999</x:v>
      </x:c>
      <x:c r="X508" s="7" t="n">
        <x:f>IF(OR(ISBLANK(W508),ISBLANK(R508)),"",W508-R508)</x:f>
        <x:v>363.5699999999998</x:v>
      </x:c>
      <x:c r="Y508" s="8" t="n">
        <x:f>IF(OR(ISBLANK(W508),W508=0),"",X508/W508)</x:f>
        <x:v>0.301557678909127</x:v>
      </x:c>
      <x:c r="Z508" s="9" t="n">
        <x:f>IF(OR(ISBLANK(B508),ISBLANK(C508)),"",C508-B508)</x:f>
        <x:v>0</x:v>
      </x:c>
      <x:c r="AA508" t="str">
        <x:f>IF(ISBLANK(B508),"",TEXT(B508,"mmm"))</x:f>
        <x:v>Dec</x:v>
      </x:c>
      <x:c r="AB508" s="9" t="n">
        <x:f>IF(ISBLANK(B508),"",YEAR(B508))</x:f>
        <x:v>2024</x:v>
      </x:c>
      <x:c r="AC508" s="10" t="str">
        <x:v>REFUND: Summarize separately</x:v>
      </x:c>
      <x:c r="AD508" t="str">
        <x:f>IF(AND(U508="Completed",T508="Paid",ISERROR(SEARCH("INVALID",AC508)),ISERROR(SEARCH("REVIEW",AC508))),"Include","Exclude")</x:f>
        <x:v>Exclude</x:v>
      </x:c>
      <x:c r="AE508" t="str">
        <x:f>IF(T508="Refunded","Refunded","")</x:f>
        <x:v>Refunded</x:v>
      </x:c>
    </x:row>
    <x:row r="509">
      <x:c r="A509" t="str">
        <x:v>ORD-2025-10508</x:v>
      </x:c>
      <x:c r="B509" s="5" t="n">
        <x:v>45762</x:v>
      </x:c>
      <x:c r="C509" s="5" t="n">
        <x:v>45769</x:v>
      </x:c>
      <x:c r="D509" t="str">
        <x:v>CUST-1826</x:v>
      </x:c>
      <x:c r="E509" t="str">
        <x:v>Isha Nair</x:v>
      </x:c>
      <x:c r="F509" t="str">
        <x:v>Small Business</x:v>
      </x:c>
      <x:c r="G509" t="str">
        <x:v>North</x:v>
      </x:c>
      <x:c r="H509" t="str">
        <x:v>Haryana</x:v>
      </x:c>
      <x:c r="I509" t="str">
        <x:v>Gurugram</x:v>
      </x:c>
      <x:c r="J509" t="str">
        <x:v>Office Supplies</x:v>
      </x:c>
      <x:c r="K509" t="str">
        <x:v>Binders</x:v>
      </x:c>
      <x:c r="L509" t="str">
        <x:v>Classic Binders 602</x:v>
      </x:c>
      <x:c r="M509" t="str">
        <x:v>Same Day</x:v>
      </x:c>
      <x:c r="N509" t="n">
        <x:v>4</x:v>
      </x:c>
      <x:c r="O509" s="7" t="n">
        <x:v>2990.42</x:v>
      </x:c>
      <x:c r="P509" s="6" t="n">
        <x:v>0.25</x:v>
      </x:c>
      <x:c r="Q509" s="7" t="n">
        <x:v>8971.26</x:v>
      </x:c>
      <x:c r="R509" s="7" t="n">
        <x:v>6814.35</x:v>
      </x:c>
      <x:c r="S509" s="7" t="n">
        <x:v>2156.91</x:v>
      </x:c>
      <x:c r="T509" t="str">
        <x:v>Paid</x:v>
      </x:c>
      <x:c r="U509" t="str">
        <x:v>Completed</x:v>
      </x:c>
      <x:c r="V509" s="6" t="n">
        <x:f>IF(ISBLANK(P509),IF(AND(ISNUMBER(N509),N509&gt;0,ISNUMBER(O509),O509&gt;=0,ISNUMBER(Q509),Q509&gt;=0,ISNUMBER(R509),R509&gt;=0,ISNUMBER(S509)),0,""),P509)</x:f>
        <x:v>0.25</x:v>
      </x:c>
      <x:c r="W509" s="7" t="n">
        <x:f>IF(ISBLANK(V509),"",N509*O509*(1-V509))</x:f>
        <x:v>8971.26</x:v>
      </x:c>
      <x:c r="X509" s="7" t="n">
        <x:f>IF(OR(ISBLANK(W509),ISBLANK(R509)),"",W509-R509)</x:f>
        <x:v>2156.91</x:v>
      </x:c>
      <x:c r="Y509" s="8" t="n">
        <x:f>IF(OR(ISBLANK(W509),W509=0),"",X509/W509)</x:f>
        <x:v>0.24042442198754688</x:v>
      </x:c>
      <x:c r="Z509" s="9" t="n">
        <x:f>IF(OR(ISBLANK(B509),ISBLANK(C509)),"",C509-B509)</x:f>
        <x:v>7</x:v>
      </x:c>
      <x:c r="AA509" t="str">
        <x:f>IF(ISBLANK(B509),"",TEXT(B509,"mmm"))</x:f>
        <x:v>Apr</x:v>
      </x:c>
      <x:c r="AB509" s="9" t="n">
        <x:f>IF(ISBLANK(B509),"",YEAR(B509))</x:f>
        <x:v>2025</x:v>
      </x:c>
      <x:c r="AC509" s="10" t="str"/>
      <x:c r="AD509" t="str">
        <x:f>IF(AND(U509="Completed",T509="Paid",ISERROR(SEARCH("INVALID",AC509)),ISERROR(SEARCH("REVIEW",AC509))),"Include","Exclude")</x:f>
        <x:v>Include</x:v>
      </x:c>
      <x:c r="AE509" t="str">
        <x:f>IF(T509="Refunded","Refunded","")</x:f>
      </x:c>
    </x:row>
    <x:row r="510">
      <x:c r="A510" t="str">
        <x:v>ORD-2024-10509</x:v>
      </x:c>
      <x:c r="B510" s="5" t="n">
        <x:v>45382</x:v>
      </x:c>
      <x:c r="C510" s="5" t="n">
        <x:v>45389</x:v>
      </x:c>
      <x:c r="D510" t="str">
        <x:v>CUST-3333</x:v>
      </x:c>
      <x:c r="E510" t="str">
        <x:v>Isha Nair</x:v>
      </x:c>
      <x:c r="F510" t="str">
        <x:v>Small Business</x:v>
      </x:c>
      <x:c r="G510" t="str">
        <x:v>North</x:v>
      </x:c>
      <x:c r="H510" t="str">
        <x:v>Haryana</x:v>
      </x:c>
      <x:c r="I510" t="str">
        <x:v>Gurugram</x:v>
      </x:c>
      <x:c r="J510" t="str">
        <x:v>Technology</x:v>
      </x:c>
      <x:c r="K510" t="str">
        <x:v>Machines</x:v>
      </x:c>
      <x:c r="L510" t="str">
        <x:v>Smart Machines 853</x:v>
      </x:c>
      <x:c r="M510" t="str">
        <x:v>Second Class</x:v>
      </x:c>
      <x:c r="N510" t="n">
        <x:v>4</x:v>
      </x:c>
      <x:c r="O510" s="7" t="n">
        <x:v>1831</x:v>
      </x:c>
      <x:c r="P510" s="6" t="n">
        <x:v>0</x:v>
      </x:c>
      <x:c r="Q510" s="7" t="n">
        <x:v>7324</x:v>
      </x:c>
      <x:c r="R510" s="7" t="n">
        <x:v>4179.63</x:v>
      </x:c>
      <x:c r="S510" s="7" t="n">
        <x:v>3144.37</x:v>
      </x:c>
      <x:c r="T510" t="str">
        <x:v>Paid</x:v>
      </x:c>
      <x:c r="U510" t="str">
        <x:v>Completed</x:v>
      </x:c>
      <x:c r="V510" s="6" t="n">
        <x:f>IF(ISBLANK(P510),IF(AND(ISNUMBER(N510),N510&gt;0,ISNUMBER(O510),O510&gt;=0,ISNUMBER(Q510),Q510&gt;=0,ISNUMBER(R510),R510&gt;=0,ISNUMBER(S510)),0,""),P510)</x:f>
        <x:v>0</x:v>
      </x:c>
      <x:c r="W510" s="7" t="n">
        <x:f>IF(ISBLANK(V510),"",N510*O510*(1-V510))</x:f>
        <x:v>7324</x:v>
      </x:c>
      <x:c r="X510" s="7" t="n">
        <x:f>IF(OR(ISBLANK(W510),ISBLANK(R510)),"",W510-R510)</x:f>
        <x:v>3144.37</x:v>
      </x:c>
      <x:c r="Y510" s="8" t="n">
        <x:f>IF(OR(ISBLANK(W510),W510=0),"",X510/W510)</x:f>
        <x:v>0.4293241398143091</x:v>
      </x:c>
      <x:c r="Z510" s="9" t="n">
        <x:f>IF(OR(ISBLANK(B510),ISBLANK(C510)),"",C510-B510)</x:f>
        <x:v>7</x:v>
      </x:c>
      <x:c r="AA510" t="str">
        <x:f>IF(ISBLANK(B510),"",TEXT(B510,"mmm"))</x:f>
        <x:v>Mar</x:v>
      </x:c>
      <x:c r="AB510" s="9" t="n">
        <x:f>IF(ISBLANK(B510),"",YEAR(B510))</x:f>
        <x:v>2024</x:v>
      </x:c>
      <x:c r="AC510" s="10" t="str"/>
      <x:c r="AD510" t="str">
        <x:f>IF(AND(U510="Completed",T510="Paid",ISERROR(SEARCH("INVALID",AC510)),ISERROR(SEARCH("REVIEW",AC510))),"Include","Exclude")</x:f>
        <x:v>Include</x:v>
      </x:c>
      <x:c r="AE510" t="str">
        <x:f>IF(T510="Refunded","Refunded","")</x:f>
      </x:c>
    </x:row>
    <x:row r="511">
      <x:c r="A511" t="str">
        <x:v>ORD-2025-10510</x:v>
      </x:c>
      <x:c r="B511" s="5" t="n">
        <x:v>45789</x:v>
      </x:c>
      <x:c r="C511" s="5" t="n">
        <x:v>45791</x:v>
      </x:c>
      <x:c r="D511" t="str">
        <x:v>CUST-7901</x:v>
      </x:c>
      <x:c r="E511" t="str">
        <x:v>Neha Gupta</x:v>
      </x:c>
      <x:c r="F511" t="str">
        <x:v>Consumer</x:v>
      </x:c>
      <x:c r="G511" t="str">
        <x:v>West</x:v>
      </x:c>
      <x:c r="H511" t="str">
        <x:v>Gujarat</x:v>
      </x:c>
      <x:c r="I511" t="str">
        <x:v>Ahmedabad</x:v>
      </x:c>
      <x:c r="J511" t="str">
        <x:v>Technology</x:v>
      </x:c>
      <x:c r="K511" t="str">
        <x:v>Machines</x:v>
      </x:c>
      <x:c r="L511" t="str">
        <x:v>Classic Machines 599</x:v>
      </x:c>
      <x:c r="M511" t="str">
        <x:v>Same Day</x:v>
      </x:c>
      <x:c r="N511" t="n">
        <x:v>8</x:v>
      </x:c>
      <x:c r="O511" s="7" t="n">
        <x:v>3631.44</x:v>
      </x:c>
      <x:c r="P511" s="6" t="n">
        <x:v>0.2</x:v>
      </x:c>
      <x:c r="Q511" s="7" t="n">
        <x:v>23241.22</x:v>
      </x:c>
      <x:c r="R511" s="7" t="n">
        <x:v>17220.9</x:v>
      </x:c>
      <x:c r="S511" s="7" t="n">
        <x:v>6020.32</x:v>
      </x:c>
      <x:c r="T511" t="str">
        <x:v>Paid</x:v>
      </x:c>
      <x:c r="U511" t="str">
        <x:v>Completed</x:v>
      </x:c>
      <x:c r="V511" s="6" t="n">
        <x:f>IF(ISBLANK(P511),IF(AND(ISNUMBER(N511),N511&gt;0,ISNUMBER(O511),O511&gt;=0,ISNUMBER(Q511),Q511&gt;=0,ISNUMBER(R511),R511&gt;=0,ISNUMBER(S511)),0,""),P511)</x:f>
        <x:v>0.2</x:v>
      </x:c>
      <x:c r="W511" s="7" t="n">
        <x:f>IF(ISBLANK(V511),"",N511*O511*(1-V511))</x:f>
        <x:v>23241.216</x:v>
      </x:c>
      <x:c r="X511" s="7" t="n">
        <x:f>IF(OR(ISBLANK(W511),ISBLANK(R511)),"",W511-R511)</x:f>
        <x:v>6020.315999999999</x:v>
      </x:c>
      <x:c r="Y511" s="8" t="n">
        <x:f>IF(OR(ISBLANK(W511),W511=0),"",X511/W511)</x:f>
        <x:v>0.2590361881237195</x:v>
      </x:c>
      <x:c r="Z511" s="9" t="n">
        <x:f>IF(OR(ISBLANK(B511),ISBLANK(C511)),"",C511-B511)</x:f>
        <x:v>2</x:v>
      </x:c>
      <x:c r="AA511" t="str">
        <x:f>IF(ISBLANK(B511),"",TEXT(B511,"mmm"))</x:f>
        <x:v>May</x:v>
      </x:c>
      <x:c r="AB511" s="9" t="n">
        <x:f>IF(ISBLANK(B511),"",YEAR(B511))</x:f>
        <x:v>2025</x:v>
      </x:c>
      <x:c r="AC511" s="10" t="str"/>
      <x:c r="AD511" t="str">
        <x:f>IF(AND(U511="Completed",T511="Paid",ISERROR(SEARCH("INVALID",AC511)),ISERROR(SEARCH("REVIEW",AC511))),"Include","Exclude")</x:f>
        <x:v>Include</x:v>
      </x:c>
      <x:c r="AE511" t="str">
        <x:f>IF(T511="Refunded","Refunded","")</x:f>
      </x:c>
    </x:row>
    <x:row r="512">
      <x:c r="A512" t="str">
        <x:v>ORD-2024-10511</x:v>
      </x:c>
      <x:c r="B512" s="5" t="n">
        <x:v>45583</x:v>
      </x:c>
      <x:c r="C512" s="5" t="n">
        <x:v>45586</x:v>
      </x:c>
      <x:c r="D512" t="str">
        <x:v>CUST-9759</x:v>
      </x:c>
      <x:c r="E512" t="str">
        <x:v>Aarav Sharma</x:v>
      </x:c>
      <x:c r="F512" t="str">
        <x:v>Consumer</x:v>
      </x:c>
      <x:c r="G512" t="str">
        <x:v>South</x:v>
      </x:c>
      <x:c r="H512" t="str">
        <x:v>Karnataka</x:v>
      </x:c>
      <x:c r="I512" t="str">
        <x:v>Bengaluru</x:v>
      </x:c>
      <x:c r="J512" t="str">
        <x:v>Office Supplies</x:v>
      </x:c>
      <x:c r="K512" t="str">
        <x:v>Storage</x:v>
      </x:c>
      <x:c r="L512" t="str">
        <x:v>Pro Storage 373</x:v>
      </x:c>
      <x:c r="M512" t="str">
        <x:v>Second Class</x:v>
      </x:c>
      <x:c r="N512" t="n">
        <x:v>2</x:v>
      </x:c>
      <x:c r="O512" s="7" t="n">
        <x:v>4238.51</x:v>
      </x:c>
      <x:c r="P512" s="6" t="n">
        <x:v>0</x:v>
      </x:c>
      <x:c r="Q512" s="7" t="n">
        <x:v>8477.02</x:v>
      </x:c>
      <x:c r="R512" s="7" t="n">
        <x:v>6884.96</x:v>
      </x:c>
      <x:c r="S512" s="7" t="n">
        <x:v>1592.06</x:v>
      </x:c>
      <x:c r="T512" t="str">
        <x:v>Paid</x:v>
      </x:c>
      <x:c r="U512" t="str">
        <x:v>Completed</x:v>
      </x:c>
      <x:c r="V512" s="6" t="n">
        <x:f>IF(ISBLANK(P512),IF(AND(ISNUMBER(N512),N512&gt;0,ISNUMBER(O512),O512&gt;=0,ISNUMBER(Q512),Q512&gt;=0,ISNUMBER(R512),R512&gt;=0,ISNUMBER(S512)),0,""),P512)</x:f>
        <x:v>0</x:v>
      </x:c>
      <x:c r="W512" s="7" t="n">
        <x:f>IF(ISBLANK(V512),"",N512*O512*(1-V512))</x:f>
        <x:v>8477.02</x:v>
      </x:c>
      <x:c r="X512" s="7" t="n">
        <x:f>IF(OR(ISBLANK(W512),ISBLANK(R512)),"",W512-R512)</x:f>
        <x:v>1592.0600000000004</x:v>
      </x:c>
      <x:c r="Y512" s="8" t="n">
        <x:f>IF(OR(ISBLANK(W512),W512=0),"",X512/W512)</x:f>
        <x:v>0.18780892341884298</x:v>
      </x:c>
      <x:c r="Z512" s="9" t="n">
        <x:f>IF(OR(ISBLANK(B512),ISBLANK(C512)),"",C512-B512)</x:f>
        <x:v>3</x:v>
      </x:c>
      <x:c r="AA512" t="str">
        <x:f>IF(ISBLANK(B512),"",TEXT(B512,"mmm"))</x:f>
        <x:v>Oct</x:v>
      </x:c>
      <x:c r="AB512" s="9" t="n">
        <x:f>IF(ISBLANK(B512),"",YEAR(B512))</x:f>
        <x:v>2024</x:v>
      </x:c>
      <x:c r="AC512" s="10" t="str"/>
      <x:c r="AD512" t="str">
        <x:f>IF(AND(U512="Completed",T512="Paid",ISERROR(SEARCH("INVALID",AC512)),ISERROR(SEARCH("REVIEW",AC512))),"Include","Exclude")</x:f>
        <x:v>Include</x:v>
      </x:c>
      <x:c r="AE512" t="str">
        <x:f>IF(T512="Refunded","Refunded","")</x:f>
      </x:c>
    </x:row>
    <x:row r="513">
      <x:c r="A513" t="str">
        <x:v>ORD-2024-10512</x:v>
      </x:c>
      <x:c r="B513" s="5" t="n">
        <x:v>45588</x:v>
      </x:c>
      <x:c r="C513" s="5" t="n">
        <x:v>45591</x:v>
      </x:c>
      <x:c r="D513" t="str">
        <x:v>CUST-7232</x:v>
      </x:c>
      <x:c r="E513" t="str">
        <x:v>Sneha Kapoor</x:v>
      </x:c>
      <x:c r="F513" t="str">
        <x:v>Consumer</x:v>
      </x:c>
      <x:c r="G513" t="str">
        <x:v>West</x:v>
      </x:c>
      <x:c r="H513" t="str">
        <x:v>Madhya Pradesh</x:v>
      </x:c>
      <x:c r="I513" t="str">
        <x:v>Indore</x:v>
      </x:c>
      <x:c r="J513" t="str">
        <x:v>Furniture</x:v>
      </x:c>
      <x:c r="K513" t="str">
        <x:v>Bookcases</x:v>
      </x:c>
      <x:c r="L513" t="str">
        <x:v>Smart Bookcases 920</x:v>
      </x:c>
      <x:c r="M513" t="str">
        <x:v>Standard Class</x:v>
      </x:c>
      <x:c r="N513" t="n">
        <x:v>9</x:v>
      </x:c>
      <x:c r="O513" s="7" t="n">
        <x:v>544.27</x:v>
      </x:c>
      <x:c r="P513" s="6" t="n">
        <x:v>0.25</x:v>
      </x:c>
      <x:c r="Q513" s="7" t="n">
        <x:v>3673.82</x:v>
      </x:c>
      <x:c r="R513" s="7" t="n">
        <x:v>2088.15</x:v>
      </x:c>
      <x:c r="S513" s="7" t="n">
        <x:v>1585.67</x:v>
      </x:c>
      <x:c r="T513" t="str">
        <x:v>Paid</x:v>
      </x:c>
      <x:c r="U513" t="str">
        <x:v>Completed</x:v>
      </x:c>
      <x:c r="V513" s="6" t="n">
        <x:f>IF(ISBLANK(P513),IF(AND(ISNUMBER(N513),N513&gt;0,ISNUMBER(O513),O513&gt;=0,ISNUMBER(Q513),Q513&gt;=0,ISNUMBER(R513),R513&gt;=0,ISNUMBER(S513)),0,""),P513)</x:f>
        <x:v>0.25</x:v>
      </x:c>
      <x:c r="W513" s="7" t="n">
        <x:f>IF(ISBLANK(V513),"",N513*O513*(1-V513))</x:f>
        <x:v>3673.8225</x:v>
      </x:c>
      <x:c r="X513" s="7" t="n">
        <x:f>IF(OR(ISBLANK(W513),ISBLANK(R513)),"",W513-R513)</x:f>
        <x:v>1585.6725000000001</x:v>
      </x:c>
      <x:c r="Y513" s="8" t="n">
        <x:f>IF(OR(ISBLANK(W513),W513=0),"",X513/W513)</x:f>
        <x:v>0.4316138027898735</x:v>
      </x:c>
      <x:c r="Z513" s="9" t="n">
        <x:f>IF(OR(ISBLANK(B513),ISBLANK(C513)),"",C513-B513)</x:f>
        <x:v>3</x:v>
      </x:c>
      <x:c r="AA513" t="str">
        <x:f>IF(ISBLANK(B513),"",TEXT(B513,"mmm"))</x:f>
        <x:v>Oct</x:v>
      </x:c>
      <x:c r="AB513" s="9" t="n">
        <x:f>IF(ISBLANK(B513),"",YEAR(B513))</x:f>
        <x:v>2024</x:v>
      </x:c>
      <x:c r="AC513" s="10" t="str"/>
      <x:c r="AD513" t="str">
        <x:f>IF(AND(U513="Completed",T513="Paid",ISERROR(SEARCH("INVALID",AC513)),ISERROR(SEARCH("REVIEW",AC513))),"Include","Exclude")</x:f>
        <x:v>Include</x:v>
      </x:c>
      <x:c r="AE513" t="str">
        <x:f>IF(T513="Refunded","Refunded","")</x:f>
      </x:c>
    </x:row>
    <x:row r="514">
      <x:c r="A514" t="str">
        <x:v>ORD-2025-10513</x:v>
      </x:c>
      <x:c r="B514" s="5" t="n">
        <x:v>45718</x:v>
      </x:c>
      <x:c r="C514" s="5" t="n">
        <x:v>45719</x:v>
      </x:c>
      <x:c r="D514" t="str">
        <x:v>CUST-9943</x:v>
      </x:c>
      <x:c r="E514" t="str">
        <x:v>Isha Nair</x:v>
      </x:c>
      <x:c r="F514" t="str">
        <x:v>Corporate</x:v>
      </x:c>
      <x:c r="G514" t="str">
        <x:v>South</x:v>
      </x:c>
      <x:c r="H514" t="str">
        <x:v>Kerala</x:v>
      </x:c>
      <x:c r="I514" t="str">
        <x:v>Kochi</x:v>
      </x:c>
      <x:c r="J514" t="str">
        <x:v>Office Supplies</x:v>
      </x:c>
      <x:c r="K514" t="str">
        <x:v>Labels</x:v>
      </x:c>
      <x:c r="L514" t="str">
        <x:v>Pro Labels 849</x:v>
      </x:c>
      <x:c r="M514" t="str">
        <x:v>Second Class</x:v>
      </x:c>
      <x:c r="N514" t="n">
        <x:v>2</x:v>
      </x:c>
      <x:c r="O514" s="7" t="n">
        <x:v>4031.45</x:v>
      </x:c>
      <x:c r="P514" s="6" t="n">
        <x:v>0.25</x:v>
      </x:c>
      <x:c r="Q514" s="7" t="n">
        <x:v>6047.17</x:v>
      </x:c>
      <x:c r="R514" s="7" t="n">
        <x:v>3368.79</x:v>
      </x:c>
      <x:c r="S514" s="7" t="n">
        <x:v>2678.38</x:v>
      </x:c>
      <x:c r="T514" t="str">
        <x:v>Paid</x:v>
      </x:c>
      <x:c r="U514" t="str">
        <x:v>Completed</x:v>
      </x:c>
      <x:c r="V514" s="6" t="n">
        <x:f>IF(ISBLANK(P514),IF(AND(ISNUMBER(N514),N514&gt;0,ISNUMBER(O514),O514&gt;=0,ISNUMBER(Q514),Q514&gt;=0,ISNUMBER(R514),R514&gt;=0,ISNUMBER(S514)),0,""),P514)</x:f>
        <x:v>0.25</x:v>
      </x:c>
      <x:c r="W514" s="7" t="n">
        <x:f>IF(ISBLANK(V514),"",N514*O514*(1-V514))</x:f>
        <x:v>6047.174999999999</x:v>
      </x:c>
      <x:c r="X514" s="7" t="n">
        <x:f>IF(OR(ISBLANK(W514),ISBLANK(R514)),"",W514-R514)</x:f>
        <x:v>2678.3849999999993</x:v>
      </x:c>
      <x:c r="Y514" s="8" t="n">
        <x:f>IF(OR(ISBLANK(W514),W514=0),"",X514/W514)</x:f>
        <x:v>0.44291508018206843</x:v>
      </x:c>
      <x:c r="Z514" s="9" t="n">
        <x:f>IF(OR(ISBLANK(B514),ISBLANK(C514)),"",C514-B514)</x:f>
        <x:v>1</x:v>
      </x:c>
      <x:c r="AA514" t="str">
        <x:f>IF(ISBLANK(B514),"",TEXT(B514,"mmm"))</x:f>
        <x:v>Mar</x:v>
      </x:c>
      <x:c r="AB514" s="9" t="n">
        <x:f>IF(ISBLANK(B514),"",YEAR(B514))</x:f>
        <x:v>2025</x:v>
      </x:c>
      <x:c r="AC514" s="10" t="str"/>
      <x:c r="AD514" t="str">
        <x:f>IF(AND(U514="Completed",T514="Paid",ISERROR(SEARCH("INVALID",AC514)),ISERROR(SEARCH("REVIEW",AC514))),"Include","Exclude")</x:f>
        <x:v>Include</x:v>
      </x:c>
      <x:c r="AE514" t="str">
        <x:f>IF(T514="Refunded","Refunded","")</x:f>
      </x:c>
    </x:row>
    <x:row r="515">
      <x:c r="A515" t="str">
        <x:v>ORD-2025-10514</x:v>
      </x:c>
      <x:c r="B515" s="5" t="n">
        <x:v>45835</x:v>
      </x:c>
      <x:c r="C515" s="5" t="n">
        <x:v>45840</x:v>
      </x:c>
      <x:c r="D515" t="str">
        <x:v>CUST-8993</x:v>
      </x:c>
      <x:c r="E515" t="str">
        <x:v>Aarav Sharma</x:v>
      </x:c>
      <x:c r="F515" t="str">
        <x:v>Corporate</x:v>
      </x:c>
      <x:c r="G515" t="str">
        <x:v>South</x:v>
      </x:c>
      <x:c r="H515" t="str">
        <x:v>Kerala</x:v>
      </x:c>
      <x:c r="I515" t="str">
        <x:v>Kochi</x:v>
      </x:c>
      <x:c r="J515" t="str">
        <x:v>Technology</x:v>
      </x:c>
      <x:c r="K515" t="str">
        <x:v>Accessories</x:v>
      </x:c>
      <x:c r="L515" t="str">
        <x:v>Prime Accessories 849</x:v>
      </x:c>
      <x:c r="M515" t="str">
        <x:v>First Class</x:v>
      </x:c>
      <x:c r="N515" t="n">
        <x:v>6</x:v>
      </x:c>
      <x:c r="O515" s="7" t="n">
        <x:v>1099.49</x:v>
      </x:c>
      <x:c r="P515" s="6" t="n">
        <x:v>0.1</x:v>
      </x:c>
      <x:c r="Q515" s="7" t="n">
        <x:v>6212.38</x:v>
      </x:c>
      <x:c r="R515" s="7" t="n">
        <x:v>4088.46</x:v>
      </x:c>
      <x:c r="S515" s="7" t="n">
        <x:v>1848.79</x:v>
      </x:c>
      <x:c r="T515" t="str">
        <x:v>Paid</x:v>
      </x:c>
      <x:c r="U515" t="str">
        <x:v>Completed</x:v>
      </x:c>
      <x:c r="V515" s="6" t="n">
        <x:f>IF(ISBLANK(P515),IF(AND(ISNUMBER(N515),N515&gt;0,ISNUMBER(O515),O515&gt;=0,ISNUMBER(Q515),Q515&gt;=0,ISNUMBER(R515),R515&gt;=0,ISNUMBER(S515)),0,""),P515)</x:f>
        <x:v>0.1</x:v>
      </x:c>
      <x:c r="W515" s="7" t="n">
        <x:f>IF(ISBLANK(V515),"",N515*O515*(1-V515))</x:f>
        <x:v>5937.246000000001</x:v>
      </x:c>
      <x:c r="X515" s="7" t="n">
        <x:f>IF(OR(ISBLANK(W515),ISBLANK(R515)),"",W515-R515)</x:f>
        <x:v>1848.786000000001</x:v>
      </x:c>
      <x:c r="Y515" s="8" t="n">
        <x:f>IF(OR(ISBLANK(W515),W515=0),"",X515/W515)</x:f>
        <x:v>0.31138780505304997</x:v>
      </x:c>
      <x:c r="Z515" s="9" t="n">
        <x:f>IF(OR(ISBLANK(B515),ISBLANK(C515)),"",C515-B515)</x:f>
        <x:v>5</x:v>
      </x:c>
      <x:c r="AA515" t="str">
        <x:f>IF(ISBLANK(B515),"",TEXT(B515,"mmm"))</x:f>
        <x:v>Jun</x:v>
      </x:c>
      <x:c r="AB515" s="9" t="n">
        <x:f>IF(ISBLANK(B515),"",YEAR(B515))</x:f>
        <x:v>2025</x:v>
      </x:c>
      <x:c r="AC515" s="10" t="str"/>
      <x:c r="AD515" t="str">
        <x:f>IF(AND(U515="Completed",T515="Paid",ISERROR(SEARCH("INVALID",AC515)),ISERROR(SEARCH("REVIEW",AC515))),"Include","Exclude")</x:f>
        <x:v>Include</x:v>
      </x:c>
      <x:c r="AE515" t="str">
        <x:f>IF(T515="Refunded","Refunded","")</x:f>
      </x:c>
    </x:row>
    <x:row r="516">
      <x:c r="A516" t="str">
        <x:v>ORD-2024-10515</x:v>
      </x:c>
      <x:c r="B516" s="5" t="n">
        <x:v>45614</x:v>
      </x:c>
      <x:c r="C516" s="5" t="n">
        <x:v>45618</x:v>
      </x:c>
      <x:c r="D516" t="str">
        <x:v>CUST-7729</x:v>
      </x:c>
      <x:c r="E516" t="str">
        <x:v>Karan Malhotra</x:v>
      </x:c>
      <x:c r="F516" t="str">
        <x:v>Home Office</x:v>
      </x:c>
      <x:c r="G516" t="str">
        <x:v>South</x:v>
      </x:c>
      <x:c r="H516" t="str">
        <x:v>Kerala</x:v>
      </x:c>
      <x:c r="I516" t="str">
        <x:v>Kochi</x:v>
      </x:c>
      <x:c r="J516" t="str">
        <x:v>Technology</x:v>
      </x:c>
      <x:c r="K516" t="str">
        <x:v>Accessories</x:v>
      </x:c>
      <x:c r="L516" t="str">
        <x:v>Smart Accessories 388</x:v>
      </x:c>
      <x:c r="M516" t="str">
        <x:v>Standard Class</x:v>
      </x:c>
      <x:c r="N516" t="n">
        <x:v>6</x:v>
      </x:c>
      <x:c r="O516" s="7" t="n">
        <x:v>3872.94</x:v>
      </x:c>
      <x:c r="P516" s="6" t="n">
        <x:v>0.1</x:v>
      </x:c>
      <x:c r="Q516" s="7" t="n">
        <x:v>20913.88</x:v>
      </x:c>
      <x:c r="R516" s="7" t="n">
        <x:v>11684.68</x:v>
      </x:c>
      <x:c r="S516" s="7" t="n">
        <x:v>9229.2</x:v>
      </x:c>
      <x:c r="T516" t="str">
        <x:v>Paid</x:v>
      </x:c>
      <x:c r="U516" t="str">
        <x:v>Completed</x:v>
      </x:c>
      <x:c r="V516" s="6" t="n">
        <x:f>IF(ISBLANK(P516),IF(AND(ISNUMBER(N516),N516&gt;0,ISNUMBER(O516),O516&gt;=0,ISNUMBER(Q516),Q516&gt;=0,ISNUMBER(R516),R516&gt;=0,ISNUMBER(S516)),0,""),P516)</x:f>
        <x:v>0.1</x:v>
      </x:c>
      <x:c r="W516" s="7" t="n">
        <x:f>IF(ISBLANK(V516),"",N516*O516*(1-V516))</x:f>
        <x:v>20913.876</x:v>
      </x:c>
      <x:c r="X516" s="7" t="n">
        <x:f>IF(OR(ISBLANK(W516),ISBLANK(R516)),"",W516-R516)</x:f>
        <x:v>9229.196</x:v>
      </x:c>
      <x:c r="Y516" s="8" t="n">
        <x:f>IF(OR(ISBLANK(W516),W516=0),"",X516/W516)</x:f>
        <x:v>0.44129533903710627</x:v>
      </x:c>
      <x:c r="Z516" s="9" t="n">
        <x:f>IF(OR(ISBLANK(B516),ISBLANK(C516)),"",C516-B516)</x:f>
        <x:v>4</x:v>
      </x:c>
      <x:c r="AA516" t="str">
        <x:f>IF(ISBLANK(B516),"",TEXT(B516,"mmm"))</x:f>
        <x:v>Nov</x:v>
      </x:c>
      <x:c r="AB516" s="9" t="n">
        <x:f>IF(ISBLANK(B516),"",YEAR(B516))</x:f>
        <x:v>2024</x:v>
      </x:c>
      <x:c r="AC516" s="10" t="str"/>
      <x:c r="AD516" t="str">
        <x:f>IF(AND(U516="Completed",T516="Paid",ISERROR(SEARCH("INVALID",AC516)),ISERROR(SEARCH("REVIEW",AC516))),"Include","Exclude")</x:f>
        <x:v>Include</x:v>
      </x:c>
      <x:c r="AE516" t="str">
        <x:f>IF(T516="Refunded","Refunded","")</x:f>
      </x:c>
    </x:row>
    <x:row r="517">
      <x:c r="A517" t="str">
        <x:v>ORD-2025-10516</x:v>
      </x:c>
      <x:c r="B517" s="5" t="n">
        <x:v>45758</x:v>
      </x:c>
      <x:c r="C517" s="5" t="n">
        <x:v>45758</x:v>
      </x:c>
      <x:c r="D517" t="str">
        <x:v>CUST-9986</x:v>
      </x:c>
      <x:c r="E517" t="str">
        <x:v>Rahul Verma</x:v>
      </x:c>
      <x:c r="F517" t="str">
        <x:v>Corporate</x:v>
      </x:c>
      <x:c r="G517" t="str">
        <x:v>North</x:v>
      </x:c>
      <x:c r="H517" t="str">
        <x:v>Delhi</x:v>
      </x:c>
      <x:c r="I517" t="str">
        <x:v>New Delhi</x:v>
      </x:c>
      <x:c r="J517" t="str">
        <x:v>Office Supplies</x:v>
      </x:c>
      <x:c r="K517" t="str">
        <x:v>Paper</x:v>
      </x:c>
      <x:c r="L517" t="str">
        <x:v>Classic Paper 752</x:v>
      </x:c>
      <x:c r="M517" t="str">
        <x:v>Standard Class</x:v>
      </x:c>
      <x:c r="N517" t="n">
        <x:v>1</x:v>
      </x:c>
      <x:c r="O517" s="7" t="n">
        <x:v>4458.49</x:v>
      </x:c>
      <x:c r="P517" s="6" t="n">
        <x:v>-0.07</x:v>
      </x:c>
      <x:c r="Q517" s="7" t="n">
        <x:v>3566.79</x:v>
      </x:c>
      <x:c r="R517" s="7" t="n">
        <x:v>2083.41</x:v>
      </x:c>
      <x:c r="S517" s="7" t="n">
        <x:v>1483.38</x:v>
      </x:c>
      <x:c r="T517" t="str">
        <x:v>Paid</x:v>
      </x:c>
      <x:c r="U517" t="str">
        <x:v>Completed</x:v>
      </x:c>
      <x:c r="V517" s="6" t="n">
        <x:f>IF(ISBLANK(P517),IF(AND(ISNUMBER(N517),N517&gt;0,ISNUMBER(O517),O517&gt;=0,ISNUMBER(Q517),Q517&gt;=0,ISNUMBER(R517),R517&gt;=0,ISNUMBER(S517)),0,""),P517)</x:f>
        <x:v>-0.07</x:v>
      </x:c>
      <x:c r="W517" s="7" t="n">
        <x:f>IF(ISBLANK(V517),"",N517*O517*(1-V517))</x:f>
        <x:v>4770.5843</x:v>
      </x:c>
      <x:c r="X517" s="7" t="n">
        <x:f>IF(OR(ISBLANK(W517),ISBLANK(R517)),"",W517-R517)</x:f>
        <x:v>2687.1743000000006</x:v>
      </x:c>
      <x:c r="Y517" s="8" t="n">
        <x:f>IF(OR(ISBLANK(W517),W517=0),"",X517/W517)</x:f>
        <x:v>0.5632799110163509</x:v>
      </x:c>
      <x:c r="Z517" s="9" t="n">
        <x:f>IF(OR(ISBLANK(B517),ISBLANK(C517)),"",C517-B517)</x:f>
        <x:v>0</x:v>
      </x:c>
      <x:c r="AA517" t="str">
        <x:f>IF(ISBLANK(B517),"",TEXT(B517,"mmm"))</x:f>
        <x:v>Apr</x:v>
      </x:c>
      <x:c r="AB517" s="9" t="n">
        <x:f>IF(ISBLANK(B517),"",YEAR(B517))</x:f>
        <x:v>2025</x:v>
      </x:c>
      <x:c r="AC517" s="10" t="str">
        <x:v>INVALID: Negative discount</x:v>
      </x:c>
      <x:c r="AD517" t="str">
        <x:f>IF(AND(U517="Completed",T517="Paid",ISERROR(SEARCH("INVALID",AC517)),ISERROR(SEARCH("REVIEW",AC517))),"Include","Exclude")</x:f>
        <x:v>Exclude</x:v>
      </x:c>
      <x:c r="AE517" t="str">
        <x:f>IF(T517="Refunded","Refunded","")</x:f>
      </x:c>
    </x:row>
    <x:row r="518">
      <x:c r="A518" t="str">
        <x:v>ORD-2024-10517</x:v>
      </x:c>
      <x:c r="B518" s="5" t="n">
        <x:v>45563</x:v>
      </x:c>
      <x:c r="C518" s="5" t="n">
        <x:v>45569</x:v>
      </x:c>
      <x:c r="D518" t="str">
        <x:v>CUST-2731</x:v>
      </x:c>
      <x:c r="E518" t="str">
        <x:v>Kabir Singh</x:v>
      </x:c>
      <x:c r="F518" t="str">
        <x:v>Home Office</x:v>
      </x:c>
      <x:c r="G518" t="str">
        <x:v>North</x:v>
      </x:c>
      <x:c r="H518" t="str">
        <x:v>Delhi</x:v>
      </x:c>
      <x:c r="I518" t="str">
        <x:v>New Delhi</x:v>
      </x:c>
      <x:c r="J518" t="str">
        <x:v>Technology</x:v>
      </x:c>
      <x:c r="K518" t="str">
        <x:v>Copiers</x:v>
      </x:c>
      <x:c r="L518" t="str">
        <x:v>Classic Copiers 143</x:v>
      </x:c>
      <x:c r="M518" t="str">
        <x:v>Standard Class</x:v>
      </x:c>
      <x:c r="N518" t="n">
        <x:v>1</x:v>
      </x:c>
      <x:c r="O518" s="7" t="n">
        <x:v>2233.18</x:v>
      </x:c>
      <x:c r="P518" s="6" t="n">
        <x:v>0</x:v>
      </x:c>
      <x:c r="Q518" s="7" t="n">
        <x:v>2233.18</x:v>
      </x:c>
      <x:c r="R518" s="7" t="n">
        <x:v>1585.82</x:v>
      </x:c>
      <x:c r="S518" s="7" t="n">
        <x:v>647.36</x:v>
      </x:c>
      <x:c r="T518" t="str">
        <x:v>Failed</x:v>
      </x:c>
      <x:c r="U518" t="str">
        <x:v>Returned</x:v>
      </x:c>
      <x:c r="V518" s="6" t="n">
        <x:f>IF(ISBLANK(P518),IF(AND(ISNUMBER(N518),N518&gt;0,ISNUMBER(O518),O518&gt;=0,ISNUMBER(Q518),Q518&gt;=0,ISNUMBER(R518),R518&gt;=0,ISNUMBER(S518)),0,""),P518)</x:f>
        <x:v>0</x:v>
      </x:c>
      <x:c r="W518" s="7" t="n">
        <x:f>IF(ISBLANK(V518),"",N518*O518*(1-V518))</x:f>
        <x:v>2233.18</x:v>
      </x:c>
      <x:c r="X518" s="7" t="n">
        <x:f>IF(OR(ISBLANK(W518),ISBLANK(R518)),"",W518-R518)</x:f>
        <x:v>647.3599999999999</x:v>
      </x:c>
      <x:c r="Y518" s="8" t="n">
        <x:f>IF(OR(ISBLANK(W518),W518=0),"",X518/W518)</x:f>
        <x:v>0.2898825889538684</x:v>
      </x:c>
      <x:c r="Z518" s="9" t="n">
        <x:f>IF(OR(ISBLANK(B518),ISBLANK(C518)),"",C518-B518)</x:f>
        <x:v>6</x:v>
      </x:c>
      <x:c r="AA518" t="str">
        <x:f>IF(ISBLANK(B518),"",TEXT(B518,"mmm"))</x:f>
        <x:v>Sep</x:v>
      </x:c>
      <x:c r="AB518" s="9" t="n">
        <x:f>IF(ISBLANK(B518),"",YEAR(B518))</x:f>
        <x:v>2024</x:v>
      </x:c>
      <x:c r="AC518" s="10" t="str">
        <x:v>EXCLUDE: Failed payment</x:v>
      </x:c>
      <x:c r="AD518" t="str">
        <x:f>IF(AND(U518="Completed",T518="Paid",ISERROR(SEARCH("INVALID",AC518)),ISERROR(SEARCH("REVIEW",AC518))),"Include","Exclude")</x:f>
        <x:v>Exclude</x:v>
      </x:c>
      <x:c r="AE518" t="str">
        <x:f>IF(T518="Refunded","Refunded","")</x:f>
      </x:c>
    </x:row>
    <x:row r="519">
      <x:c r="A519" t="str">
        <x:v>ORD-2025-10518</x:v>
      </x:c>
      <x:c r="B519" s="5" t="n">
        <x:v>45802</x:v>
      </x:c>
      <x:c r="C519" s="5" t="n">
        <x:v>45804</x:v>
      </x:c>
      <x:c r="D519" t="str">
        <x:v>CUST-4235</x:v>
      </x:c>
      <x:c r="E519" t="str">
        <x:v>Rahul Verma</x:v>
      </x:c>
      <x:c r="F519" t="str">
        <x:v>Consumer</x:v>
      </x:c>
      <x:c r="G519" t="str">
        <x:v>East</x:v>
      </x:c>
      <x:c r="H519" t="str">
        <x:v>Odisha</x:v>
      </x:c>
      <x:c r="I519" t="str">
        <x:v>Bhubaneswar</x:v>
      </x:c>
      <x:c r="J519" t="str">
        <x:v>Furniture</x:v>
      </x:c>
      <x:c r="K519" t="str">
        <x:v>Furnishings</x:v>
      </x:c>
      <x:c r="L519" t="str">
        <x:v>Basic Furnishings 386</x:v>
      </x:c>
      <x:c r="M519" t="str">
        <x:v>Second Class</x:v>
      </x:c>
      <x:c r="N519" t="n">
        <x:v>7</x:v>
      </x:c>
      <x:c r="O519" s="7" t="n">
        <x:v>2123.28</x:v>
      </x:c>
      <x:c r="P519" s="6" t="n">
        <x:v>0.2</x:v>
      </x:c>
      <x:c r="Q519" s="7" t="n">
        <x:v>11890.37</x:v>
      </x:c>
      <x:c r="R519" s="7" t="n">
        <x:v>9234.53</x:v>
      </x:c>
      <x:c r="S519" s="7" t="n">
        <x:v>2655.84</x:v>
      </x:c>
      <x:c r="T519" t="str">
        <x:v>Refunded</x:v>
      </x:c>
      <x:c r="U519" t="str">
        <x:v>Returned</x:v>
      </x:c>
      <x:c r="V519" s="6" t="n">
        <x:f>IF(ISBLANK(P519),IF(AND(ISNUMBER(N519),N519&gt;0,ISNUMBER(O519),O519&gt;=0,ISNUMBER(Q519),Q519&gt;=0,ISNUMBER(R519),R519&gt;=0,ISNUMBER(S519)),0,""),P519)</x:f>
        <x:v>0.2</x:v>
      </x:c>
      <x:c r="W519" s="7" t="n">
        <x:f>IF(ISBLANK(V519),"",N519*O519*(1-V519))</x:f>
        <x:v>11890.368000000002</x:v>
      </x:c>
      <x:c r="X519" s="7" t="n">
        <x:f>IF(OR(ISBLANK(W519),ISBLANK(R519)),"",W519-R519)</x:f>
        <x:v>2655.8380000000016</x:v>
      </x:c>
      <x:c r="Y519" s="8" t="n">
        <x:f>IF(OR(ISBLANK(W519),W519=0),"",X519/W519)</x:f>
        <x:v>0.22336045444514427</x:v>
      </x:c>
      <x:c r="Z519" s="9" t="n">
        <x:f>IF(OR(ISBLANK(B519),ISBLANK(C519)),"",C519-B519)</x:f>
        <x:v>2</x:v>
      </x:c>
      <x:c r="AA519" t="str">
        <x:f>IF(ISBLANK(B519),"",TEXT(B519,"mmm"))</x:f>
        <x:v>May</x:v>
      </x:c>
      <x:c r="AB519" s="9" t="n">
        <x:f>IF(ISBLANK(B519),"",YEAR(B519))</x:f>
        <x:v>2025</x:v>
      </x:c>
      <x:c r="AC519" s="10" t="str">
        <x:v>REFUND: Summarize separately</x:v>
      </x:c>
      <x:c r="AD519" t="str">
        <x:f>IF(AND(U519="Completed",T519="Paid",ISERROR(SEARCH("INVALID",AC519)),ISERROR(SEARCH("REVIEW",AC519))),"Include","Exclude")</x:f>
        <x:v>Exclude</x:v>
      </x:c>
      <x:c r="AE519" t="str">
        <x:f>IF(T519="Refunded","Refunded","")</x:f>
        <x:v>Refunded</x:v>
      </x:c>
    </x:row>
    <x:row r="520">
      <x:c r="A520" t="str">
        <x:v>ORD-2025-10519</x:v>
      </x:c>
      <x:c r="B520" s="5" t="n">
        <x:v>45777</x:v>
      </x:c>
      <x:c r="C520" s="5" t="n">
        <x:v>45773</x:v>
      </x:c>
      <x:c r="D520" t="str">
        <x:v>CUST-3377</x:v>
      </x:c>
      <x:c r="E520" t="str">
        <x:v>Diya Patel</x:v>
      </x:c>
      <x:c r="F520" t="str">
        <x:v>Corporate</x:v>
      </x:c>
      <x:c r="G520" t="str">
        <x:v>East</x:v>
      </x:c>
      <x:c r="H520" t="str">
        <x:v>Odisha</x:v>
      </x:c>
      <x:c r="I520" t="str">
        <x:v>Bhubaneswar</x:v>
      </x:c>
      <x:c r="J520" t="str">
        <x:v>Furniture</x:v>
      </x:c>
      <x:c r="K520" t="str">
        <x:v>Tables</x:v>
      </x:c>
      <x:c r="L520" t="str">
        <x:v>Classic Tables 592</x:v>
      </x:c>
      <x:c r="M520" t="str">
        <x:v>First Class</x:v>
      </x:c>
      <x:c r="N520" t="n">
        <x:v>7</x:v>
      </x:c>
      <x:c r="O520" s="7" t="n">
        <x:v>1604.13</x:v>
      </x:c>
      <x:c r="P520" s="6" t="n">
        <x:v>0.25</x:v>
      </x:c>
      <x:c r="Q520" s="7" t="n">
        <x:v>8421.68</x:v>
      </x:c>
      <x:c r="R520" s="7" t="n">
        <x:v>6534.47</x:v>
      </x:c>
      <x:c r="S520" s="7" t="n">
        <x:v>1887.21</x:v>
      </x:c>
      <x:c r="T520" t="str">
        <x:v>Paid</x:v>
      </x:c>
      <x:c r="U520" t="str">
        <x:v>Cancelled</x:v>
      </x:c>
      <x:c r="V520" s="6" t="n">
        <x:f>IF(ISBLANK(P520),IF(AND(ISNUMBER(N520),N520&gt;0,ISNUMBER(O520),O520&gt;=0,ISNUMBER(Q520),Q520&gt;=0,ISNUMBER(R520),R520&gt;=0,ISNUMBER(S520)),0,""),P520)</x:f>
        <x:v>0.25</x:v>
      </x:c>
      <x:c r="W520" s="7" t="n">
        <x:f>IF(ISBLANK(V520),"",N520*O520*(1-V520))</x:f>
        <x:v>8421.682499999999</x:v>
      </x:c>
      <x:c r="X520" s="7" t="n">
        <x:f>IF(OR(ISBLANK(W520),ISBLANK(R520)),"",W520-R520)</x:f>
        <x:v>1887.2124999999987</x:v>
      </x:c>
      <x:c r="Y520" s="8" t="n">
        <x:f>IF(OR(ISBLANK(W520),W520=0),"",X520/W520)</x:f>
        <x:v>0.2240897231639876</x:v>
      </x:c>
      <x:c r="Z520" s="9" t="n">
        <x:f>IF(OR(ISBLANK(B520),ISBLANK(C520)),"",C520-B520)</x:f>
        <x:v>-4</x:v>
      </x:c>
      <x:c r="AA520" t="str">
        <x:f>IF(ISBLANK(B520),"",TEXT(B520,"mmm"))</x:f>
        <x:v>Apr</x:v>
      </x:c>
      <x:c r="AB520" s="9" t="n">
        <x:f>IF(ISBLANK(B520),"",YEAR(B520))</x:f>
        <x:v>2025</x:v>
      </x:c>
      <x:c r="AC520" s="10" t="str">
        <x:v>INVALID: Ship date before order date; EXCLUDE: Cancelled order</x:v>
      </x:c>
      <x:c r="AD520" t="str">
        <x:f>IF(AND(U520="Completed",T520="Paid",ISERROR(SEARCH("INVALID",AC520)),ISERROR(SEARCH("REVIEW",AC520))),"Include","Exclude")</x:f>
        <x:v>Exclude</x:v>
      </x:c>
      <x:c r="AE520" t="str">
        <x:f>IF(T520="Refunded","Refunded","")</x:f>
      </x:c>
    </x:row>
    <x:row r="521">
      <x:c r="A521" t="str">
        <x:v>ORD-2025-10520</x:v>
      </x:c>
      <x:c r="B521" s="5" t="n">
        <x:v>45841</x:v>
      </x:c>
      <x:c r="C521" s="5" t="n">
        <x:v>45845</x:v>
      </x:c>
      <x:c r="D521" t="str">
        <x:v>CUST-3258</x:v>
      </x:c>
      <x:c r="E521" t="str">
        <x:v>Priya Menon</x:v>
      </x:c>
      <x:c r="F521" t="str">
        <x:v>Consumer</x:v>
      </x:c>
      <x:c r="G521" t="str">
        <x:v>North</x:v>
      </x:c>
      <x:c r="H521" t="str">
        <x:v>Uttar Pradesh</x:v>
      </x:c>
      <x:c r="I521" t="str">
        <x:v>Noida</x:v>
      </x:c>
      <x:c r="J521" t="str">
        <x:v>Furniture</x:v>
      </x:c>
      <x:c r="K521" t="str">
        <x:v>Tables</x:v>
      </x:c>
      <x:c r="L521" t="str">
        <x:v>Pro Tables 412</x:v>
      </x:c>
      <x:c r="M521" t="str">
        <x:v>Standard Class</x:v>
      </x:c>
      <x:c r="N521" t="n">
        <x:v>4</x:v>
      </x:c>
      <x:c r="O521" s="7" t="n">
        <x:v>4365.21</x:v>
      </x:c>
      <x:c r="P521" s="6" t="n">
        <x:v>0.2</x:v>
      </x:c>
      <x:c r="Q521" s="7" t="n">
        <x:v>13968.67</x:v>
      </x:c>
      <x:c r="R521" s="7" t="n">
        <x:v>8857.58</x:v>
      </x:c>
      <x:c r="S521" s="7" t="n">
        <x:v>5111.09</x:v>
      </x:c>
      <x:c r="T521" t="str">
        <x:v>Pending</x:v>
      </x:c>
      <x:c r="U521" t="str">
        <x:v>Cancelled</x:v>
      </x:c>
      <x:c r="V521" s="6" t="n">
        <x:f>IF(ISBLANK(P521),IF(AND(ISNUMBER(N521),N521&gt;0,ISNUMBER(O521),O521&gt;=0,ISNUMBER(Q521),Q521&gt;=0,ISNUMBER(R521),R521&gt;=0,ISNUMBER(S521)),0,""),P521)</x:f>
        <x:v>0.2</x:v>
      </x:c>
      <x:c r="W521" s="7" t="n">
        <x:f>IF(ISBLANK(V521),"",N521*O521*(1-V521))</x:f>
        <x:v>13968.672</x:v>
      </x:c>
      <x:c r="X521" s="7" t="n">
        <x:f>IF(OR(ISBLANK(W521),ISBLANK(R521)),"",W521-R521)</x:f>
        <x:v>5111.092000000001</x:v>
      </x:c>
      <x:c r="Y521" s="8" t="n">
        <x:f>IF(OR(ISBLANK(W521),W521=0),"",X521/W521)</x:f>
        <x:v>0.3658967724347741</x:v>
      </x:c>
      <x:c r="Z521" s="9" t="n">
        <x:f>IF(OR(ISBLANK(B521),ISBLANK(C521)),"",C521-B521)</x:f>
        <x:v>4</x:v>
      </x:c>
      <x:c r="AA521" t="str">
        <x:f>IF(ISBLANK(B521),"",TEXT(B521,"mmm"))</x:f>
        <x:v>Jul</x:v>
      </x:c>
      <x:c r="AB521" s="9" t="n">
        <x:f>IF(ISBLANK(B521),"",YEAR(B521))</x:f>
        <x:v>2025</x:v>
      </x:c>
      <x:c r="AC521" s="10" t="str">
        <x:v>EXCLUDE: Cancelled order</x:v>
      </x:c>
      <x:c r="AD521" t="str">
        <x:f>IF(AND(U521="Completed",T521="Paid",ISERROR(SEARCH("INVALID",AC521)),ISERROR(SEARCH("REVIEW",AC521))),"Include","Exclude")</x:f>
        <x:v>Exclude</x:v>
      </x:c>
      <x:c r="AE521" t="str">
        <x:f>IF(T521="Refunded","Refunded","")</x:f>
      </x:c>
    </x:row>
    <x:row r="522">
      <x:c r="A522" t="str">
        <x:v>ORD-2024-10521</x:v>
      </x:c>
      <x:c r="B522" s="5" t="n">
        <x:v>45489</x:v>
      </x:c>
      <x:c r="C522" s="5" t="n">
        <x:v>45496</x:v>
      </x:c>
      <x:c r="D522" t="str">
        <x:v>CUST-2155</x:v>
      </x:c>
      <x:c r="E522" t="str">
        <x:v>Aarav Sharma</x:v>
      </x:c>
      <x:c r="F522" t="str">
        <x:v>Home Office</x:v>
      </x:c>
      <x:c r="G522" t="str">
        <x:v>South</x:v>
      </x:c>
      <x:c r="H522" t="str">
        <x:v>Karnataka</x:v>
      </x:c>
      <x:c r="I522" t="str">
        <x:v>Bengaluru</x:v>
      </x:c>
      <x:c r="J522" t="str">
        <x:v>Technology</x:v>
      </x:c>
      <x:c r="K522" t="str">
        <x:v>Machines</x:v>
      </x:c>
      <x:c r="L522" t="str">
        <x:v>Prime Machines 393</x:v>
      </x:c>
      <x:c r="M522" t="str">
        <x:v>Same Day</x:v>
      </x:c>
      <x:c r="N522" t="n">
        <x:v>1</x:v>
      </x:c>
      <x:c r="O522" s="7" t="n">
        <x:v>1695.91</x:v>
      </x:c>
      <x:c r="P522" s="6" t="n">
        <x:v>0.05</x:v>
      </x:c>
      <x:c r="Q522" s="7" t="n">
        <x:v>1611.11</x:v>
      </x:c>
      <x:c r="R522" s="7" t="n">
        <x:v>895.15</x:v>
      </x:c>
      <x:c r="S522" s="7" t="n">
        <x:v>715.96</x:v>
      </x:c>
      <x:c r="T522" t="str">
        <x:v>Paid</x:v>
      </x:c>
      <x:c r="U522" t="str">
        <x:v>Completed</x:v>
      </x:c>
      <x:c r="V522" s="6" t="n">
        <x:f>IF(ISBLANK(P522),IF(AND(ISNUMBER(N522),N522&gt;0,ISNUMBER(O522),O522&gt;=0,ISNUMBER(Q522),Q522&gt;=0,ISNUMBER(R522),R522&gt;=0,ISNUMBER(S522)),0,""),P522)</x:f>
        <x:v>0.05</x:v>
      </x:c>
      <x:c r="W522" s="7" t="n">
        <x:f>IF(ISBLANK(V522),"",N522*O522*(1-V522))</x:f>
        <x:v>1611.1145</x:v>
      </x:c>
      <x:c r="X522" s="7" t="n">
        <x:f>IF(OR(ISBLANK(W522),ISBLANK(R522)),"",W522-R522)</x:f>
        <x:v>715.9644999999999</x:v>
      </x:c>
      <x:c r="Y522" s="8" t="n">
        <x:f>IF(OR(ISBLANK(W522),W522=0),"",X522/W522)</x:f>
        <x:v>0.4443908238675774</x:v>
      </x:c>
      <x:c r="Z522" s="9" t="n">
        <x:f>IF(OR(ISBLANK(B522),ISBLANK(C522)),"",C522-B522)</x:f>
        <x:v>7</x:v>
      </x:c>
      <x:c r="AA522" t="str">
        <x:f>IF(ISBLANK(B522),"",TEXT(B522,"mmm"))</x:f>
        <x:v>Jul</x:v>
      </x:c>
      <x:c r="AB522" s="9" t="n">
        <x:f>IF(ISBLANK(B522),"",YEAR(B522))</x:f>
        <x:v>2024</x:v>
      </x:c>
      <x:c r="AC522" s="10" t="str"/>
      <x:c r="AD522" t="str">
        <x:f>IF(AND(U522="Completed",T522="Paid",ISERROR(SEARCH("INVALID",AC522)),ISERROR(SEARCH("REVIEW",AC522))),"Include","Exclude")</x:f>
        <x:v>Include</x:v>
      </x:c>
      <x:c r="AE522" t="str">
        <x:f>IF(T522="Refunded","Refunded","")</x:f>
      </x:c>
    </x:row>
    <x:row r="523">
      <x:c r="A523" t="str">
        <x:v>ORD-2025-10522</x:v>
      </x:c>
      <x:c r="B523" s="5" t="n">
        <x:v>45741</x:v>
      </x:c>
      <x:c r="C523" s="5" t="n">
        <x:v>45748</x:v>
      </x:c>
      <x:c r="D523" t="str">
        <x:v>CUST-8012</x:v>
      </x:c>
      <x:c r="E523" t="str">
        <x:v>Diya Patel</x:v>
      </x:c>
      <x:c r="F523" t="str">
        <x:v>Consumer</x:v>
      </x:c>
      <x:c r="G523" t="str">
        <x:v>North</x:v>
      </x:c>
      <x:c r="H523" t="str">
        <x:v>Punjab</x:v>
      </x:c>
      <x:c r="I523" t="str">
        <x:v>Ludhiana</x:v>
      </x:c>
      <x:c r="J523" t="str">
        <x:v>Office Supplies</x:v>
      </x:c>
      <x:c r="K523" t="str">
        <x:v>Labels</x:v>
      </x:c>
      <x:c r="L523" t="str">
        <x:v>Classic Labels 776</x:v>
      </x:c>
      <x:c r="M523" t="str">
        <x:v>Second Class</x:v>
      </x:c>
      <x:c r="N523" t="n">
        <x:v>6</x:v>
      </x:c>
      <x:c r="O523" s="7" t="n">
        <x:v>2192.11</x:v>
      </x:c>
      <x:c r="P523" s="6" t="n">
        <x:v>0.05</x:v>
      </x:c>
      <x:c r="Q523" s="7" t="n">
        <x:v>12495.03</x:v>
      </x:c>
      <x:c r="R523" s="7" t="n">
        <x:v>9184.52</x:v>
      </x:c>
      <x:c r="S523" s="7" t="n">
        <x:v>3310.51</x:v>
      </x:c>
      <x:c r="T523" t="str">
        <x:v>Paid</x:v>
      </x:c>
      <x:c r="U523" t="str">
        <x:v>Completed</x:v>
      </x:c>
      <x:c r="V523" s="6" t="n">
        <x:f>IF(ISBLANK(P523),IF(AND(ISNUMBER(N523),N523&gt;0,ISNUMBER(O523),O523&gt;=0,ISNUMBER(Q523),Q523&gt;=0,ISNUMBER(R523),R523&gt;=0,ISNUMBER(S523)),0,""),P523)</x:f>
        <x:v>0.05</x:v>
      </x:c>
      <x:c r="W523" s="7" t="n">
        <x:f>IF(ISBLANK(V523),"",N523*O523*(1-V523))</x:f>
        <x:v>12495.027</x:v>
      </x:c>
      <x:c r="X523" s="7" t="n">
        <x:f>IF(OR(ISBLANK(W523),ISBLANK(R523)),"",W523-R523)</x:f>
        <x:v>3310.5069999999996</x:v>
      </x:c>
      <x:c r="Y523" s="8" t="n">
        <x:f>IF(OR(ISBLANK(W523),W523=0),"",X523/W523)</x:f>
        <x:v>0.26494596610315446</x:v>
      </x:c>
      <x:c r="Z523" s="9" t="n">
        <x:f>IF(OR(ISBLANK(B523),ISBLANK(C523)),"",C523-B523)</x:f>
        <x:v>7</x:v>
      </x:c>
      <x:c r="AA523" t="str">
        <x:f>IF(ISBLANK(B523),"",TEXT(B523,"mmm"))</x:f>
        <x:v>Mar</x:v>
      </x:c>
      <x:c r="AB523" s="9" t="n">
        <x:f>IF(ISBLANK(B523),"",YEAR(B523))</x:f>
        <x:v>2025</x:v>
      </x:c>
      <x:c r="AC523" s="10" t="str"/>
      <x:c r="AD523" t="str">
        <x:f>IF(AND(U523="Completed",T523="Paid",ISERROR(SEARCH("INVALID",AC523)),ISERROR(SEARCH("REVIEW",AC523))),"Include","Exclude")</x:f>
        <x:v>Include</x:v>
      </x:c>
      <x:c r="AE523" t="str">
        <x:f>IF(T523="Refunded","Refunded","")</x:f>
      </x:c>
    </x:row>
    <x:row r="524">
      <x:c r="A524" t="str">
        <x:v>ORD-2025-10523</x:v>
      </x:c>
      <x:c r="B524" s="5" t="n">
        <x:v>45716</x:v>
      </x:c>
      <x:c r="C524" s="5" t="n">
        <x:v>45724</x:v>
      </x:c>
      <x:c r="D524" t="str">
        <x:v>CUST-2917</x:v>
      </x:c>
      <x:c r="E524" t="str">
        <x:v>Neha Gupta</x:v>
      </x:c>
      <x:c r="F524" t="str">
        <x:v>Small Business</x:v>
      </x:c>
      <x:c r="G524" t="str">
        <x:v>East</x:v>
      </x:c>
      <x:c r="H524" t="str">
        <x:v>Jharkhand</x:v>
      </x:c>
      <x:c r="I524" t="str">
        <x:v>Ranchi</x:v>
      </x:c>
      <x:c r="J524" t="str">
        <x:v>Technology</x:v>
      </x:c>
      <x:c r="K524" t="str">
        <x:v>Phones</x:v>
      </x:c>
      <x:c r="L524" t="str">
        <x:v>Max Phones 612</x:v>
      </x:c>
      <x:c r="M524" t="str">
        <x:v>First Class</x:v>
      </x:c>
      <x:c r="N524" t="n">
        <x:v>9</x:v>
      </x:c>
      <x:c r="O524" s="7" t="n">
        <x:v>3670.54</x:v>
      </x:c>
      <x:c r="P524" s="6" t="n">
        <x:v>0</x:v>
      </x:c>
      <x:c r="Q524" s="7" t="n">
        <x:v>33034.86</x:v>
      </x:c>
      <x:c r="R524" s="7" t="n">
        <x:v>24539.83</x:v>
      </x:c>
      <x:c r="S524" s="7" t="n">
        <x:v>8495.03</x:v>
      </x:c>
      <x:c r="T524" t="str">
        <x:v>Paid</x:v>
      </x:c>
      <x:c r="U524" t="str">
        <x:v>Completed</x:v>
      </x:c>
      <x:c r="V524" s="6" t="n">
        <x:f>IF(ISBLANK(P524),IF(AND(ISNUMBER(N524),N524&gt;0,ISNUMBER(O524),O524&gt;=0,ISNUMBER(Q524),Q524&gt;=0,ISNUMBER(R524),R524&gt;=0,ISNUMBER(S524)),0,""),P524)</x:f>
        <x:v>0</x:v>
      </x:c>
      <x:c r="W524" s="7" t="n">
        <x:f>IF(ISBLANK(V524),"",N524*O524*(1-V524))</x:f>
        <x:v>33034.86</x:v>
      </x:c>
      <x:c r="X524" s="7" t="n">
        <x:f>IF(OR(ISBLANK(W524),ISBLANK(R524)),"",W524-R524)</x:f>
        <x:v>8495.029999999999</x:v>
      </x:c>
      <x:c r="Y524" s="8" t="n">
        <x:f>IF(OR(ISBLANK(W524),W524=0),"",X524/W524)</x:f>
        <x:v>0.25715350390466307</x:v>
      </x:c>
      <x:c r="Z524" s="9" t="n">
        <x:f>IF(OR(ISBLANK(B524),ISBLANK(C524)),"",C524-B524)</x:f>
        <x:v>8</x:v>
      </x:c>
      <x:c r="AA524" t="str">
        <x:f>IF(ISBLANK(B524),"",TEXT(B524,"mmm"))</x:f>
        <x:v>Feb</x:v>
      </x:c>
      <x:c r="AB524" s="9" t="n">
        <x:f>IF(ISBLANK(B524),"",YEAR(B524))</x:f>
        <x:v>2025</x:v>
      </x:c>
      <x:c r="AC524" s="10" t="str"/>
      <x:c r="AD524" t="str">
        <x:f>IF(AND(U524="Completed",T524="Paid",ISERROR(SEARCH("INVALID",AC524)),ISERROR(SEARCH("REVIEW",AC524))),"Include","Exclude")</x:f>
        <x:v>Include</x:v>
      </x:c>
      <x:c r="AE524" t="str">
        <x:f>IF(T524="Refunded","Refunded","")</x:f>
      </x:c>
    </x:row>
    <x:row r="525">
      <x:c r="A525" t="str">
        <x:v>ORD-2024-10524</x:v>
      </x:c>
      <x:c r="B525" s="5" t="n">
        <x:v>45384</x:v>
      </x:c>
      <x:c r="C525" s="5" t="n">
        <x:v>45385</x:v>
      </x:c>
      <x:c r="D525" t="str">
        <x:v>CUST-4653</x:v>
      </x:c>
      <x:c r="E525" t="str">
        <x:v>Kabir Singh</x:v>
      </x:c>
      <x:c r="F525" t="str">
        <x:v>Home Office</x:v>
      </x:c>
      <x:c r="G525" t="str">
        <x:v>West</x:v>
      </x:c>
      <x:c r="H525" t="str">
        <x:v>Goa</x:v>
      </x:c>
      <x:c r="I525" t="str">
        <x:v>Panaji</x:v>
      </x:c>
      <x:c r="J525" t="str">
        <x:v>Office Supplies</x:v>
      </x:c>
      <x:c r="K525" t="str">
        <x:v>Paper</x:v>
      </x:c>
      <x:c r="L525" t="str">
        <x:v>Basic Paper 315</x:v>
      </x:c>
      <x:c r="M525" t="str">
        <x:v>Second Class</x:v>
      </x:c>
      <x:c r="N525" t="n">
        <x:v>2</x:v>
      </x:c>
      <x:c r="O525" s="7" t="n">
        <x:v>2902.63</x:v>
      </x:c>
      <x:c r="P525" s="6" t="n">
        <x:v>0</x:v>
      </x:c>
      <x:c r="Q525" s="7" t="n">
        <x:v>5805.26</x:v>
      </x:c>
      <x:c r="R525" s="7" t="n">
        <x:v>4654.36</x:v>
      </x:c>
      <x:c r="S525" s="7" t="n">
        <x:v>1150.9</x:v>
      </x:c>
      <x:c r="T525" t="str">
        <x:v>Paid</x:v>
      </x:c>
      <x:c r="U525" t="str">
        <x:v>Returned</x:v>
      </x:c>
      <x:c r="V525" s="6" t="n">
        <x:f>IF(ISBLANK(P525),IF(AND(ISNUMBER(N525),N525&gt;0,ISNUMBER(O525),O525&gt;=0,ISNUMBER(Q525),Q525&gt;=0,ISNUMBER(R525),R525&gt;=0,ISNUMBER(S525)),0,""),P525)</x:f>
        <x:v>0</x:v>
      </x:c>
      <x:c r="W525" s="7" t="n">
        <x:f>IF(ISBLANK(V525),"",N525*O525*(1-V525))</x:f>
        <x:v>5805.26</x:v>
      </x:c>
      <x:c r="X525" s="7" t="n">
        <x:f>IF(OR(ISBLANK(W525),ISBLANK(R525)),"",W525-R525)</x:f>
        <x:v>1150.9000000000005</x:v>
      </x:c>
      <x:c r="Y525" s="8" t="n">
        <x:f>IF(OR(ISBLANK(W525),W525=0),"",X525/W525)</x:f>
        <x:v>0.19825124111581574</x:v>
      </x:c>
      <x:c r="Z525" s="9" t="n">
        <x:f>IF(OR(ISBLANK(B525),ISBLANK(C525)),"",C525-B525)</x:f>
        <x:v>1</x:v>
      </x:c>
      <x:c r="AA525" t="str">
        <x:f>IF(ISBLANK(B525),"",TEXT(B525,"mmm"))</x:f>
        <x:v>Apr</x:v>
      </x:c>
      <x:c r="AB525" s="9" t="n">
        <x:f>IF(ISBLANK(B525),"",YEAR(B525))</x:f>
        <x:v>2024</x:v>
      </x:c>
      <x:c r="AC525" s="10" t="str"/>
      <x:c r="AD525" t="str">
        <x:f>IF(AND(U525="Completed",T525="Paid",ISERROR(SEARCH("INVALID",AC525)),ISERROR(SEARCH("REVIEW",AC525))),"Include","Exclude")</x:f>
        <x:v>Exclude</x:v>
      </x:c>
      <x:c r="AE525" t="str">
        <x:f>IF(T525="Refunded","Refunded","")</x:f>
      </x:c>
    </x:row>
    <x:row r="526">
      <x:c r="A526" t="str">
        <x:v>ORD-2024-10525</x:v>
      </x:c>
      <x:c r="B526" s="5" t="n">
        <x:v>45626</x:v>
      </x:c>
      <x:c r="C526" s="5" t="n">
        <x:v>45627</x:v>
      </x:c>
      <x:c r="D526" t="str">
        <x:v>CUST-3311</x:v>
      </x:c>
      <x:c r="E526" t="str">
        <x:v>Ananya Rao</x:v>
      </x:c>
      <x:c r="F526" t="str">
        <x:v>Corporate</x:v>
      </x:c>
      <x:c r="G526" t="str">
        <x:v>West</x:v>
      </x:c>
      <x:c r="H526" t="str">
        <x:v>Gujarat</x:v>
      </x:c>
      <x:c r="I526" t="str">
        <x:v>Ahmedabad</x:v>
      </x:c>
      <x:c r="J526" t="str">
        <x:v>Furniture</x:v>
      </x:c>
      <x:c r="K526" t="str">
        <x:v>Chairs</x:v>
      </x:c>
      <x:c r="L526" t="str">
        <x:v>Basic Chairs 333</x:v>
      </x:c>
      <x:c r="M526" t="str">
        <x:v>First Class</x:v>
      </x:c>
      <x:c r="N526" t="n">
        <x:v>9</x:v>
      </x:c>
      <x:c r="O526" s="7" t="n">
        <x:v>4207.36</x:v>
      </x:c>
      <x:c r="P526" s="6" t="n">
        <x:v>0.1</x:v>
      </x:c>
      <x:c r="Q526" s="7" t="n">
        <x:v>34079.62</x:v>
      </x:c>
      <x:c r="R526" s="7" t="n">
        <x:v>21871.39</x:v>
      </x:c>
      <x:c r="S526" s="7" t="n">
        <x:v>12208.23</x:v>
      </x:c>
      <x:c r="T526" t="str">
        <x:v>Paid</x:v>
      </x:c>
      <x:c r="U526" t="str">
        <x:v>Completed</x:v>
      </x:c>
      <x:c r="V526" s="6" t="n">
        <x:f>IF(ISBLANK(P526),IF(AND(ISNUMBER(N526),N526&gt;0,ISNUMBER(O526),O526&gt;=0,ISNUMBER(Q526),Q526&gt;=0,ISNUMBER(R526),R526&gt;=0,ISNUMBER(S526)),0,""),P526)</x:f>
        <x:v>0.1</x:v>
      </x:c>
      <x:c r="W526" s="7" t="n">
        <x:f>IF(ISBLANK(V526),"",N526*O526*(1-V526))</x:f>
        <x:v>34079.616</x:v>
      </x:c>
      <x:c r="X526" s="7" t="n">
        <x:f>IF(OR(ISBLANK(W526),ISBLANK(R526)),"",W526-R526)</x:f>
        <x:v>12208.226000000002</x:v>
      </x:c>
      <x:c r="Y526" s="8" t="n">
        <x:f>IF(OR(ISBLANK(W526),W526=0),"",X526/W526)</x:f>
        <x:v>0.3582266302531109</x:v>
      </x:c>
      <x:c r="Z526" s="9" t="n">
        <x:f>IF(OR(ISBLANK(B526),ISBLANK(C526)),"",C526-B526)</x:f>
        <x:v>1</x:v>
      </x:c>
      <x:c r="AA526" t="str">
        <x:f>IF(ISBLANK(B526),"",TEXT(B526,"mmm"))</x:f>
        <x:v>Nov</x:v>
      </x:c>
      <x:c r="AB526" s="9" t="n">
        <x:f>IF(ISBLANK(B526),"",YEAR(B526))</x:f>
        <x:v>2024</x:v>
      </x:c>
      <x:c r="AC526" s="10" t="str"/>
      <x:c r="AD526" t="str">
        <x:f>IF(AND(U526="Completed",T526="Paid",ISERROR(SEARCH("INVALID",AC526)),ISERROR(SEARCH("REVIEW",AC526))),"Include","Exclude")</x:f>
        <x:v>Include</x:v>
      </x:c>
      <x:c r="AE526" t="str">
        <x:f>IF(T526="Refunded","Refunded","")</x:f>
      </x:c>
    </x:row>
    <x:row r="527">
      <x:c r="A527" t="str">
        <x:v>ORD-2024-10526</x:v>
      </x:c>
      <x:c r="B527" s="5" t="n">
        <x:v>45582</x:v>
      </x:c>
      <x:c r="C527" s="5" t="n">
        <x:v>45582</x:v>
      </x:c>
      <x:c r="D527" t="str">
        <x:v>CUST-2924</x:v>
      </x:c>
      <x:c r="E527" t="str">
        <x:v>Priya Menon</x:v>
      </x:c>
      <x:c r="F527" t="str">
        <x:v>Home Office</x:v>
      </x:c>
      <x:c r="G527" t="str">
        <x:v>East</x:v>
      </x:c>
      <x:c r="H527" t="str">
        <x:v>West Bengal</x:v>
      </x:c>
      <x:c r="I527" t="str">
        <x:v>Kolkata</x:v>
      </x:c>
      <x:c r="J527" t="str">
        <x:v>Furniture</x:v>
      </x:c>
      <x:c r="K527" t="str">
        <x:v>Chairs</x:v>
      </x:c>
      <x:c r="L527" t="str">
        <x:v>Prime Chairs 215</x:v>
      </x:c>
      <x:c r="M527" t="str">
        <x:v>Standard Class</x:v>
      </x:c>
      <x:c r="N527" t="n">
        <x:v>5</x:v>
      </x:c>
      <x:c r="O527" s="7" t="n">
        <x:v>2524.4</x:v>
      </x:c>
      <x:c r="P527" s="6" t="n">
        <x:v>0.1</x:v>
      </x:c>
      <x:c r="Q527" s="7" t="n">
        <x:v>11359.8</x:v>
      </x:c>
      <x:c r="R527" s="7" t="n">
        <x:v>7062.44</x:v>
      </x:c>
      <x:c r="S527" s="7" t="n">
        <x:v>4297.36</x:v>
      </x:c>
      <x:c r="T527" t="str">
        <x:v>Paid</x:v>
      </x:c>
      <x:c r="U527" t="str">
        <x:v>Completed</x:v>
      </x:c>
      <x:c r="V527" s="6" t="n">
        <x:f>IF(ISBLANK(P527),IF(AND(ISNUMBER(N527),N527&gt;0,ISNUMBER(O527),O527&gt;=0,ISNUMBER(Q527),Q527&gt;=0,ISNUMBER(R527),R527&gt;=0,ISNUMBER(S527)),0,""),P527)</x:f>
        <x:v>0.1</x:v>
      </x:c>
      <x:c r="W527" s="7" t="n">
        <x:f>IF(ISBLANK(V527),"",N527*O527*(1-V527))</x:f>
        <x:v>11359.800000000001</x:v>
      </x:c>
      <x:c r="X527" s="7" t="n">
        <x:f>IF(OR(ISBLANK(W527),ISBLANK(R527)),"",W527-R527)</x:f>
        <x:v>4297.3600000000015</x:v>
      </x:c>
      <x:c r="Y527" s="8" t="n">
        <x:f>IF(OR(ISBLANK(W527),W527=0),"",X527/W527)</x:f>
        <x:v>0.3782953925245164</x:v>
      </x:c>
      <x:c r="Z527" s="9" t="n">
        <x:f>IF(OR(ISBLANK(B527),ISBLANK(C527)),"",C527-B527)</x:f>
        <x:v>0</x:v>
      </x:c>
      <x:c r="AA527" t="str">
        <x:f>IF(ISBLANK(B527),"",TEXT(B527,"mmm"))</x:f>
        <x:v>Oct</x:v>
      </x:c>
      <x:c r="AB527" s="9" t="n">
        <x:f>IF(ISBLANK(B527),"",YEAR(B527))</x:f>
        <x:v>2024</x:v>
      </x:c>
      <x:c r="AC527" s="10" t="str"/>
      <x:c r="AD527" t="str">
        <x:f>IF(AND(U527="Completed",T527="Paid",ISERROR(SEARCH("INVALID",AC527)),ISERROR(SEARCH("REVIEW",AC527))),"Include","Exclude")</x:f>
        <x:v>Include</x:v>
      </x:c>
      <x:c r="AE527" t="str">
        <x:f>IF(T527="Refunded","Refunded","")</x:f>
      </x:c>
    </x:row>
    <x:row r="528">
      <x:c r="A528" t="str">
        <x:v>ORD-2025-10527</x:v>
      </x:c>
      <x:c r="B528" s="5" t="n">
        <x:v>45856</x:v>
      </x:c>
      <x:c r="C528" s="5" t="n">
        <x:v>45859</x:v>
      </x:c>
      <x:c r="D528" t="str">
        <x:v>CUST-7198</x:v>
      </x:c>
      <x:c r="E528" t="str">
        <x:v>Priya Menon</x:v>
      </x:c>
      <x:c r="F528" t="str">
        <x:v>Consumer</x:v>
      </x:c>
      <x:c r="G528" t="str">
        <x:v>East</x:v>
      </x:c>
      <x:c r="H528" t="str">
        <x:v>Odisha</x:v>
      </x:c>
      <x:c r="I528" t="str">
        <x:v>Bhubaneswar</x:v>
      </x:c>
      <x:c r="J528" t="str">
        <x:v>Furniture</x:v>
      </x:c>
      <x:c r="K528" t="str">
        <x:v>Tables</x:v>
      </x:c>
      <x:c r="L528" t="str">
        <x:v>Elite Tables 815</x:v>
      </x:c>
      <x:c r="M528" t="str">
        <x:v>Second Class</x:v>
      </x:c>
      <x:c r="N528" t="n">
        <x:v>4</x:v>
      </x:c>
      <x:c r="O528" s="7" t="n">
        <x:v>284.04</x:v>
      </x:c>
      <x:c r="P528" s="6"/>
      <x:c r="Q528" s="7" t="n">
        <x:v>908.93</x:v>
      </x:c>
      <x:c r="R528" s="7" t="n">
        <x:v>572.08</x:v>
      </x:c>
      <x:c r="S528" s="7" t="n">
        <x:v>336.85</x:v>
      </x:c>
      <x:c r="T528" t="str">
        <x:v>Paid</x:v>
      </x:c>
      <x:c r="U528" t="str">
        <x:v>Completed</x:v>
      </x:c>
      <x:c r="V528" s="6" t="n">
        <x:f>IF(ISBLANK(P528),IF(AND(ISNUMBER(N528),N528&gt;0,ISNUMBER(O528),O528&gt;=0,ISNUMBER(Q528),Q528&gt;=0,ISNUMBER(R528),R528&gt;=0,ISNUMBER(S528)),0,""),P528)</x:f>
        <x:v>0</x:v>
      </x:c>
      <x:c r="W528" s="7" t="n">
        <x:f>IF(ISBLANK(V528),"",N528*O528*(1-V528))</x:f>
        <x:v>1136.16</x:v>
      </x:c>
      <x:c r="X528" s="7" t="n">
        <x:f>IF(OR(ISBLANK(W528),ISBLANK(R528)),"",W528-R528)</x:f>
        <x:v>564.08</x:v>
      </x:c>
      <x:c r="Y528" s="8" t="n">
        <x:f>IF(OR(ISBLANK(W528),W528=0),"",X528/W528)</x:f>
        <x:v>0.49647936910294327</x:v>
      </x:c>
      <x:c r="Z528" s="9" t="n">
        <x:f>IF(OR(ISBLANK(B528),ISBLANK(C528)),"",C528-B528)</x:f>
        <x:v>3</x:v>
      </x:c>
      <x:c r="AA528" t="str">
        <x:f>IF(ISBLANK(B528),"",TEXT(B528,"mmm"))</x:f>
        <x:v>Jul</x:v>
      </x:c>
      <x:c r="AB528" s="9" t="n">
        <x:f>IF(ISBLANK(B528),"",YEAR(B528))</x:f>
        <x:v>2025</x:v>
      </x:c>
      <x:c r="AC528" s="10" t="str">
        <x:v>FLAG: Missing discount treated as 0</x:v>
      </x:c>
      <x:c r="AD528" t="str">
        <x:f>IF(AND(U528="Completed",T528="Paid",ISERROR(SEARCH("INVALID",AC528)),ISERROR(SEARCH("REVIEW",AC528))),"Include","Exclude")</x:f>
        <x:v>Include</x:v>
      </x:c>
      <x:c r="AE528" t="str">
        <x:f>IF(T528="Refunded","Refunded","")</x:f>
      </x:c>
    </x:row>
    <x:row r="529">
      <x:c r="A529" t="str">
        <x:v>ORD-2025-10528</x:v>
      </x:c>
      <x:c r="B529" s="5" t="n">
        <x:v>45931</x:v>
      </x:c>
      <x:c r="C529" s="5" t="n">
        <x:v>45935</x:v>
      </x:c>
      <x:c r="D529" t="str">
        <x:v>CUST-3419</x:v>
      </x:c>
      <x:c r="E529" t="str">
        <x:v>Aditi Sen</x:v>
      </x:c>
      <x:c r="F529" t="str">
        <x:v>Home Office</x:v>
      </x:c>
      <x:c r="G529" t="str">
        <x:v>North</x:v>
      </x:c>
      <x:c r="H529" t="str">
        <x:v>Haryana</x:v>
      </x:c>
      <x:c r="I529" t="str">
        <x:v>Gurugram</x:v>
      </x:c>
      <x:c r="J529" t="str">
        <x:v>Office Supplies</x:v>
      </x:c>
      <x:c r="K529" t="str">
        <x:v>Paper</x:v>
      </x:c>
      <x:c r="L529" t="str">
        <x:v>Basic Paper 388</x:v>
      </x:c>
      <x:c r="M529" t="str">
        <x:v>First Class</x:v>
      </x:c>
      <x:c r="N529" t="n">
        <x:v>5</x:v>
      </x:c>
      <x:c r="O529" s="7" t="n">
        <x:v>3247.56</x:v>
      </x:c>
      <x:c r="P529" s="6" t="n">
        <x:v>0.15</x:v>
      </x:c>
      <x:c r="Q529" s="7" t="n">
        <x:v>13802.13</x:v>
      </x:c>
      <x:c r="R529" s="7" t="n">
        <x:v>10075.93</x:v>
      </x:c>
      <x:c r="S529" s="7" t="n">
        <x:v>3726.2</x:v>
      </x:c>
      <x:c r="T529" t="str">
        <x:v>Paid</x:v>
      </x:c>
      <x:c r="U529" t="str">
        <x:v>Completed</x:v>
      </x:c>
      <x:c r="V529" s="6" t="n">
        <x:f>IF(ISBLANK(P529),IF(AND(ISNUMBER(N529),N529&gt;0,ISNUMBER(O529),O529&gt;=0,ISNUMBER(Q529),Q529&gt;=0,ISNUMBER(R529),R529&gt;=0,ISNUMBER(S529)),0,""),P529)</x:f>
        <x:v>0.15</x:v>
      </x:c>
      <x:c r="W529" s="7" t="n">
        <x:f>IF(ISBLANK(V529),"",N529*O529*(1-V529))</x:f>
        <x:v>13802.13</x:v>
      </x:c>
      <x:c r="X529" s="7" t="n">
        <x:f>IF(OR(ISBLANK(W529),ISBLANK(R529)),"",W529-R529)</x:f>
        <x:v>3726.199999999999</x:v>
      </x:c>
      <x:c r="Y529" s="8" t="n">
        <x:f>IF(OR(ISBLANK(W529),W529=0),"",X529/W529)</x:f>
        <x:v>0.2699728230352851</x:v>
      </x:c>
      <x:c r="Z529" s="9" t="n">
        <x:f>IF(OR(ISBLANK(B529),ISBLANK(C529)),"",C529-B529)</x:f>
        <x:v>4</x:v>
      </x:c>
      <x:c r="AA529" t="str">
        <x:f>IF(ISBLANK(B529),"",TEXT(B529,"mmm"))</x:f>
        <x:v>Oct</x:v>
      </x:c>
      <x:c r="AB529" s="9" t="n">
        <x:f>IF(ISBLANK(B529),"",YEAR(B529))</x:f>
        <x:v>2025</x:v>
      </x:c>
      <x:c r="AC529" s="10" t="str"/>
      <x:c r="AD529" t="str">
        <x:f>IF(AND(U529="Completed",T529="Paid",ISERROR(SEARCH("INVALID",AC529)),ISERROR(SEARCH("REVIEW",AC529))),"Include","Exclude")</x:f>
        <x:v>Include</x:v>
      </x:c>
      <x:c r="AE529" t="str">
        <x:f>IF(T529="Refunded","Refunded","")</x:f>
      </x:c>
    </x:row>
    <x:row r="530">
      <x:c r="A530" t="str">
        <x:v>ORD-2024-10529</x:v>
      </x:c>
      <x:c r="B530" s="5" t="n">
        <x:v>45572</x:v>
      </x:c>
      <x:c r="C530" s="5" t="n">
        <x:v>45574</x:v>
      </x:c>
      <x:c r="D530" t="str">
        <x:v>CUST-2390</x:v>
      </x:c>
      <x:c r="E530" t="str">
        <x:v>Diya Patel</x:v>
      </x:c>
      <x:c r="F530" t="str">
        <x:v>Consumer</x:v>
      </x:c>
      <x:c r="G530" t="str">
        <x:v>South</x:v>
      </x:c>
      <x:c r="H530" t="str">
        <x:v>Tamil Nadu</x:v>
      </x:c>
      <x:c r="I530" t="str">
        <x:v>Chennai</x:v>
      </x:c>
      <x:c r="J530" t="str">
        <x:v>Office Supplies</x:v>
      </x:c>
      <x:c r="K530" t="str">
        <x:v>Binders</x:v>
      </x:c>
      <x:c r="L530" t="str">
        <x:v>Eco Binders 855</x:v>
      </x:c>
      <x:c r="M530" t="str">
        <x:v>Standard Class</x:v>
      </x:c>
      <x:c r="N530" t="n">
        <x:v>9</x:v>
      </x:c>
      <x:c r="O530" s="7" t="n">
        <x:v>3457.09</x:v>
      </x:c>
      <x:c r="P530" s="6" t="n">
        <x:v>0.05</x:v>
      </x:c>
      <x:c r="Q530" s="7" t="n">
        <x:v>29558.12</x:v>
      </x:c>
      <x:c r="R530" s="7" t="n">
        <x:v>21302.13</x:v>
      </x:c>
      <x:c r="S530" s="7" t="n">
        <x:v>8255.99</x:v>
      </x:c>
      <x:c r="T530" t="str">
        <x:v>Pending</x:v>
      </x:c>
      <x:c r="U530" t="str">
        <x:v>Returned</x:v>
      </x:c>
      <x:c r="V530" s="6" t="n">
        <x:f>IF(ISBLANK(P530),IF(AND(ISNUMBER(N530),N530&gt;0,ISNUMBER(O530),O530&gt;=0,ISNUMBER(Q530),Q530&gt;=0,ISNUMBER(R530),R530&gt;=0,ISNUMBER(S530)),0,""),P530)</x:f>
        <x:v>0.05</x:v>
      </x:c>
      <x:c r="W530" s="7" t="n">
        <x:f>IF(ISBLANK(V530),"",N530*O530*(1-V530))</x:f>
        <x:v>29558.1195</x:v>
      </x:c>
      <x:c r="X530" s="7" t="n">
        <x:f>IF(OR(ISBLANK(W530),ISBLANK(R530)),"",W530-R530)</x:f>
        <x:v>8255.9895</x:v>
      </x:c>
      <x:c r="Y530" s="8" t="n">
        <x:f>IF(OR(ISBLANK(W530),W530=0),"",X530/W530)</x:f>
        <x:v>0.2793137601328122</x:v>
      </x:c>
      <x:c r="Z530" s="9" t="n">
        <x:f>IF(OR(ISBLANK(B530),ISBLANK(C530)),"",C530-B530)</x:f>
        <x:v>2</x:v>
      </x:c>
      <x:c r="AA530" t="str">
        <x:f>IF(ISBLANK(B530),"",TEXT(B530,"mmm"))</x:f>
        <x:v>Oct</x:v>
      </x:c>
      <x:c r="AB530" s="9" t="n">
        <x:f>IF(ISBLANK(B530),"",YEAR(B530))</x:f>
        <x:v>2024</x:v>
      </x:c>
      <x:c r="AC530" s="10" t="str"/>
      <x:c r="AD530" t="str">
        <x:f>IF(AND(U530="Completed",T530="Paid",ISERROR(SEARCH("INVALID",AC530)),ISERROR(SEARCH("REVIEW",AC530))),"Include","Exclude")</x:f>
        <x:v>Exclude</x:v>
      </x:c>
      <x:c r="AE530" t="str">
        <x:f>IF(T530="Refunded","Refunded","")</x:f>
      </x:c>
    </x:row>
    <x:row r="531">
      <x:c r="A531" t="str">
        <x:v>ORD-2024-10530</x:v>
      </x:c>
      <x:c r="B531" s="5" t="n">
        <x:v>45328</x:v>
      </x:c>
      <x:c r="C531" s="5" t="n">
        <x:v>45330</x:v>
      </x:c>
      <x:c r="D531" t="str">
        <x:v>CUST-3362</x:v>
      </x:c>
      <x:c r="E531" t="str">
        <x:v>Karan Malhotra</x:v>
      </x:c>
      <x:c r="F531" t="str">
        <x:v>Consumer</x:v>
      </x:c>
      <x:c r="G531" t="str">
        <x:v>East</x:v>
      </x:c>
      <x:c r="H531" t="str">
        <x:v>Jharkhand</x:v>
      </x:c>
      <x:c r="I531" t="str">
        <x:v>Ranchi</x:v>
      </x:c>
      <x:c r="J531" t="str">
        <x:v>Furniture</x:v>
      </x:c>
      <x:c r="K531" t="str">
        <x:v>Bookcases</x:v>
      </x:c>
      <x:c r="L531" t="str">
        <x:v>Classic Bookcases 947</x:v>
      </x:c>
      <x:c r="M531" t="str">
        <x:v>Second Class</x:v>
      </x:c>
      <x:c r="N531" t="n">
        <x:v>9</x:v>
      </x:c>
      <x:c r="O531" s="7" t="n">
        <x:v>1822.25</x:v>
      </x:c>
      <x:c r="P531" s="6" t="n">
        <x:v>0</x:v>
      </x:c>
      <x:c r="Q531" s="7" t="n">
        <x:v>16400.25</x:v>
      </x:c>
      <x:c r="R531" s="7" t="n">
        <x:v>12146.96</x:v>
      </x:c>
      <x:c r="S531" s="7" t="n">
        <x:v>4253.29</x:v>
      </x:c>
      <x:c r="T531" t="str">
        <x:v>Paid</x:v>
      </x:c>
      <x:c r="U531" t="str">
        <x:v>Completed</x:v>
      </x:c>
      <x:c r="V531" s="6" t="n">
        <x:f>IF(ISBLANK(P531),IF(AND(ISNUMBER(N531),N531&gt;0,ISNUMBER(O531),O531&gt;=0,ISNUMBER(Q531),Q531&gt;=0,ISNUMBER(R531),R531&gt;=0,ISNUMBER(S531)),0,""),P531)</x:f>
        <x:v>0</x:v>
      </x:c>
      <x:c r="W531" s="7" t="n">
        <x:f>IF(ISBLANK(V531),"",N531*O531*(1-V531))</x:f>
        <x:v>16400.25</x:v>
      </x:c>
      <x:c r="X531" s="7" t="n">
        <x:f>IF(OR(ISBLANK(W531),ISBLANK(R531)),"",W531-R531)</x:f>
        <x:v>4253.290000000001</x:v>
      </x:c>
      <x:c r="Y531" s="8" t="n">
        <x:f>IF(OR(ISBLANK(W531),W531=0),"",X531/W531)</x:f>
        <x:v>0.25934299782015524</x:v>
      </x:c>
      <x:c r="Z531" s="9" t="n">
        <x:f>IF(OR(ISBLANK(B531),ISBLANK(C531)),"",C531-B531)</x:f>
        <x:v>2</x:v>
      </x:c>
      <x:c r="AA531" t="str">
        <x:f>IF(ISBLANK(B531),"",TEXT(B531,"mmm"))</x:f>
        <x:v>Feb</x:v>
      </x:c>
      <x:c r="AB531" s="9" t="n">
        <x:f>IF(ISBLANK(B531),"",YEAR(B531))</x:f>
        <x:v>2024</x:v>
      </x:c>
      <x:c r="AC531" s="10" t="str"/>
      <x:c r="AD531" t="str">
        <x:f>IF(AND(U531="Completed",T531="Paid",ISERROR(SEARCH("INVALID",AC531)),ISERROR(SEARCH("REVIEW",AC531))),"Include","Exclude")</x:f>
        <x:v>Include</x:v>
      </x:c>
      <x:c r="AE531" t="str">
        <x:f>IF(T531="Refunded","Refunded","")</x:f>
      </x:c>
    </x:row>
    <x:row r="532">
      <x:c r="A532" t="str">
        <x:v>ORD-2025-10531</x:v>
      </x:c>
      <x:c r="B532" s="5" t="n">
        <x:v>45807</x:v>
      </x:c>
      <x:c r="C532" s="5" t="n">
        <x:v>45809</x:v>
      </x:c>
      <x:c r="D532" t="str">
        <x:v>CUST-8177</x:v>
      </x:c>
      <x:c r="E532" t="str">
        <x:v>Rahul Verma</x:v>
      </x:c>
      <x:c r="F532" t="str">
        <x:v>Home Office</x:v>
      </x:c>
      <x:c r="G532" t="str">
        <x:v>South</x:v>
      </x:c>
      <x:c r="H532" t="str">
        <x:v>Tamil Nadu</x:v>
      </x:c>
      <x:c r="I532" t="str">
        <x:v>Chennai</x:v>
      </x:c>
      <x:c r="J532" t="str">
        <x:v>Office Supplies</x:v>
      </x:c>
      <x:c r="K532" t="str">
        <x:v>Binders</x:v>
      </x:c>
      <x:c r="L532" t="str">
        <x:v>Eco Binders 352</x:v>
      </x:c>
      <x:c r="M532" t="str">
        <x:v>Standard Class</x:v>
      </x:c>
      <x:c r="N532" t="n">
        <x:v>9</x:v>
      </x:c>
      <x:c r="O532" s="7" t="n">
        <x:v>1994.51</x:v>
      </x:c>
      <x:c r="P532" s="6" t="n">
        <x:v>0.05</x:v>
      </x:c>
      <x:c r="Q532" s="7" t="n">
        <x:v>17053.06</x:v>
      </x:c>
      <x:c r="R532" s="7" t="n">
        <x:v>10742.38</x:v>
      </x:c>
      <x:c r="S532" s="7" t="n">
        <x:v>6310.68</x:v>
      </x:c>
      <x:c r="T532" t="str">
        <x:v>Paid</x:v>
      </x:c>
      <x:c r="U532" t="str">
        <x:v>Completed</x:v>
      </x:c>
      <x:c r="V532" s="6" t="n">
        <x:f>IF(ISBLANK(P532),IF(AND(ISNUMBER(N532),N532&gt;0,ISNUMBER(O532),O532&gt;=0,ISNUMBER(Q532),Q532&gt;=0,ISNUMBER(R532),R532&gt;=0,ISNUMBER(S532)),0,""),P532)</x:f>
        <x:v>0.05</x:v>
      </x:c>
      <x:c r="W532" s="7" t="n">
        <x:f>IF(ISBLANK(V532),"",N532*O532*(1-V532))</x:f>
        <x:v>17053.0605</x:v>
      </x:c>
      <x:c r="X532" s="7" t="n">
        <x:f>IF(OR(ISBLANK(W532),ISBLANK(R532)),"",W532-R532)</x:f>
        <x:v>6310.6805</x:v>
      </x:c>
      <x:c r="Y532" s="8" t="n">
        <x:f>IF(OR(ISBLANK(W532),W532=0),"",X532/W532)</x:f>
        <x:v>0.37006146198801093</x:v>
      </x:c>
      <x:c r="Z532" s="9" t="n">
        <x:f>IF(OR(ISBLANK(B532),ISBLANK(C532)),"",C532-B532)</x:f>
        <x:v>2</x:v>
      </x:c>
      <x:c r="AA532" t="str">
        <x:f>IF(ISBLANK(B532),"",TEXT(B532,"mmm"))</x:f>
        <x:v>May</x:v>
      </x:c>
      <x:c r="AB532" s="9" t="n">
        <x:f>IF(ISBLANK(B532),"",YEAR(B532))</x:f>
        <x:v>2025</x:v>
      </x:c>
      <x:c r="AC532" s="10" t="str"/>
      <x:c r="AD532" t="str">
        <x:f>IF(AND(U532="Completed",T532="Paid",ISERROR(SEARCH("INVALID",AC532)),ISERROR(SEARCH("REVIEW",AC532))),"Include","Exclude")</x:f>
        <x:v>Include</x:v>
      </x:c>
      <x:c r="AE532" t="str">
        <x:f>IF(T532="Refunded","Refunded","")</x:f>
      </x:c>
    </x:row>
    <x:row r="533">
      <x:c r="A533" t="str">
        <x:v>ORD-2024-10532</x:v>
      </x:c>
      <x:c r="B533" s="5" t="n">
        <x:v>45505</x:v>
      </x:c>
      <x:c r="C533" s="5" t="n">
        <x:v>45512</x:v>
      </x:c>
      <x:c r="D533" t="str">
        <x:v>CUST-6357</x:v>
      </x:c>
      <x:c r="E533" t="str">
        <x:v>Diya Patel</x:v>
      </x:c>
      <x:c r="F533" t="str">
        <x:v>Small Business</x:v>
      </x:c>
      <x:c r="G533" t="str">
        <x:v>West</x:v>
      </x:c>
      <x:c r="H533" t="str">
        <x:v>Maharashtra</x:v>
      </x:c>
      <x:c r="I533" t="str">
        <x:v>Mumbai</x:v>
      </x:c>
      <x:c r="J533" t="str">
        <x:v>Office Supplies</x:v>
      </x:c>
      <x:c r="K533" t="str">
        <x:v>Storage</x:v>
      </x:c>
      <x:c r="L533" t="str">
        <x:v>Pro Storage 364</x:v>
      </x:c>
      <x:c r="M533" t="str">
        <x:v>Unknown</x:v>
      </x:c>
      <x:c r="N533" t="n">
        <x:v>1</x:v>
      </x:c>
      <x:c r="O533" s="7" t="n">
        <x:v>442.97</x:v>
      </x:c>
      <x:c r="P533" s="6" t="n">
        <x:v>0.1</x:v>
      </x:c>
      <x:c r="Q533" s="7" t="n">
        <x:v>398.67</x:v>
      </x:c>
      <x:c r="R533" s="7" t="n">
        <x:v>311.66</x:v>
      </x:c>
      <x:c r="S533" s="7" t="n">
        <x:v>87.01</x:v>
      </x:c>
      <x:c r="T533" t="str">
        <x:v>Paid</x:v>
      </x:c>
      <x:c r="U533" t="str">
        <x:v>Completed</x:v>
      </x:c>
      <x:c r="V533" s="6" t="n">
        <x:f>IF(ISBLANK(P533),IF(AND(ISNUMBER(N533),N533&gt;0,ISNUMBER(O533),O533&gt;=0,ISNUMBER(Q533),Q533&gt;=0,ISNUMBER(R533),R533&gt;=0,ISNUMBER(S533)),0,""),P533)</x:f>
        <x:v>0.1</x:v>
      </x:c>
      <x:c r="W533" s="7" t="n">
        <x:f>IF(ISBLANK(V533),"",N533*O533*(1-V533))</x:f>
        <x:v>398.67300000000006</x:v>
      </x:c>
      <x:c r="X533" s="7" t="n">
        <x:f>IF(OR(ISBLANK(W533),ISBLANK(R533)),"",W533-R533)</x:f>
        <x:v>87.01300000000003</x:v>
      </x:c>
      <x:c r="Y533" s="8" t="n">
        <x:f>IF(OR(ISBLANK(W533),W533=0),"",X533/W533)</x:f>
        <x:v>0.21825656615822997</x:v>
      </x:c>
      <x:c r="Z533" s="9" t="n">
        <x:f>IF(OR(ISBLANK(B533),ISBLANK(C533)),"",C533-B533)</x:f>
        <x:v>7</x:v>
      </x:c>
      <x:c r="AA533" t="str">
        <x:f>IF(ISBLANK(B533),"",TEXT(B533,"mmm"))</x:f>
        <x:v>Aug</x:v>
      </x:c>
      <x:c r="AB533" s="9" t="n">
        <x:f>IF(ISBLANK(B533),"",YEAR(B533))</x:f>
        <x:v>2024</x:v>
      </x:c>
      <x:c r="AC533" s="10" t="str">
        <x:v>FLAG: Missing ship mode filled as Unknown</x:v>
      </x:c>
      <x:c r="AD533" t="str">
        <x:f>IF(AND(U533="Completed",T533="Paid",ISERROR(SEARCH("INVALID",AC533)),ISERROR(SEARCH("REVIEW",AC533))),"Include","Exclude")</x:f>
        <x:v>Include</x:v>
      </x:c>
      <x:c r="AE533" t="str">
        <x:f>IF(T533="Refunded","Refunded","")</x:f>
      </x:c>
    </x:row>
    <x:row r="534">
      <x:c r="A534" t="str">
        <x:v>ORD-2025-10533</x:v>
      </x:c>
      <x:c r="B534" s="5" t="n">
        <x:v>45935</x:v>
      </x:c>
      <x:c r="C534" s="5" t="n">
        <x:v>45940</x:v>
      </x:c>
      <x:c r="D534" t="str">
        <x:v>CUST-7690</x:v>
      </x:c>
      <x:c r="E534" t="str">
        <x:v>Priya Menon</x:v>
      </x:c>
      <x:c r="F534" t="str">
        <x:v>Corporate</x:v>
      </x:c>
      <x:c r="G534" t="str">
        <x:v>East</x:v>
      </x:c>
      <x:c r="H534" t="str">
        <x:v>Assam</x:v>
      </x:c>
      <x:c r="I534" t="str">
        <x:v>Guwahati</x:v>
      </x:c>
      <x:c r="J534" t="str">
        <x:v>Furniture</x:v>
      </x:c>
      <x:c r="K534" t="str">
        <x:v>Tables</x:v>
      </x:c>
      <x:c r="L534" t="str">
        <x:v>Classic Tables 213</x:v>
      </x:c>
      <x:c r="M534" t="str">
        <x:v>Second Class</x:v>
      </x:c>
      <x:c r="N534" t="n">
        <x:v>9</x:v>
      </x:c>
      <x:c r="O534" s="7" t="n">
        <x:v>2089.14</x:v>
      </x:c>
      <x:c r="P534" s="6" t="n">
        <x:v>0.05</x:v>
      </x:c>
      <x:c r="Q534" s="7" t="n">
        <x:v>17862.15</x:v>
      </x:c>
      <x:c r="R534" s="7" t="n">
        <x:v>9892.21</x:v>
      </x:c>
      <x:c r="S534" s="7" t="n">
        <x:v>7969.94</x:v>
      </x:c>
      <x:c r="T534" t="str">
        <x:v>Failed</x:v>
      </x:c>
      <x:c r="U534" t="str">
        <x:v>Cancelled</x:v>
      </x:c>
      <x:c r="V534" s="6" t="n">
        <x:f>IF(ISBLANK(P534),IF(AND(ISNUMBER(N534),N534&gt;0,ISNUMBER(O534),O534&gt;=0,ISNUMBER(Q534),Q534&gt;=0,ISNUMBER(R534),R534&gt;=0,ISNUMBER(S534)),0,""),P534)</x:f>
        <x:v>0.05</x:v>
      </x:c>
      <x:c r="W534" s="7" t="n">
        <x:f>IF(ISBLANK(V534),"",N534*O534*(1-V534))</x:f>
        <x:v>17862.146999999997</x:v>
      </x:c>
      <x:c r="X534" s="7" t="n">
        <x:f>IF(OR(ISBLANK(W534),ISBLANK(R534)),"",W534-R534)</x:f>
        <x:v>7969.936999999998</x:v>
      </x:c>
      <x:c r="Y534" s="8" t="n">
        <x:f>IF(OR(ISBLANK(W534),W534=0),"",X534/W534)</x:f>
        <x:v>0.44619143488182017</x:v>
      </x:c>
      <x:c r="Z534" s="9" t="n">
        <x:f>IF(OR(ISBLANK(B534),ISBLANK(C534)),"",C534-B534)</x:f>
        <x:v>5</x:v>
      </x:c>
      <x:c r="AA534" t="str">
        <x:f>IF(ISBLANK(B534),"",TEXT(B534,"mmm"))</x:f>
        <x:v>Oct</x:v>
      </x:c>
      <x:c r="AB534" s="9" t="n">
        <x:f>IF(ISBLANK(B534),"",YEAR(B534))</x:f>
        <x:v>2025</x:v>
      </x:c>
      <x:c r="AC534" s="10" t="str">
        <x:v>EXCLUDE: Cancelled order; EXCLUDE: Failed payment</x:v>
      </x:c>
      <x:c r="AD534" t="str">
        <x:f>IF(AND(U534="Completed",T534="Paid",ISERROR(SEARCH("INVALID",AC534)),ISERROR(SEARCH("REVIEW",AC534))),"Include","Exclude")</x:f>
        <x:v>Exclude</x:v>
      </x:c>
      <x:c r="AE534" t="str">
        <x:f>IF(T534="Refunded","Refunded","")</x:f>
      </x:c>
    </x:row>
    <x:row r="535">
      <x:c r="A535" t="str">
        <x:v>ORD-2024-10534</x:v>
      </x:c>
      <x:c r="B535" s="5" t="n">
        <x:v>45529</x:v>
      </x:c>
      <x:c r="C535" s="5" t="n">
        <x:v>45536</x:v>
      </x:c>
      <x:c r="D535" t="str">
        <x:v>CUST-4487</x:v>
      </x:c>
      <x:c r="E535" t="str">
        <x:v>Isha Nair</x:v>
      </x:c>
      <x:c r="F535" t="str">
        <x:v>Home Office</x:v>
      </x:c>
      <x:c r="G535" t="str">
        <x:v>North</x:v>
      </x:c>
      <x:c r="H535" t="str">
        <x:v>Rajasthan</x:v>
      </x:c>
      <x:c r="I535" t="str">
        <x:v>Jaipur</x:v>
      </x:c>
      <x:c r="J535" t="str">
        <x:v>Furniture</x:v>
      </x:c>
      <x:c r="K535" t="str">
        <x:v>Tables</x:v>
      </x:c>
      <x:c r="L535" t="str">
        <x:v>Smart Tables 659</x:v>
      </x:c>
      <x:c r="M535" t="str">
        <x:v>Same Day</x:v>
      </x:c>
      <x:c r="N535" t="n">
        <x:v>6</x:v>
      </x:c>
      <x:c r="O535" s="7" t="n">
        <x:v>481.3</x:v>
      </x:c>
      <x:c r="P535" s="6" t="n">
        <x:v>0.25</x:v>
      </x:c>
      <x:c r="Q535" s="7" t="n">
        <x:v>2165.85</x:v>
      </x:c>
      <x:c r="R535" s="7" t="n">
        <x:v>2124.48</x:v>
      </x:c>
      <x:c r="S535" s="7" t="n">
        <x:v>430.45</x:v>
      </x:c>
      <x:c r="T535" t="str">
        <x:v>Paid</x:v>
      </x:c>
      <x:c r="U535" t="str">
        <x:v>Completed</x:v>
      </x:c>
      <x:c r="V535" s="6" t="n">
        <x:f>IF(ISBLANK(P535),IF(AND(ISNUMBER(N535),N535&gt;0,ISNUMBER(O535),O535&gt;=0,ISNUMBER(Q535),Q535&gt;=0,ISNUMBER(R535),R535&gt;=0,ISNUMBER(S535)),0,""),P535)</x:f>
        <x:v>0.25</x:v>
      </x:c>
      <x:c r="W535" s="7" t="n">
        <x:f>IF(ISBLANK(V535),"",N535*O535*(1-V535))</x:f>
        <x:v>2165.8500000000004</x:v>
      </x:c>
      <x:c r="X535" s="7" t="n">
        <x:f>IF(OR(ISBLANK(W535),ISBLANK(R535)),"",W535-R535)</x:f>
        <x:v>41.370000000000346</x:v>
      </x:c>
      <x:c r="Y535" s="8" t="n">
        <x:f>IF(OR(ISBLANK(W535),W535=0),"",X535/W535)</x:f>
        <x:v>0.0191010457787937</x:v>
      </x:c>
      <x:c r="Z535" s="9" t="n">
        <x:f>IF(OR(ISBLANK(B535),ISBLANK(C535)),"",C535-B535)</x:f>
        <x:v>7</x:v>
      </x:c>
      <x:c r="AA535" t="str">
        <x:f>IF(ISBLANK(B535),"",TEXT(B535,"mmm"))</x:f>
        <x:v>Aug</x:v>
      </x:c>
      <x:c r="AB535" s="9" t="n">
        <x:f>IF(ISBLANK(B535),"",YEAR(B535))</x:f>
        <x:v>2024</x:v>
      </x:c>
      <x:c r="AC535" s="10" t="str"/>
      <x:c r="AD535" t="str">
        <x:f>IF(AND(U535="Completed",T535="Paid",ISERROR(SEARCH("INVALID",AC535)),ISERROR(SEARCH("REVIEW",AC535))),"Include","Exclude")</x:f>
        <x:v>Include</x:v>
      </x:c>
      <x:c r="AE535" t="str">
        <x:f>IF(T535="Refunded","Refunded","")</x:f>
      </x:c>
    </x:row>
    <x:row r="536">
      <x:c r="A536" t="str">
        <x:v>ORD-2025-10535</x:v>
      </x:c>
      <x:c r="B536" s="5" t="n">
        <x:v>45774</x:v>
      </x:c>
      <x:c r="C536" s="5" t="n">
        <x:v>45782</x:v>
      </x:c>
      <x:c r="D536" t="str">
        <x:v>CUST-8204</x:v>
      </x:c>
      <x:c r="E536" t="str">
        <x:v>Rohan Mehta</x:v>
      </x:c>
      <x:c r="F536" t="str">
        <x:v>Home Office</x:v>
      </x:c>
      <x:c r="G536" t="str">
        <x:v>East</x:v>
      </x:c>
      <x:c r="H536" t="str">
        <x:v>Bihar</x:v>
      </x:c>
      <x:c r="I536" t="str">
        <x:v>Patna</x:v>
      </x:c>
      <x:c r="J536" t="str">
        <x:v>Technology</x:v>
      </x:c>
      <x:c r="K536" t="str">
        <x:v>Accessories</x:v>
      </x:c>
      <x:c r="L536" t="str">
        <x:v>Classic Accessories 325</x:v>
      </x:c>
      <x:c r="M536" t="str">
        <x:v>Second Class</x:v>
      </x:c>
      <x:c r="N536" t="n">
        <x:v>4</x:v>
      </x:c>
      <x:c r="O536" s="7" t="n">
        <x:v>3963.39</x:v>
      </x:c>
      <x:c r="P536" s="6" t="n">
        <x:v>0.1</x:v>
      </x:c>
      <x:c r="Q536" s="7" t="n">
        <x:v>14268.2</x:v>
      </x:c>
      <x:c r="R536" s="7" t="n">
        <x:v>11705.3</x:v>
      </x:c>
      <x:c r="S536" s="7" t="n">
        <x:v>2562.9</x:v>
      </x:c>
      <x:c r="T536" t="str">
        <x:v>Pending</x:v>
      </x:c>
      <x:c r="U536" t="str">
        <x:v>Returned</x:v>
      </x:c>
      <x:c r="V536" s="6" t="n">
        <x:f>IF(ISBLANK(P536),IF(AND(ISNUMBER(N536),N536&gt;0,ISNUMBER(O536),O536&gt;=0,ISNUMBER(Q536),Q536&gt;=0,ISNUMBER(R536),R536&gt;=0,ISNUMBER(S536)),0,""),P536)</x:f>
        <x:v>0.1</x:v>
      </x:c>
      <x:c r="W536" s="7" t="n">
        <x:f>IF(ISBLANK(V536),"",N536*O536*(1-V536))</x:f>
        <x:v>14268.204</x:v>
      </x:c>
      <x:c r="X536" s="7" t="n">
        <x:f>IF(OR(ISBLANK(W536),ISBLANK(R536)),"",W536-R536)</x:f>
        <x:v>2562.9040000000005</x:v>
      </x:c>
      <x:c r="Y536" s="8" t="n">
        <x:f>IF(OR(ISBLANK(W536),W536=0),"",X536/W536)</x:f>
        <x:v>0.17962344805274724</x:v>
      </x:c>
      <x:c r="Z536" s="9" t="n">
        <x:f>IF(OR(ISBLANK(B536),ISBLANK(C536)),"",C536-B536)</x:f>
        <x:v>8</x:v>
      </x:c>
      <x:c r="AA536" t="str">
        <x:f>IF(ISBLANK(B536),"",TEXT(B536,"mmm"))</x:f>
        <x:v>Apr</x:v>
      </x:c>
      <x:c r="AB536" s="9" t="n">
        <x:f>IF(ISBLANK(B536),"",YEAR(B536))</x:f>
        <x:v>2025</x:v>
      </x:c>
      <x:c r="AC536" s="10" t="str"/>
      <x:c r="AD536" t="str">
        <x:f>IF(AND(U536="Completed",T536="Paid",ISERROR(SEARCH("INVALID",AC536)),ISERROR(SEARCH("REVIEW",AC536))),"Include","Exclude")</x:f>
        <x:v>Exclude</x:v>
      </x:c>
      <x:c r="AE536" t="str">
        <x:f>IF(T536="Refunded","Refunded","")</x:f>
      </x:c>
    </x:row>
    <x:row r="537">
      <x:c r="A537" t="str">
        <x:v>ORD-2024-10536</x:v>
      </x:c>
      <x:c r="B537" s="5" t="n">
        <x:v>45431</x:v>
      </x:c>
      <x:c r="C537" s="5" t="n">
        <x:v>45433</x:v>
      </x:c>
      <x:c r="D537" t="str">
        <x:v>CUST-1729</x:v>
      </x:c>
      <x:c r="E537" t="str">
        <x:v>Diya Patel</x:v>
      </x:c>
      <x:c r="F537" t="str">
        <x:v>Small Business</x:v>
      </x:c>
      <x:c r="G537" t="str">
        <x:v>West</x:v>
      </x:c>
      <x:c r="H537" t="str">
        <x:v>Maharashtra</x:v>
      </x:c>
      <x:c r="I537" t="str">
        <x:v>Mumbai</x:v>
      </x:c>
      <x:c r="J537" t="str">
        <x:v>Technology</x:v>
      </x:c>
      <x:c r="K537" t="str">
        <x:v>Copiers</x:v>
      </x:c>
      <x:c r="L537" t="str">
        <x:v>Eco Copiers 243</x:v>
      </x:c>
      <x:c r="M537" t="str">
        <x:v>First Class</x:v>
      </x:c>
      <x:c r="N537" t="n">
        <x:v>3</x:v>
      </x:c>
      <x:c r="O537" s="7" t="n">
        <x:v>4000.98</x:v>
      </x:c>
      <x:c r="P537" s="6" t="n">
        <x:v>0.2</x:v>
      </x:c>
      <x:c r="Q537" s="7" t="n">
        <x:v>9602.35</x:v>
      </x:c>
      <x:c r="R537" s="7" t="n">
        <x:v>7387.57</x:v>
      </x:c>
      <x:c r="S537" s="7" t="n">
        <x:v>2214.78</x:v>
      </x:c>
      <x:c r="T537" t="str">
        <x:v>Paid</x:v>
      </x:c>
      <x:c r="U537" t="str">
        <x:v>Completed</x:v>
      </x:c>
      <x:c r="V537" s="6" t="n">
        <x:f>IF(ISBLANK(P537),IF(AND(ISNUMBER(N537),N537&gt;0,ISNUMBER(O537),O537&gt;=0,ISNUMBER(Q537),Q537&gt;=0,ISNUMBER(R537),R537&gt;=0,ISNUMBER(S537)),0,""),P537)</x:f>
        <x:v>0.2</x:v>
      </x:c>
      <x:c r="W537" s="7" t="n">
        <x:f>IF(ISBLANK(V537),"",N537*O537*(1-V537))</x:f>
        <x:v>9602.352</x:v>
      </x:c>
      <x:c r="X537" s="7" t="n">
        <x:f>IF(OR(ISBLANK(W537),ISBLANK(R537)),"",W537-R537)</x:f>
        <x:v>2214.782000000001</x:v>
      </x:c>
      <x:c r="Y537" s="8" t="n">
        <x:f>IF(OR(ISBLANK(W537),W537=0),"",X537/W537)</x:f>
        <x:v>0.23064994909580494</x:v>
      </x:c>
      <x:c r="Z537" s="9" t="n">
        <x:f>IF(OR(ISBLANK(B537),ISBLANK(C537)),"",C537-B537)</x:f>
        <x:v>2</x:v>
      </x:c>
      <x:c r="AA537" t="str">
        <x:f>IF(ISBLANK(B537),"",TEXT(B537,"mmm"))</x:f>
        <x:v>May</x:v>
      </x:c>
      <x:c r="AB537" s="9" t="n">
        <x:f>IF(ISBLANK(B537),"",YEAR(B537))</x:f>
        <x:v>2024</x:v>
      </x:c>
      <x:c r="AC537" s="10" t="str"/>
      <x:c r="AD537" t="str">
        <x:f>IF(AND(U537="Completed",T537="Paid",ISERROR(SEARCH("INVALID",AC537)),ISERROR(SEARCH("REVIEW",AC537))),"Include","Exclude")</x:f>
        <x:v>Include</x:v>
      </x:c>
      <x:c r="AE537" t="str">
        <x:f>IF(T537="Refunded","Refunded","")</x:f>
      </x:c>
    </x:row>
    <x:row r="538">
      <x:c r="A538" t="str">
        <x:v>ORD-2025-10537</x:v>
      </x:c>
      <x:c r="B538" s="5" t="n">
        <x:v>45757</x:v>
      </x:c>
      <x:c r="C538" s="5" t="n">
        <x:v>45764</x:v>
      </x:c>
      <x:c r="D538" t="str">
        <x:v>CUST-4269</x:v>
      </x:c>
      <x:c r="E538" t="str">
        <x:v>Ananya Rao</x:v>
      </x:c>
      <x:c r="F538" t="str">
        <x:v>Small Business</x:v>
      </x:c>
      <x:c r="G538" t="str">
        <x:v>West</x:v>
      </x:c>
      <x:c r="H538" t="str">
        <x:v>Rajasthan</x:v>
      </x:c>
      <x:c r="I538" t="str">
        <x:v>Udaipur</x:v>
      </x:c>
      <x:c r="J538" t="str">
        <x:v>Furniture</x:v>
      </x:c>
      <x:c r="K538" t="str">
        <x:v>Chairs</x:v>
      </x:c>
      <x:c r="L538" t="str">
        <x:v>Elite Chairs 777</x:v>
      </x:c>
      <x:c r="M538" t="str">
        <x:v>First Class</x:v>
      </x:c>
      <x:c r="N538" t="n">
        <x:v>7</x:v>
      </x:c>
      <x:c r="O538" s="7" t="n">
        <x:v>3788.9</x:v>
      </x:c>
      <x:c r="P538" s="6" t="n">
        <x:v>0.25</x:v>
      </x:c>
      <x:c r="Q538" s="7" t="n">
        <x:v>19891.72</x:v>
      </x:c>
      <x:c r="R538" s="7" t="n">
        <x:v>12295.76</x:v>
      </x:c>
      <x:c r="S538" s="7" t="n">
        <x:v>7595.96</x:v>
      </x:c>
      <x:c r="T538" t="str">
        <x:v>Failed</x:v>
      </x:c>
      <x:c r="U538" t="str">
        <x:v>Cancelled</x:v>
      </x:c>
      <x:c r="V538" s="6" t="n">
        <x:f>IF(ISBLANK(P538),IF(AND(ISNUMBER(N538),N538&gt;0,ISNUMBER(O538),O538&gt;=0,ISNUMBER(Q538),Q538&gt;=0,ISNUMBER(R538),R538&gt;=0,ISNUMBER(S538)),0,""),P538)</x:f>
        <x:v>0.25</x:v>
      </x:c>
      <x:c r="W538" s="7" t="n">
        <x:f>IF(ISBLANK(V538),"",N538*O538*(1-V538))</x:f>
        <x:v>19891.725</x:v>
      </x:c>
      <x:c r="X538" s="7" t="n">
        <x:f>IF(OR(ISBLANK(W538),ISBLANK(R538)),"",W538-R538)</x:f>
        <x:v>7595.964999999998</x:v>
      </x:c>
      <x:c r="Y538" s="8" t="n">
        <x:f>IF(OR(ISBLANK(W538),W538=0),"",X538/W538)</x:f>
        <x:v>0.3818655747553316</x:v>
      </x:c>
      <x:c r="Z538" s="9" t="n">
        <x:f>IF(OR(ISBLANK(B538),ISBLANK(C538)),"",C538-B538)</x:f>
        <x:v>7</x:v>
      </x:c>
      <x:c r="AA538" t="str">
        <x:f>IF(ISBLANK(B538),"",TEXT(B538,"mmm"))</x:f>
        <x:v>Apr</x:v>
      </x:c>
      <x:c r="AB538" s="9" t="n">
        <x:f>IF(ISBLANK(B538),"",YEAR(B538))</x:f>
        <x:v>2025</x:v>
      </x:c>
      <x:c r="AC538" s="10" t="str">
        <x:v>EXCLUDE: Cancelled order; EXCLUDE: Failed payment</x:v>
      </x:c>
      <x:c r="AD538" t="str">
        <x:f>IF(AND(U538="Completed",T538="Paid",ISERROR(SEARCH("INVALID",AC538)),ISERROR(SEARCH("REVIEW",AC538))),"Include","Exclude")</x:f>
        <x:v>Exclude</x:v>
      </x:c>
      <x:c r="AE538" t="str">
        <x:f>IF(T538="Refunded","Refunded","")</x:f>
      </x:c>
    </x:row>
    <x:row r="539">
      <x:c r="A539" t="str">
        <x:v>ORD-2024-10538</x:v>
      </x:c>
      <x:c r="B539" s="5" t="n">
        <x:v>45313</x:v>
      </x:c>
      <x:c r="C539" s="5" t="n">
        <x:v>45321</x:v>
      </x:c>
      <x:c r="D539" t="str">
        <x:v>CUST-1370</x:v>
      </x:c>
      <x:c r="E539" t="str">
        <x:v>Ananya Rao</x:v>
      </x:c>
      <x:c r="F539" t="str">
        <x:v>Small Business</x:v>
      </x:c>
      <x:c r="G539" t="str">
        <x:v>North</x:v>
      </x:c>
      <x:c r="H539" t="str">
        <x:v>Haryana</x:v>
      </x:c>
      <x:c r="I539" t="str">
        <x:v>Gurugram</x:v>
      </x:c>
      <x:c r="J539" t="str">
        <x:v>Office Supplies</x:v>
      </x:c>
      <x:c r="K539" t="str">
        <x:v>Art</x:v>
      </x:c>
      <x:c r="L539" t="str">
        <x:v>Classic Art 772</x:v>
      </x:c>
      <x:c r="M539" t="str">
        <x:v>Same Day</x:v>
      </x:c>
      <x:c r="N539" t="n">
        <x:v>3</x:v>
      </x:c>
      <x:c r="O539" s="7" t="n">
        <x:v>676.37</x:v>
      </x:c>
      <x:c r="P539" s="6" t="n">
        <x:v>0.05</x:v>
      </x:c>
      <x:c r="Q539" s="7" t="n">
        <x:v>1927.65</x:v>
      </x:c>
      <x:c r="R539" s="7" t="n">
        <x:v>1460.6</x:v>
      </x:c>
      <x:c r="S539" s="7" t="n">
        <x:v>467.05</x:v>
      </x:c>
      <x:c r="T539" t="str">
        <x:v>Failed</x:v>
      </x:c>
      <x:c r="U539" t="str">
        <x:v>Cancelled</x:v>
      </x:c>
      <x:c r="V539" s="6" t="n">
        <x:f>IF(ISBLANK(P539),IF(AND(ISNUMBER(N539),N539&gt;0,ISNUMBER(O539),O539&gt;=0,ISNUMBER(Q539),Q539&gt;=0,ISNUMBER(R539),R539&gt;=0,ISNUMBER(S539)),0,""),P539)</x:f>
        <x:v>0.05</x:v>
      </x:c>
      <x:c r="W539" s="7" t="n">
        <x:f>IF(ISBLANK(V539),"",N539*O539*(1-V539))</x:f>
        <x:v>1927.6545</x:v>
      </x:c>
      <x:c r="X539" s="7" t="n">
        <x:f>IF(OR(ISBLANK(W539),ISBLANK(R539)),"",W539-R539)</x:f>
        <x:v>467.0545000000002</x:v>
      </x:c>
      <x:c r="Y539" s="8" t="n">
        <x:f>IF(OR(ISBLANK(W539),W539=0),"",X539/W539)</x:f>
        <x:v>0.24229160360427668</x:v>
      </x:c>
      <x:c r="Z539" s="9" t="n">
        <x:f>IF(OR(ISBLANK(B539),ISBLANK(C539)),"",C539-B539)</x:f>
        <x:v>8</x:v>
      </x:c>
      <x:c r="AA539" t="str">
        <x:f>IF(ISBLANK(B539),"",TEXT(B539,"mmm"))</x:f>
        <x:v>Jan</x:v>
      </x:c>
      <x:c r="AB539" s="9" t="n">
        <x:f>IF(ISBLANK(B539),"",YEAR(B539))</x:f>
        <x:v>2024</x:v>
      </x:c>
      <x:c r="AC539" s="10" t="str">
        <x:v>EXCLUDE: Cancelled order; EXCLUDE: Failed payment</x:v>
      </x:c>
      <x:c r="AD539" t="str">
        <x:f>IF(AND(U539="Completed",T539="Paid",ISERROR(SEARCH("INVALID",AC539)),ISERROR(SEARCH("REVIEW",AC539))),"Include","Exclude")</x:f>
        <x:v>Exclude</x:v>
      </x:c>
      <x:c r="AE539" t="str">
        <x:f>IF(T539="Refunded","Refunded","")</x:f>
      </x:c>
    </x:row>
    <x:row r="540">
      <x:c r="A540" t="str">
        <x:v>ORD-2024-10539</x:v>
      </x:c>
      <x:c r="B540" s="5" t="n">
        <x:v>45560</x:v>
      </x:c>
      <x:c r="C540" s="5" t="n">
        <x:v>45566</x:v>
      </x:c>
      <x:c r="D540" t="str">
        <x:v>CUST-5381</x:v>
      </x:c>
      <x:c r="E540" t="str">
        <x:v>Diya Patel</x:v>
      </x:c>
      <x:c r="F540" t="str">
        <x:v>Small Business</x:v>
      </x:c>
      <x:c r="G540" t="str">
        <x:v>East</x:v>
      </x:c>
      <x:c r="H540" t="str">
        <x:v>Jharkhand</x:v>
      </x:c>
      <x:c r="I540" t="str">
        <x:v>Ranchi</x:v>
      </x:c>
      <x:c r="J540" t="str">
        <x:v>Furniture</x:v>
      </x:c>
      <x:c r="K540" t="str">
        <x:v>Tables</x:v>
      </x:c>
      <x:c r="L540" t="str">
        <x:v>Elite Tables 888</x:v>
      </x:c>
      <x:c r="M540" t="str">
        <x:v>Second Class</x:v>
      </x:c>
      <x:c r="N540" t="n">
        <x:v>9</x:v>
      </x:c>
      <x:c r="O540" s="7" t="n">
        <x:v>3908.6</x:v>
      </x:c>
      <x:c r="P540" s="6" t="n">
        <x:v>0.15</x:v>
      </x:c>
      <x:c r="Q540" s="7" t="n">
        <x:v>29900.79</x:v>
      </x:c>
      <x:c r="R540" s="7" t="n">
        <x:v>24650.67</x:v>
      </x:c>
      <x:c r="S540" s="7" t="n">
        <x:v>5250.12</x:v>
      </x:c>
      <x:c r="T540" t="str">
        <x:v>Paid</x:v>
      </x:c>
      <x:c r="U540" t="str">
        <x:v>Completed</x:v>
      </x:c>
      <x:c r="V540" s="6" t="n">
        <x:f>IF(ISBLANK(P540),IF(AND(ISNUMBER(N540),N540&gt;0,ISNUMBER(O540),O540&gt;=0,ISNUMBER(Q540),Q540&gt;=0,ISNUMBER(R540),R540&gt;=0,ISNUMBER(S540)),0,""),P540)</x:f>
        <x:v>0.15</x:v>
      </x:c>
      <x:c r="W540" s="7" t="n">
        <x:f>IF(ISBLANK(V540),"",N540*O540*(1-V540))</x:f>
        <x:v>29900.79</x:v>
      </x:c>
      <x:c r="X540" s="7" t="n">
        <x:f>IF(OR(ISBLANK(W540),ISBLANK(R540)),"",W540-R540)</x:f>
        <x:v>5250.120000000003</x:v>
      </x:c>
      <x:c r="Y540" s="8" t="n">
        <x:f>IF(OR(ISBLANK(W540),W540=0),"",X540/W540)</x:f>
        <x:v>0.17558465846554563</x:v>
      </x:c>
      <x:c r="Z540" s="9" t="n">
        <x:f>IF(OR(ISBLANK(B540),ISBLANK(C540)),"",C540-B540)</x:f>
        <x:v>6</x:v>
      </x:c>
      <x:c r="AA540" t="str">
        <x:f>IF(ISBLANK(B540),"",TEXT(B540,"mmm"))</x:f>
        <x:v>Sep</x:v>
      </x:c>
      <x:c r="AB540" s="9" t="n">
        <x:f>IF(ISBLANK(B540),"",YEAR(B540))</x:f>
        <x:v>2024</x:v>
      </x:c>
      <x:c r="AC540" s="10" t="str"/>
      <x:c r="AD540" t="str">
        <x:f>IF(AND(U540="Completed",T540="Paid",ISERROR(SEARCH("INVALID",AC540)),ISERROR(SEARCH("REVIEW",AC540))),"Include","Exclude")</x:f>
        <x:v>Include</x:v>
      </x:c>
      <x:c r="AE540" t="str">
        <x:f>IF(T540="Refunded","Refunded","")</x:f>
      </x:c>
    </x:row>
    <x:row r="541">
      <x:c r="A541" t="str">
        <x:v>ORD-2025-10540</x:v>
      </x:c>
      <x:c r="B541" s="5" t="n">
        <x:v>45842</x:v>
      </x:c>
      <x:c r="C541" s="5" t="n">
        <x:v>45842</x:v>
      </x:c>
      <x:c r="D541" t="str">
        <x:v>CUST-3694</x:v>
      </x:c>
      <x:c r="E541" t="str">
        <x:v>Mira Das</x:v>
      </x:c>
      <x:c r="F541" t="str">
        <x:v>Small Business</x:v>
      </x:c>
      <x:c r="G541" t="str">
        <x:v>South</x:v>
      </x:c>
      <x:c r="H541" t="str">
        <x:v>Tamil Nadu</x:v>
      </x:c>
      <x:c r="I541" t="str">
        <x:v>Chennai</x:v>
      </x:c>
      <x:c r="J541" t="str">
        <x:v>Furniture</x:v>
      </x:c>
      <x:c r="K541" t="str">
        <x:v>Chairs</x:v>
      </x:c>
      <x:c r="L541" t="str">
        <x:v>Classic Chairs 666</x:v>
      </x:c>
      <x:c r="M541" t="str">
        <x:v>Standard Class</x:v>
      </x:c>
      <x:c r="N541" t="n">
        <x:v>3</x:v>
      </x:c>
      <x:c r="O541" s="7" t="n">
        <x:v>705.35</x:v>
      </x:c>
      <x:c r="P541" s="6" t="n">
        <x:v>0.1</x:v>
      </x:c>
      <x:c r="Q541" s="7" t="n">
        <x:v>1904.45</x:v>
      </x:c>
      <x:c r="R541" s="7" t="n">
        <x:v>1316.54</x:v>
      </x:c>
      <x:c r="S541" s="7" t="n">
        <x:v>587.91</x:v>
      </x:c>
      <x:c r="T541" t="str">
        <x:v>Paid</x:v>
      </x:c>
      <x:c r="U541" t="str">
        <x:v>Cancelled</x:v>
      </x:c>
      <x:c r="V541" s="6" t="n">
        <x:f>IF(ISBLANK(P541),IF(AND(ISNUMBER(N541),N541&gt;0,ISNUMBER(O541),O541&gt;=0,ISNUMBER(Q541),Q541&gt;=0,ISNUMBER(R541),R541&gt;=0,ISNUMBER(S541)),0,""),P541)</x:f>
        <x:v>0.1</x:v>
      </x:c>
      <x:c r="W541" s="7" t="n">
        <x:f>IF(ISBLANK(V541),"",N541*O541*(1-V541))</x:f>
        <x:v>1904.4450000000002</x:v>
      </x:c>
      <x:c r="X541" s="7" t="n">
        <x:f>IF(OR(ISBLANK(W541),ISBLANK(R541)),"",W541-R541)</x:f>
        <x:v>587.9050000000002</x:v>
      </x:c>
      <x:c r="Y541" s="8" t="n">
        <x:f>IF(OR(ISBLANK(W541),W541=0),"",X541/W541)</x:f>
        <x:v>0.30870148520960183</x:v>
      </x:c>
      <x:c r="Z541" s="9" t="n">
        <x:f>IF(OR(ISBLANK(B541),ISBLANK(C541)),"",C541-B541)</x:f>
        <x:v>0</x:v>
      </x:c>
      <x:c r="AA541" t="str">
        <x:f>IF(ISBLANK(B541),"",TEXT(B541,"mmm"))</x:f>
        <x:v>Jul</x:v>
      </x:c>
      <x:c r="AB541" s="9" t="n">
        <x:f>IF(ISBLANK(B541),"",YEAR(B541))</x:f>
        <x:v>2025</x:v>
      </x:c>
      <x:c r="AC541" s="10" t="str">
        <x:v>EXCLUDE: Cancelled order</x:v>
      </x:c>
      <x:c r="AD541" t="str">
        <x:f>IF(AND(U541="Completed",T541="Paid",ISERROR(SEARCH("INVALID",AC541)),ISERROR(SEARCH("REVIEW",AC541))),"Include","Exclude")</x:f>
        <x:v>Exclude</x:v>
      </x:c>
      <x:c r="AE541" t="str">
        <x:f>IF(T541="Refunded","Refunded","")</x:f>
      </x:c>
    </x:row>
    <x:row r="542">
      <x:c r="A542" t="str">
        <x:v>ORD-2024-10541</x:v>
      </x:c>
      <x:c r="B542" s="5" t="n">
        <x:v>45348</x:v>
      </x:c>
      <x:c r="C542" s="5" t="n">
        <x:v>45345</x:v>
      </x:c>
      <x:c r="D542" t="str">
        <x:v>CUST-7563</x:v>
      </x:c>
      <x:c r="E542" t="str">
        <x:v>Kabir Singh</x:v>
      </x:c>
      <x:c r="F542" t="str">
        <x:v>Consumer</x:v>
      </x:c>
      <x:c r="G542" t="str">
        <x:v>West</x:v>
      </x:c>
      <x:c r="H542" t="str">
        <x:v>Gujarat</x:v>
      </x:c>
      <x:c r="I542" t="str">
        <x:v>Ahmedabad</x:v>
      </x:c>
      <x:c r="J542" t="str">
        <x:v>Furniture</x:v>
      </x:c>
      <x:c r="K542" t="str">
        <x:v>Furnishings</x:v>
      </x:c>
      <x:c r="L542" t="str">
        <x:v>Basic Furnishings 350</x:v>
      </x:c>
      <x:c r="M542" t="str">
        <x:v>Standard Class</x:v>
      </x:c>
      <x:c r="N542" t="n">
        <x:v>7</x:v>
      </x:c>
      <x:c r="O542" s="7" t="n">
        <x:v>3852.07</x:v>
      </x:c>
      <x:c r="P542" s="6" t="n">
        <x:v>0.2</x:v>
      </x:c>
      <x:c r="Q542" s="7" t="n">
        <x:v>21571.59</x:v>
      </x:c>
      <x:c r="R542" s="7" t="n">
        <x:v>17118.07</x:v>
      </x:c>
      <x:c r="S542" s="7" t="n">
        <x:v>4453.52</x:v>
      </x:c>
      <x:c r="T542" t="str">
        <x:v>Paid</x:v>
      </x:c>
      <x:c r="U542" t="str">
        <x:v>Completed</x:v>
      </x:c>
      <x:c r="V542" s="6" t="n">
        <x:f>IF(ISBLANK(P542),IF(AND(ISNUMBER(N542),N542&gt;0,ISNUMBER(O542),O542&gt;=0,ISNUMBER(Q542),Q542&gt;=0,ISNUMBER(R542),R542&gt;=0,ISNUMBER(S542)),0,""),P542)</x:f>
        <x:v>0.2</x:v>
      </x:c>
      <x:c r="W542" s="7" t="n">
        <x:f>IF(ISBLANK(V542),"",N542*O542*(1-V542))</x:f>
        <x:v>21571.592000000004</x:v>
      </x:c>
      <x:c r="X542" s="7" t="n">
        <x:f>IF(OR(ISBLANK(W542),ISBLANK(R542)),"",W542-R542)</x:f>
        <x:v>4453.5220000000045</x:v>
      </x:c>
      <x:c r="Y542" s="8" t="n">
        <x:f>IF(OR(ISBLANK(W542),W542=0),"",X542/W542)</x:f>
        <x:v>0.20645309813017063</x:v>
      </x:c>
      <x:c r="Z542" s="9" t="n">
        <x:f>IF(OR(ISBLANK(B542),ISBLANK(C542)),"",C542-B542)</x:f>
        <x:v>-3</x:v>
      </x:c>
      <x:c r="AA542" t="str">
        <x:f>IF(ISBLANK(B542),"",TEXT(B542,"mmm"))</x:f>
        <x:v>Feb</x:v>
      </x:c>
      <x:c r="AB542" s="9" t="n">
        <x:f>IF(ISBLANK(B542),"",YEAR(B542))</x:f>
        <x:v>2024</x:v>
      </x:c>
      <x:c r="AC542" s="10" t="str">
        <x:v>INVALID: Ship date before order date</x:v>
      </x:c>
      <x:c r="AD542" t="str">
        <x:f>IF(AND(U542="Completed",T542="Paid",ISERROR(SEARCH("INVALID",AC542)),ISERROR(SEARCH("REVIEW",AC542))),"Include","Exclude")</x:f>
        <x:v>Exclude</x:v>
      </x:c>
      <x:c r="AE542" t="str">
        <x:f>IF(T542="Refunded","Refunded","")</x:f>
      </x:c>
    </x:row>
    <x:row r="543">
      <x:c r="A543" t="str">
        <x:v>ORD-2025-10542</x:v>
      </x:c>
      <x:c r="B543" s="5" t="n">
        <x:v>45846</x:v>
      </x:c>
      <x:c r="C543" s="5" t="n">
        <x:v>45847</x:v>
      </x:c>
      <x:c r="D543" t="str">
        <x:v>CUST-4188</x:v>
      </x:c>
      <x:c r="E543" t="str">
        <x:v>Sneha Kapoor</x:v>
      </x:c>
      <x:c r="F543" t="str">
        <x:v>Consumer</x:v>
      </x:c>
      <x:c r="G543" t="str">
        <x:v>West</x:v>
      </x:c>
      <x:c r="H543" t="str">
        <x:v>Maharashtra</x:v>
      </x:c>
      <x:c r="I543" t="str">
        <x:v>Mumbai</x:v>
      </x:c>
      <x:c r="J543" t="str">
        <x:v>Technology</x:v>
      </x:c>
      <x:c r="K543" t="str">
        <x:v>Copiers</x:v>
      </x:c>
      <x:c r="L543" t="str">
        <x:v>Elite Copiers 831</x:v>
      </x:c>
      <x:c r="M543" t="str">
        <x:v>Same Day</x:v>
      </x:c>
      <x:c r="N543" t="n">
        <x:v>3</x:v>
      </x:c>
      <x:c r="O543" s="7" t="n">
        <x:v>2880.56</x:v>
      </x:c>
      <x:c r="P543" s="6" t="n">
        <x:v>0</x:v>
      </x:c>
      <x:c r="Q543" s="7" t="n">
        <x:v>8641.68</x:v>
      </x:c>
      <x:c r="R543" s="7" t="n">
        <x:v>5747.09</x:v>
      </x:c>
      <x:c r="S543" s="7" t="n">
        <x:v>2894.59</x:v>
      </x:c>
      <x:c r="T543" t="str">
        <x:v>Paid</x:v>
      </x:c>
      <x:c r="U543" t="str">
        <x:v>Returned</x:v>
      </x:c>
      <x:c r="V543" s="6" t="n">
        <x:f>IF(ISBLANK(P543),IF(AND(ISNUMBER(N543),N543&gt;0,ISNUMBER(O543),O543&gt;=0,ISNUMBER(Q543),Q543&gt;=0,ISNUMBER(R543),R543&gt;=0,ISNUMBER(S543)),0,""),P543)</x:f>
        <x:v>0</x:v>
      </x:c>
      <x:c r="W543" s="7" t="n">
        <x:f>IF(ISBLANK(V543),"",N543*O543*(1-V543))</x:f>
        <x:v>8641.68</x:v>
      </x:c>
      <x:c r="X543" s="7" t="n">
        <x:f>IF(OR(ISBLANK(W543),ISBLANK(R543)),"",W543-R543)</x:f>
        <x:v>2894.59</x:v>
      </x:c>
      <x:c r="Y543" s="8" t="n">
        <x:f>IF(OR(ISBLANK(W543),W543=0),"",X543/W543)</x:f>
        <x:v>0.3349568602401385</x:v>
      </x:c>
      <x:c r="Z543" s="9" t="n">
        <x:f>IF(OR(ISBLANK(B543),ISBLANK(C543)),"",C543-B543)</x:f>
        <x:v>1</x:v>
      </x:c>
      <x:c r="AA543" t="str">
        <x:f>IF(ISBLANK(B543),"",TEXT(B543,"mmm"))</x:f>
        <x:v>Jul</x:v>
      </x:c>
      <x:c r="AB543" s="9" t="n">
        <x:f>IF(ISBLANK(B543),"",YEAR(B543))</x:f>
        <x:v>2025</x:v>
      </x:c>
      <x:c r="AC543" s="10" t="str"/>
      <x:c r="AD543" t="str">
        <x:f>IF(AND(U543="Completed",T543="Paid",ISERROR(SEARCH("INVALID",AC543)),ISERROR(SEARCH("REVIEW",AC543))),"Include","Exclude")</x:f>
        <x:v>Exclude</x:v>
      </x:c>
      <x:c r="AE543" t="str">
        <x:f>IF(T543="Refunded","Refunded","")</x:f>
      </x:c>
    </x:row>
    <x:row r="544">
      <x:c r="A544" t="str">
        <x:v>ORD-2024-10543</x:v>
      </x:c>
      <x:c r="B544" s="5" t="n">
        <x:v>45552</x:v>
      </x:c>
      <x:c r="C544" s="5" t="n">
        <x:v>45558</x:v>
      </x:c>
      <x:c r="D544" t="str">
        <x:v>CUST-9376</x:v>
      </x:c>
      <x:c r="E544" t="str">
        <x:v>Rahul Verma</x:v>
      </x:c>
      <x:c r="F544" t="str">
        <x:v>Home Office</x:v>
      </x:c>
      <x:c r="G544" t="str">
        <x:v>South</x:v>
      </x:c>
      <x:c r="H544" t="str">
        <x:v>Kerala</x:v>
      </x:c>
      <x:c r="I544" t="str">
        <x:v>Kochi</x:v>
      </x:c>
      <x:c r="J544" t="str">
        <x:v>Furniture</x:v>
      </x:c>
      <x:c r="K544" t="str">
        <x:v>Bookcases</x:v>
      </x:c>
      <x:c r="L544" t="str">
        <x:v>Eco Bookcases 759</x:v>
      </x:c>
      <x:c r="M544" t="str">
        <x:v>Second Class</x:v>
      </x:c>
      <x:c r="N544" t="n">
        <x:v>3</x:v>
      </x:c>
      <x:c r="O544" s="7" t="n">
        <x:v>4067.62</x:v>
      </x:c>
      <x:c r="P544" s="6" t="n">
        <x:v>0.2</x:v>
      </x:c>
      <x:c r="Q544" s="7" t="n">
        <x:v>9988.53</x:v>
      </x:c>
      <x:c r="R544" s="7" t="n">
        <x:v>8368.24</x:v>
      </x:c>
      <x:c r="S544" s="7" t="n">
        <x:v>1394.05</x:v>
      </x:c>
      <x:c r="T544" t="str">
        <x:v>Paid</x:v>
      </x:c>
      <x:c r="U544" t="str">
        <x:v>Cancelled</x:v>
      </x:c>
      <x:c r="V544" s="6" t="n">
        <x:f>IF(ISBLANK(P544),IF(AND(ISNUMBER(N544),N544&gt;0,ISNUMBER(O544),O544&gt;=0,ISNUMBER(Q544),Q544&gt;=0,ISNUMBER(R544),R544&gt;=0,ISNUMBER(S544)),0,""),P544)</x:f>
        <x:v>0.2</x:v>
      </x:c>
      <x:c r="W544" s="7" t="n">
        <x:f>IF(ISBLANK(V544),"",N544*O544*(1-V544))</x:f>
        <x:v>9762.288</x:v>
      </x:c>
      <x:c r="X544" s="7" t="n">
        <x:f>IF(OR(ISBLANK(W544),ISBLANK(R544)),"",W544-R544)</x:f>
        <x:v>1394.0480000000007</x:v>
      </x:c>
      <x:c r="Y544" s="8" t="n">
        <x:f>IF(OR(ISBLANK(W544),W544=0),"",X544/W544)</x:f>
        <x:v>0.14279931098119628</x:v>
      </x:c>
      <x:c r="Z544" s="9" t="n">
        <x:f>IF(OR(ISBLANK(B544),ISBLANK(C544)),"",C544-B544)</x:f>
        <x:v>6</x:v>
      </x:c>
      <x:c r="AA544" t="str">
        <x:f>IF(ISBLANK(B544),"",TEXT(B544,"mmm"))</x:f>
        <x:v>Sep</x:v>
      </x:c>
      <x:c r="AB544" s="9" t="n">
        <x:f>IF(ISBLANK(B544),"",YEAR(B544))</x:f>
        <x:v>2024</x:v>
      </x:c>
      <x:c r="AC544" s="10" t="str">
        <x:v>EXCLUDE: Cancelled order</x:v>
      </x:c>
      <x:c r="AD544" t="str">
        <x:f>IF(AND(U544="Completed",T544="Paid",ISERROR(SEARCH("INVALID",AC544)),ISERROR(SEARCH("REVIEW",AC544))),"Include","Exclude")</x:f>
        <x:v>Exclude</x:v>
      </x:c>
      <x:c r="AE544" t="str">
        <x:f>IF(T544="Refunded","Refunded","")</x:f>
      </x:c>
    </x:row>
    <x:row r="545">
      <x:c r="A545" t="str">
        <x:v>ORD-2024-10544</x:v>
      </x:c>
      <x:c r="B545" s="5" t="n">
        <x:v>45487</x:v>
      </x:c>
      <x:c r="C545" s="5" t="n">
        <x:v>45493</x:v>
      </x:c>
      <x:c r="D545" t="str">
        <x:v>CUST-9094</x:v>
      </x:c>
      <x:c r="E545" t="str">
        <x:v>Mira Das</x:v>
      </x:c>
      <x:c r="F545" t="str">
        <x:v>Consumer</x:v>
      </x:c>
      <x:c r="G545" t="str">
        <x:v>East</x:v>
      </x:c>
      <x:c r="H545" t="str">
        <x:v>Bihar</x:v>
      </x:c>
      <x:c r="I545" t="str">
        <x:v>Patna</x:v>
      </x:c>
      <x:c r="J545" t="str">
        <x:v>Technology</x:v>
      </x:c>
      <x:c r="K545" t="str">
        <x:v>Copiers</x:v>
      </x:c>
      <x:c r="L545" t="str">
        <x:v>Max Copiers 440</x:v>
      </x:c>
      <x:c r="M545" t="str">
        <x:v>Same Day</x:v>
      </x:c>
      <x:c r="N545" t="n">
        <x:v>1</x:v>
      </x:c>
      <x:c r="O545" s="7" t="n">
        <x:v>492.67</x:v>
      </x:c>
      <x:c r="P545" s="6" t="n">
        <x:v>0.15</x:v>
      </x:c>
      <x:c r="Q545" s="7" t="n">
        <x:v>418.77</x:v>
      </x:c>
      <x:c r="R545" s="7" t="n">
        <x:v>313.72</x:v>
      </x:c>
      <x:c r="S545" s="7" t="n">
        <x:v>105.05</x:v>
      </x:c>
      <x:c r="T545" t="str">
        <x:v>Paid</x:v>
      </x:c>
      <x:c r="U545" t="str">
        <x:v>Completed</x:v>
      </x:c>
      <x:c r="V545" s="6" t="n">
        <x:f>IF(ISBLANK(P545),IF(AND(ISNUMBER(N545),N545&gt;0,ISNUMBER(O545),O545&gt;=0,ISNUMBER(Q545),Q545&gt;=0,ISNUMBER(R545),R545&gt;=0,ISNUMBER(S545)),0,""),P545)</x:f>
        <x:v>0.15</x:v>
      </x:c>
      <x:c r="W545" s="7" t="n">
        <x:f>IF(ISBLANK(V545),"",N545*O545*(1-V545))</x:f>
        <x:v>418.7695</x:v>
      </x:c>
      <x:c r="X545" s="7" t="n">
        <x:f>IF(OR(ISBLANK(W545),ISBLANK(R545)),"",W545-R545)</x:f>
        <x:v>105.04949999999997</x:v>
      </x:c>
      <x:c r="Y545" s="8" t="n">
        <x:f>IF(OR(ISBLANK(W545),W545=0),"",X545/W545)</x:f>
        <x:v>0.25085279610859906</x:v>
      </x:c>
      <x:c r="Z545" s="9" t="n">
        <x:f>IF(OR(ISBLANK(B545),ISBLANK(C545)),"",C545-B545)</x:f>
        <x:v>6</x:v>
      </x:c>
      <x:c r="AA545" t="str">
        <x:f>IF(ISBLANK(B545),"",TEXT(B545,"mmm"))</x:f>
        <x:v>Jul</x:v>
      </x:c>
      <x:c r="AB545" s="9" t="n">
        <x:f>IF(ISBLANK(B545),"",YEAR(B545))</x:f>
        <x:v>2024</x:v>
      </x:c>
      <x:c r="AC545" s="10" t="str"/>
      <x:c r="AD545" t="str">
        <x:f>IF(AND(U545="Completed",T545="Paid",ISERROR(SEARCH("INVALID",AC545)),ISERROR(SEARCH("REVIEW",AC545))),"Include","Exclude")</x:f>
        <x:v>Include</x:v>
      </x:c>
      <x:c r="AE545" t="str">
        <x:f>IF(T545="Refunded","Refunded","")</x:f>
      </x:c>
    </x:row>
    <x:row r="546">
      <x:c r="A546" t="str">
        <x:v>ORD-2025-10545</x:v>
      </x:c>
      <x:c r="B546" s="5" t="n">
        <x:v>45686</x:v>
      </x:c>
      <x:c r="C546" s="5" t="n">
        <x:v>45693</x:v>
      </x:c>
      <x:c r="D546" t="str">
        <x:v>CUST-2366</x:v>
      </x:c>
      <x:c r="E546" t="str">
        <x:v>Ananya Rao</x:v>
      </x:c>
      <x:c r="F546" t="str">
        <x:v>Consumer</x:v>
      </x:c>
      <x:c r="G546" t="str">
        <x:v>South</x:v>
      </x:c>
      <x:c r="H546" t="str">
        <x:v>Kerala</x:v>
      </x:c>
      <x:c r="I546" t="str">
        <x:v>Kochi</x:v>
      </x:c>
      <x:c r="J546" t="str">
        <x:v>Office Supplies</x:v>
      </x:c>
      <x:c r="K546" t="str">
        <x:v>Art</x:v>
      </x:c>
      <x:c r="L546" t="str">
        <x:v>Smart Art 201</x:v>
      </x:c>
      <x:c r="M546" t="str">
        <x:v>Same Day</x:v>
      </x:c>
      <x:c r="N546" t="n">
        <x:v>8</x:v>
      </x:c>
      <x:c r="O546" s="7" t="n">
        <x:v>3643.62</x:v>
      </x:c>
      <x:c r="P546" s="6" t="n">
        <x:v>0.25</x:v>
      </x:c>
      <x:c r="Q546" s="7" t="n">
        <x:v>21861.72</x:v>
      </x:c>
      <x:c r="R546" s="7" t="n">
        <x:v>18464.34</x:v>
      </x:c>
      <x:c r="S546" s="7" t="n">
        <x:v>3397.38</x:v>
      </x:c>
      <x:c r="T546" t="str">
        <x:v>Paid</x:v>
      </x:c>
      <x:c r="U546" t="str">
        <x:v>Cancelled</x:v>
      </x:c>
      <x:c r="V546" s="6" t="n">
        <x:f>IF(ISBLANK(P546),IF(AND(ISNUMBER(N546),N546&gt;0,ISNUMBER(O546),O546&gt;=0,ISNUMBER(Q546),Q546&gt;=0,ISNUMBER(R546),R546&gt;=0,ISNUMBER(S546)),0,""),P546)</x:f>
        <x:v>0.25</x:v>
      </x:c>
      <x:c r="W546" s="7" t="n">
        <x:f>IF(ISBLANK(V546),"",N546*O546*(1-V546))</x:f>
        <x:v>21861.72</x:v>
      </x:c>
      <x:c r="X546" s="7" t="n">
        <x:f>IF(OR(ISBLANK(W546),ISBLANK(R546)),"",W546-R546)</x:f>
        <x:v>3397.380000000001</x:v>
      </x:c>
      <x:c r="Y546" s="8" t="n">
        <x:f>IF(OR(ISBLANK(W546),W546=0),"",X546/W546)</x:f>
        <x:v>0.1554031430280875</x:v>
      </x:c>
      <x:c r="Z546" s="9" t="n">
        <x:f>IF(OR(ISBLANK(B546),ISBLANK(C546)),"",C546-B546)</x:f>
        <x:v>7</x:v>
      </x:c>
      <x:c r="AA546" t="str">
        <x:f>IF(ISBLANK(B546),"",TEXT(B546,"mmm"))</x:f>
        <x:v>Jan</x:v>
      </x:c>
      <x:c r="AB546" s="9" t="n">
        <x:f>IF(ISBLANK(B546),"",YEAR(B546))</x:f>
        <x:v>2025</x:v>
      </x:c>
      <x:c r="AC546" s="10" t="str">
        <x:v>EXCLUDE: Cancelled order</x:v>
      </x:c>
      <x:c r="AD546" t="str">
        <x:f>IF(AND(U546="Completed",T546="Paid",ISERROR(SEARCH("INVALID",AC546)),ISERROR(SEARCH("REVIEW",AC546))),"Include","Exclude")</x:f>
        <x:v>Exclude</x:v>
      </x:c>
      <x:c r="AE546" t="str">
        <x:f>IF(T546="Refunded","Refunded","")</x:f>
      </x:c>
    </x:row>
    <x:row r="547">
      <x:c r="A547" t="str">
        <x:v>ORD-2024-10546</x:v>
      </x:c>
      <x:c r="B547" s="5" t="n">
        <x:v>45439</x:v>
      </x:c>
      <x:c r="C547" s="5" t="n">
        <x:v>45442</x:v>
      </x:c>
      <x:c r="D547" t="str">
        <x:v>CUST-7168</x:v>
      </x:c>
      <x:c r="E547" t="str">
        <x:v>Kabir Singh</x:v>
      </x:c>
      <x:c r="F547" t="str">
        <x:v>Small Business</x:v>
      </x:c>
      <x:c r="G547" t="str">
        <x:v>East</x:v>
      </x:c>
      <x:c r="H547" t="str">
        <x:v>Jharkhand</x:v>
      </x:c>
      <x:c r="I547" t="str">
        <x:v>Ranchi</x:v>
      </x:c>
      <x:c r="J547" t="str">
        <x:v>Office Supplies</x:v>
      </x:c>
      <x:c r="K547" t="str">
        <x:v>Storage</x:v>
      </x:c>
      <x:c r="L547" t="str">
        <x:v>Classic Storage 755</x:v>
      </x:c>
      <x:c r="M547" t="str">
        <x:v>Same Day</x:v>
      </x:c>
      <x:c r="N547" t="n">
        <x:v>7</x:v>
      </x:c>
      <x:c r="O547" s="7" t="n">
        <x:v>2900.86</x:v>
      </x:c>
      <x:c r="P547" s="6" t="n">
        <x:v>0.15</x:v>
      </x:c>
      <x:c r="Q547" s="7" t="n">
        <x:v>17260.12</x:v>
      </x:c>
      <x:c r="R547" s="7" t="n">
        <x:v>13513.51</x:v>
      </x:c>
      <x:c r="S547" s="7" t="n">
        <x:v>3746.61</x:v>
      </x:c>
      <x:c r="T547" t="str">
        <x:v>Paid</x:v>
      </x:c>
      <x:c r="U547" t="str">
        <x:v>Completed</x:v>
      </x:c>
      <x:c r="V547" s="6" t="n">
        <x:f>IF(ISBLANK(P547),IF(AND(ISNUMBER(N547),N547&gt;0,ISNUMBER(O547),O547&gt;=0,ISNUMBER(Q547),Q547&gt;=0,ISNUMBER(R547),R547&gt;=0,ISNUMBER(S547)),0,""),P547)</x:f>
        <x:v>0.15</x:v>
      </x:c>
      <x:c r="W547" s="7" t="n">
        <x:f>IF(ISBLANK(V547),"",N547*O547*(1-V547))</x:f>
        <x:v>17260.117</x:v>
      </x:c>
      <x:c r="X547" s="7" t="n">
        <x:f>IF(OR(ISBLANK(W547),ISBLANK(R547)),"",W547-R547)</x:f>
        <x:v>3746.606999999998</x:v>
      </x:c>
      <x:c r="Y547" s="8" t="n">
        <x:f>IF(OR(ISBLANK(W547),W547=0),"",X547/W547)</x:f>
        <x:v>0.21706730029697935</x:v>
      </x:c>
      <x:c r="Z547" s="9" t="n">
        <x:f>IF(OR(ISBLANK(B547),ISBLANK(C547)),"",C547-B547)</x:f>
        <x:v>3</x:v>
      </x:c>
      <x:c r="AA547" t="str">
        <x:f>IF(ISBLANK(B547),"",TEXT(B547,"mmm"))</x:f>
        <x:v>May</x:v>
      </x:c>
      <x:c r="AB547" s="9" t="n">
        <x:f>IF(ISBLANK(B547),"",YEAR(B547))</x:f>
        <x:v>2024</x:v>
      </x:c>
      <x:c r="AC547" s="10" t="str"/>
      <x:c r="AD547" t="str">
        <x:f>IF(AND(U547="Completed",T547="Paid",ISERROR(SEARCH("INVALID",AC547)),ISERROR(SEARCH("REVIEW",AC547))),"Include","Exclude")</x:f>
        <x:v>Include</x:v>
      </x:c>
      <x:c r="AE547" t="str">
        <x:f>IF(T547="Refunded","Refunded","")</x:f>
      </x:c>
    </x:row>
    <x:row r="548">
      <x:c r="A548" t="str">
        <x:v>ORD-2025-10547</x:v>
      </x:c>
      <x:c r="B548" s="5" t="n">
        <x:v>45883</x:v>
      </x:c>
      <x:c r="C548" s="5" t="n">
        <x:v>45891</x:v>
      </x:c>
      <x:c r="D548" t="str">
        <x:v>CUST-8157</x:v>
      </x:c>
      <x:c r="E548" t="str">
        <x:v>Arjun Bose</x:v>
      </x:c>
      <x:c r="F548" t="str">
        <x:v>Corporate</x:v>
      </x:c>
      <x:c r="G548" t="str">
        <x:v>West</x:v>
      </x:c>
      <x:c r="H548" t="str">
        <x:v>Gujarat</x:v>
      </x:c>
      <x:c r="I548" t="str">
        <x:v>Ahmedabad</x:v>
      </x:c>
      <x:c r="J548" t="str">
        <x:v>Office Supplies</x:v>
      </x:c>
      <x:c r="K548" t="str">
        <x:v>Paper</x:v>
      </x:c>
      <x:c r="L548" t="str">
        <x:v>Prime Paper 143</x:v>
      </x:c>
      <x:c r="M548" t="str">
        <x:v>First Class</x:v>
      </x:c>
      <x:c r="N548" t="n">
        <x:v>5</x:v>
      </x:c>
      <x:c r="O548" s="7" t="n">
        <x:v>2567.37</x:v>
      </x:c>
      <x:c r="P548" s="6" t="n">
        <x:v>0.15</x:v>
      </x:c>
      <x:c r="Q548" s="7" t="n">
        <x:v>10911.32</x:v>
      </x:c>
      <x:c r="R548" s="7" t="n">
        <x:v>6966.44</x:v>
      </x:c>
      <x:c r="S548" s="7" t="n">
        <x:v>4395.17</x:v>
      </x:c>
      <x:c r="T548" t="str">
        <x:v>Paid</x:v>
      </x:c>
      <x:c r="U548" t="str">
        <x:v>Completed</x:v>
      </x:c>
      <x:c r="V548" s="6" t="n">
        <x:f>IF(ISBLANK(P548),IF(AND(ISNUMBER(N548),N548&gt;0,ISNUMBER(O548),O548&gt;=0,ISNUMBER(Q548),Q548&gt;=0,ISNUMBER(R548),R548&gt;=0,ISNUMBER(S548)),0,""),P548)</x:f>
        <x:v>0.15</x:v>
      </x:c>
      <x:c r="W548" s="7" t="n">
        <x:f>IF(ISBLANK(V548),"",N548*O548*(1-V548))</x:f>
        <x:v>10911.322499999998</x:v>
      </x:c>
      <x:c r="X548" s="7" t="n">
        <x:f>IF(OR(ISBLANK(W548),ISBLANK(R548)),"",W548-R548)</x:f>
        <x:v>3944.882499999999</x:v>
      </x:c>
      <x:c r="Y548" s="8" t="n">
        <x:f>IF(OR(ISBLANK(W548),W548=0),"",X548/W548)</x:f>
        <x:v>0.3615402715848605</x:v>
      </x:c>
      <x:c r="Z548" s="9" t="n">
        <x:f>IF(OR(ISBLANK(B548),ISBLANK(C548)),"",C548-B548)</x:f>
        <x:v>8</x:v>
      </x:c>
      <x:c r="AA548" t="str">
        <x:f>IF(ISBLANK(B548),"",TEXT(B548,"mmm"))</x:f>
        <x:v>Aug</x:v>
      </x:c>
      <x:c r="AB548" s="9" t="n">
        <x:f>IF(ISBLANK(B548),"",YEAR(B548))</x:f>
        <x:v>2025</x:v>
      </x:c>
      <x:c r="AC548" s="10" t="str"/>
      <x:c r="AD548" t="str">
        <x:f>IF(AND(U548="Completed",T548="Paid",ISERROR(SEARCH("INVALID",AC548)),ISERROR(SEARCH("REVIEW",AC548))),"Include","Exclude")</x:f>
        <x:v>Include</x:v>
      </x:c>
      <x:c r="AE548" t="str">
        <x:f>IF(T548="Refunded","Refunded","")</x:f>
      </x:c>
    </x:row>
    <x:row r="549">
      <x:c r="A549" t="str">
        <x:v>ORD-2024-10548</x:v>
      </x:c>
      <x:c r="B549" s="5" t="n">
        <x:v>45428</x:v>
      </x:c>
      <x:c r="C549" s="5" t="n">
        <x:v>45435</x:v>
      </x:c>
      <x:c r="D549" t="str">
        <x:v>CUST-9146</x:v>
      </x:c>
      <x:c r="E549" t="str">
        <x:v>Neha Gupta</x:v>
      </x:c>
      <x:c r="F549" t="str">
        <x:v>Small Business</x:v>
      </x:c>
      <x:c r="G549" t="str">
        <x:v>North</x:v>
      </x:c>
      <x:c r="H549" t="str">
        <x:v>Uttar Pradesh</x:v>
      </x:c>
      <x:c r="I549" t="str">
        <x:v>Noida</x:v>
      </x:c>
      <x:c r="J549" t="str">
        <x:v>Technology</x:v>
      </x:c>
      <x:c r="K549" t="str">
        <x:v>Copiers</x:v>
      </x:c>
      <x:c r="L549" t="str">
        <x:v>Max Copiers 607</x:v>
      </x:c>
      <x:c r="M549" t="str">
        <x:v>Standard Class</x:v>
      </x:c>
      <x:c r="N549" t="n">
        <x:v>9</x:v>
      </x:c>
      <x:c r="O549" s="7" t="n">
        <x:v>3722.09</x:v>
      </x:c>
      <x:c r="P549" s="6" t="n">
        <x:v>0.1</x:v>
      </x:c>
      <x:c r="Q549" s="7" t="n">
        <x:v>30148.93</x:v>
      </x:c>
      <x:c r="R549" s="7" t="n">
        <x:v>25155.07</x:v>
      </x:c>
      <x:c r="S549" s="7" t="n">
        <x:v>4993.86</x:v>
      </x:c>
      <x:c r="T549" t="str">
        <x:v>Paid</x:v>
      </x:c>
      <x:c r="U549" t="str">
        <x:v>Completed</x:v>
      </x:c>
      <x:c r="V549" s="6" t="n">
        <x:f>IF(ISBLANK(P549),IF(AND(ISNUMBER(N549),N549&gt;0,ISNUMBER(O549),O549&gt;=0,ISNUMBER(Q549),Q549&gt;=0,ISNUMBER(R549),R549&gt;=0,ISNUMBER(S549)),0,""),P549)</x:f>
        <x:v>0.1</x:v>
      </x:c>
      <x:c r="W549" s="7" t="n">
        <x:f>IF(ISBLANK(V549),"",N549*O549*(1-V549))</x:f>
        <x:v>30148.929</x:v>
      </x:c>
      <x:c r="X549" s="7" t="n">
        <x:f>IF(OR(ISBLANK(W549),ISBLANK(R549)),"",W549-R549)</x:f>
        <x:v>4993.859</x:v>
      </x:c>
      <x:c r="Y549" s="8" t="n">
        <x:f>IF(OR(ISBLANK(W549),W549=0),"",X549/W549)</x:f>
        <x:v>0.16563968159532302</x:v>
      </x:c>
      <x:c r="Z549" s="9" t="n">
        <x:f>IF(OR(ISBLANK(B549),ISBLANK(C549)),"",C549-B549)</x:f>
        <x:v>7</x:v>
      </x:c>
      <x:c r="AA549" t="str">
        <x:f>IF(ISBLANK(B549),"",TEXT(B549,"mmm"))</x:f>
        <x:v>May</x:v>
      </x:c>
      <x:c r="AB549" s="9" t="n">
        <x:f>IF(ISBLANK(B549),"",YEAR(B549))</x:f>
        <x:v>2024</x:v>
      </x:c>
      <x:c r="AC549" s="10" t="str"/>
      <x:c r="AD549" t="str">
        <x:f>IF(AND(U549="Completed",T549="Paid",ISERROR(SEARCH("INVALID",AC549)),ISERROR(SEARCH("REVIEW",AC549))),"Include","Exclude")</x:f>
        <x:v>Include</x:v>
      </x:c>
      <x:c r="AE549" t="str">
        <x:f>IF(T549="Refunded","Refunded","")</x:f>
      </x:c>
    </x:row>
    <x:row r="550">
      <x:c r="A550" t="str">
        <x:v>ORD-2024-10549</x:v>
      </x:c>
      <x:c r="B550" s="5" t="n">
        <x:v>45441</x:v>
      </x:c>
      <x:c r="C550" s="5" t="n">
        <x:v>45441</x:v>
      </x:c>
      <x:c r="D550" t="str">
        <x:v>CUST-5129</x:v>
      </x:c>
      <x:c r="E550" t="str">
        <x:v>Rohan Mehta</x:v>
      </x:c>
      <x:c r="F550" t="str">
        <x:v>Corporate</x:v>
      </x:c>
      <x:c r="G550" t="str">
        <x:v>East</x:v>
      </x:c>
      <x:c r="H550" t="str">
        <x:v>Bihar</x:v>
      </x:c>
      <x:c r="I550" t="str">
        <x:v>Patna</x:v>
      </x:c>
      <x:c r="J550" t="str">
        <x:v>Furniture</x:v>
      </x:c>
      <x:c r="K550" t="str">
        <x:v>Bookcases</x:v>
      </x:c>
      <x:c r="L550" t="str">
        <x:v>Prime Bookcases 402</x:v>
      </x:c>
      <x:c r="M550" t="str">
        <x:v>Same Day</x:v>
      </x:c>
      <x:c r="N550" t="n">
        <x:v>1</x:v>
      </x:c>
      <x:c r="O550" s="7" t="n">
        <x:v>1072.01</x:v>
      </x:c>
      <x:c r="P550" s="6" t="n">
        <x:v>0</x:v>
      </x:c>
      <x:c r="Q550" s="7" t="n">
        <x:v>1072.01</x:v>
      </x:c>
      <x:c r="R550" s="7" t="n">
        <x:v>852.62</x:v>
      </x:c>
      <x:c r="S550" s="7" t="n">
        <x:v>219.39</x:v>
      </x:c>
      <x:c r="T550" t="str">
        <x:v>Pending</x:v>
      </x:c>
      <x:c r="U550" t="str">
        <x:v>Cancelled</x:v>
      </x:c>
      <x:c r="V550" s="6" t="n">
        <x:f>IF(ISBLANK(P550),IF(AND(ISNUMBER(N550),N550&gt;0,ISNUMBER(O550),O550&gt;=0,ISNUMBER(Q550),Q550&gt;=0,ISNUMBER(R550),R550&gt;=0,ISNUMBER(S550)),0,""),P550)</x:f>
        <x:v>0</x:v>
      </x:c>
      <x:c r="W550" s="7" t="n">
        <x:f>IF(ISBLANK(V550),"",N550*O550*(1-V550))</x:f>
        <x:v>1072.01</x:v>
      </x:c>
      <x:c r="X550" s="7" t="n">
        <x:f>IF(OR(ISBLANK(W550),ISBLANK(R550)),"",W550-R550)</x:f>
        <x:v>219.39</x:v>
      </x:c>
      <x:c r="Y550" s="8" t="n">
        <x:f>IF(OR(ISBLANK(W550),W550=0),"",X550/W550)</x:f>
        <x:v>0.20465294167032022</x:v>
      </x:c>
      <x:c r="Z550" s="9" t="n">
        <x:f>IF(OR(ISBLANK(B550),ISBLANK(C550)),"",C550-B550)</x:f>
        <x:v>0</x:v>
      </x:c>
      <x:c r="AA550" t="str">
        <x:f>IF(ISBLANK(B550),"",TEXT(B550,"mmm"))</x:f>
        <x:v>May</x:v>
      </x:c>
      <x:c r="AB550" s="9" t="n">
        <x:f>IF(ISBLANK(B550),"",YEAR(B550))</x:f>
        <x:v>2024</x:v>
      </x:c>
      <x:c r="AC550" s="10" t="str">
        <x:v>EXCLUDE: Cancelled order</x:v>
      </x:c>
      <x:c r="AD550" t="str">
        <x:f>IF(AND(U550="Completed",T550="Paid",ISERROR(SEARCH("INVALID",AC550)),ISERROR(SEARCH("REVIEW",AC550))),"Include","Exclude")</x:f>
        <x:v>Exclude</x:v>
      </x:c>
      <x:c r="AE550" t="str">
        <x:f>IF(T550="Refunded","Refunded","")</x:f>
      </x:c>
    </x:row>
    <x:row r="551">
      <x:c r="A551" t="str">
        <x:v>ORD-2025-10550</x:v>
      </x:c>
      <x:c r="B551" s="5" t="n">
        <x:v>45941</x:v>
      </x:c>
      <x:c r="C551" s="5" t="n">
        <x:v>45943</x:v>
      </x:c>
      <x:c r="D551" t="str">
        <x:v>CUST-6028</x:v>
      </x:c>
      <x:c r="E551" t="str">
        <x:v>Mira Das</x:v>
      </x:c>
      <x:c r="F551" t="str">
        <x:v>Corporate</x:v>
      </x:c>
      <x:c r="G551" t="str">
        <x:v>South</x:v>
      </x:c>
      <x:c r="H551" t="str">
        <x:v>Telangana</x:v>
      </x:c>
      <x:c r="I551" t="str">
        <x:v>Hyderabad</x:v>
      </x:c>
      <x:c r="J551" t="str">
        <x:v>Office Supplies</x:v>
      </x:c>
      <x:c r="K551" t="str">
        <x:v>Art</x:v>
      </x:c>
      <x:c r="L551" t="str">
        <x:v>Pro Art 287</x:v>
      </x:c>
      <x:c r="M551" t="str">
        <x:v>Second Class</x:v>
      </x:c>
      <x:c r="N551" t="n">
        <x:v>3</x:v>
      </x:c>
      <x:c r="O551" s="7" t="n">
        <x:v>3804.27</x:v>
      </x:c>
      <x:c r="P551" s="6" t="n">
        <x:v>0.1</x:v>
      </x:c>
      <x:c r="Q551" s="7" t="n">
        <x:v>10271.53</x:v>
      </x:c>
      <x:c r="R551" s="7" t="n">
        <x:v>8272.24</x:v>
      </x:c>
      <x:c r="S551" s="7" t="n">
        <x:v>1999.29</x:v>
      </x:c>
      <x:c r="T551" t="str">
        <x:v>Paid</x:v>
      </x:c>
      <x:c r="U551" t="str">
        <x:v>Completed</x:v>
      </x:c>
      <x:c r="V551" s="6" t="n">
        <x:f>IF(ISBLANK(P551),IF(AND(ISNUMBER(N551),N551&gt;0,ISNUMBER(O551),O551&gt;=0,ISNUMBER(Q551),Q551&gt;=0,ISNUMBER(R551),R551&gt;=0,ISNUMBER(S551)),0,""),P551)</x:f>
        <x:v>0.1</x:v>
      </x:c>
      <x:c r="W551" s="7" t="n">
        <x:f>IF(ISBLANK(V551),"",N551*O551*(1-V551))</x:f>
        <x:v>10271.529</x:v>
      </x:c>
      <x:c r="X551" s="7" t="n">
        <x:f>IF(OR(ISBLANK(W551),ISBLANK(R551)),"",W551-R551)</x:f>
        <x:v>1999.2890000000007</x:v>
      </x:c>
      <x:c r="Y551" s="8" t="n">
        <x:f>IF(OR(ISBLANK(W551),W551=0),"",X551/W551)</x:f>
        <x:v>0.1946437575165295</x:v>
      </x:c>
      <x:c r="Z551" s="9" t="n">
        <x:f>IF(OR(ISBLANK(B551),ISBLANK(C551)),"",C551-B551)</x:f>
        <x:v>2</x:v>
      </x:c>
      <x:c r="AA551" t="str">
        <x:f>IF(ISBLANK(B551),"",TEXT(B551,"mmm"))</x:f>
        <x:v>Oct</x:v>
      </x:c>
      <x:c r="AB551" s="9" t="n">
        <x:f>IF(ISBLANK(B551),"",YEAR(B551))</x:f>
        <x:v>2025</x:v>
      </x:c>
      <x:c r="AC551" s="10" t="str"/>
      <x:c r="AD551" t="str">
        <x:f>IF(AND(U551="Completed",T551="Paid",ISERROR(SEARCH("INVALID",AC551)),ISERROR(SEARCH("REVIEW",AC551))),"Include","Exclude")</x:f>
        <x:v>Include</x:v>
      </x:c>
      <x:c r="AE551" t="str">
        <x:f>IF(T551="Refunded","Refunded","")</x:f>
      </x:c>
    </x:row>
    <x:row r="552">
      <x:c r="A552" t="str">
        <x:v>ORD-2024-10551</x:v>
      </x:c>
      <x:c r="B552" s="5" t="n">
        <x:v>45506</x:v>
      </x:c>
      <x:c r="C552" s="5" t="n">
        <x:v>45514</x:v>
      </x:c>
      <x:c r="D552" t="str">
        <x:v>CUST-8687</x:v>
      </x:c>
      <x:c r="E552" t="str">
        <x:v>Mira Das</x:v>
      </x:c>
      <x:c r="F552" t="str">
        <x:v>Home Office</x:v>
      </x:c>
      <x:c r="G552" t="str">
        <x:v>East</x:v>
      </x:c>
      <x:c r="H552" t="str">
        <x:v>Odisha</x:v>
      </x:c>
      <x:c r="I552" t="str">
        <x:v>Bhubaneswar</x:v>
      </x:c>
      <x:c r="J552" t="str">
        <x:v>Technology</x:v>
      </x:c>
      <x:c r="K552" t="str">
        <x:v>Accessories</x:v>
      </x:c>
      <x:c r="L552" t="str">
        <x:v>Max Accessories 591</x:v>
      </x:c>
      <x:c r="M552" t="str">
        <x:v>Standard Class</x:v>
      </x:c>
      <x:c r="N552" t="n">
        <x:v>6</x:v>
      </x:c>
      <x:c r="O552" s="7" t="n">
        <x:v>2126.44</x:v>
      </x:c>
      <x:c r="P552" s="6" t="n">
        <x:v>0.2</x:v>
      </x:c>
      <x:c r="Q552" s="7" t="n">
        <x:v>10206.91</x:v>
      </x:c>
      <x:c r="R552" s="7" t="n">
        <x:v>6764.53</x:v>
      </x:c>
      <x:c r="S552" s="7" t="n">
        <x:v>3442.38</x:v>
      </x:c>
      <x:c r="T552" t="str">
        <x:v>Paid</x:v>
      </x:c>
      <x:c r="U552" t="str">
        <x:v>Completed</x:v>
      </x:c>
      <x:c r="V552" s="6" t="n">
        <x:f>IF(ISBLANK(P552),IF(AND(ISNUMBER(N552),N552&gt;0,ISNUMBER(O552),O552&gt;=0,ISNUMBER(Q552),Q552&gt;=0,ISNUMBER(R552),R552&gt;=0,ISNUMBER(S552)),0,""),P552)</x:f>
        <x:v>0.2</x:v>
      </x:c>
      <x:c r="W552" s="7" t="n">
        <x:f>IF(ISBLANK(V552),"",N552*O552*(1-V552))</x:f>
        <x:v>10206.912</x:v>
      </x:c>
      <x:c r="X552" s="7" t="n">
        <x:f>IF(OR(ISBLANK(W552),ISBLANK(R552)),"",W552-R552)</x:f>
        <x:v>3442.3820000000005</x:v>
      </x:c>
      <x:c r="Y552" s="8" t="n">
        <x:f>IF(OR(ISBLANK(W552),W552=0),"",X552/W552)</x:f>
        <x:v>0.33725988820125036</x:v>
      </x:c>
      <x:c r="Z552" s="9" t="n">
        <x:f>IF(OR(ISBLANK(B552),ISBLANK(C552)),"",C552-B552)</x:f>
        <x:v>8</x:v>
      </x:c>
      <x:c r="AA552" t="str">
        <x:f>IF(ISBLANK(B552),"",TEXT(B552,"mmm"))</x:f>
        <x:v>Aug</x:v>
      </x:c>
      <x:c r="AB552" s="9" t="n">
        <x:f>IF(ISBLANK(B552),"",YEAR(B552))</x:f>
        <x:v>2024</x:v>
      </x:c>
      <x:c r="AC552" s="10" t="str"/>
      <x:c r="AD552" t="str">
        <x:f>IF(AND(U552="Completed",T552="Paid",ISERROR(SEARCH("INVALID",AC552)),ISERROR(SEARCH("REVIEW",AC552))),"Include","Exclude")</x:f>
        <x:v>Include</x:v>
      </x:c>
      <x:c r="AE552" t="str">
        <x:f>IF(T552="Refunded","Refunded","")</x:f>
      </x:c>
    </x:row>
    <x:row r="553">
      <x:c r="A553" t="str">
        <x:v>ORD-2024-10552</x:v>
      </x:c>
      <x:c r="B553" s="5" t="n">
        <x:v>45349</x:v>
      </x:c>
      <x:c r="C553" s="5" t="n">
        <x:v>45349</x:v>
      </x:c>
      <x:c r="D553" t="str">
        <x:v>CUST-8172</x:v>
      </x:c>
      <x:c r="E553" t="str">
        <x:v>Sneha Kapoor</x:v>
      </x:c>
      <x:c r="F553" t="str">
        <x:v>Consumer</x:v>
      </x:c>
      <x:c r="G553" t="str">
        <x:v>East</x:v>
      </x:c>
      <x:c r="H553" t="str">
        <x:v>Jharkhand</x:v>
      </x:c>
      <x:c r="I553" t="str">
        <x:v>Ranchi</x:v>
      </x:c>
      <x:c r="J553" t="str">
        <x:v>Furniture</x:v>
      </x:c>
      <x:c r="K553" t="str">
        <x:v>Chairs</x:v>
      </x:c>
      <x:c r="L553" t="str">
        <x:v>Elite Chairs 314</x:v>
      </x:c>
      <x:c r="M553" t="str">
        <x:v>Second Class</x:v>
      </x:c>
      <x:c r="N553" t="n">
        <x:v>3</x:v>
      </x:c>
      <x:c r="O553" s="7" t="n">
        <x:v>3148.09</x:v>
      </x:c>
      <x:c r="P553" s="6" t="n">
        <x:v>0.15</x:v>
      </x:c>
      <x:c r="Q553" s="7" t="n">
        <x:v>8027.63</x:v>
      </x:c>
      <x:c r="R553" s="7" t="n">
        <x:v>5496.09</x:v>
      </x:c>
      <x:c r="S553" s="7" t="n">
        <x:v>2531.54</x:v>
      </x:c>
      <x:c r="T553" t="str">
        <x:v>Paid</x:v>
      </x:c>
      <x:c r="U553" t="str">
        <x:v>Completed</x:v>
      </x:c>
      <x:c r="V553" s="6" t="n">
        <x:f>IF(ISBLANK(P553),IF(AND(ISNUMBER(N553),N553&gt;0,ISNUMBER(O553),O553&gt;=0,ISNUMBER(Q553),Q553&gt;=0,ISNUMBER(R553),R553&gt;=0,ISNUMBER(S553)),0,""),P553)</x:f>
        <x:v>0.15</x:v>
      </x:c>
      <x:c r="W553" s="7" t="n">
        <x:f>IF(ISBLANK(V553),"",N553*O553*(1-V553))</x:f>
        <x:v>8027.6295</x:v>
      </x:c>
      <x:c r="X553" s="7" t="n">
        <x:f>IF(OR(ISBLANK(W553),ISBLANK(R553)),"",W553-R553)</x:f>
        <x:v>2531.5395</x:v>
      </x:c>
      <x:c r="Y553" s="8" t="n">
        <x:f>IF(OR(ISBLANK(W553),W553=0),"",X553/W553)</x:f>
        <x:v>0.3153533057299169</x:v>
      </x:c>
      <x:c r="Z553" s="9" t="n">
        <x:f>IF(OR(ISBLANK(B553),ISBLANK(C553)),"",C553-B553)</x:f>
        <x:v>0</x:v>
      </x:c>
      <x:c r="AA553" t="str">
        <x:f>IF(ISBLANK(B553),"",TEXT(B553,"mmm"))</x:f>
        <x:v>Feb</x:v>
      </x:c>
      <x:c r="AB553" s="9" t="n">
        <x:f>IF(ISBLANK(B553),"",YEAR(B553))</x:f>
        <x:v>2024</x:v>
      </x:c>
      <x:c r="AC553" s="10" t="str"/>
      <x:c r="AD553" t="str">
        <x:f>IF(AND(U553="Completed",T553="Paid",ISERROR(SEARCH("INVALID",AC553)),ISERROR(SEARCH("REVIEW",AC553))),"Include","Exclude")</x:f>
        <x:v>Include</x:v>
      </x:c>
      <x:c r="AE553" t="str">
        <x:f>IF(T553="Refunded","Refunded","")</x:f>
      </x:c>
    </x:row>
    <x:row r="554">
      <x:c r="A554" t="str">
        <x:v>ORD-2025-10553</x:v>
      </x:c>
      <x:c r="B554" s="5" t="n">
        <x:v>45681</x:v>
      </x:c>
      <x:c r="C554" s="5" t="n">
        <x:v>45687</x:v>
      </x:c>
      <x:c r="D554" t="str">
        <x:v>CUST-8861</x:v>
      </x:c>
      <x:c r="E554" t="str">
        <x:v>Ananya Rao</x:v>
      </x:c>
      <x:c r="F554" t="str">
        <x:v>Corporate</x:v>
      </x:c>
      <x:c r="G554" t="str">
        <x:v>East</x:v>
      </x:c>
      <x:c r="H554" t="str">
        <x:v>West Bengal</x:v>
      </x:c>
      <x:c r="I554" t="str">
        <x:v>Kolkata</x:v>
      </x:c>
      <x:c r="J554" t="str">
        <x:v>Technology</x:v>
      </x:c>
      <x:c r="K554" t="str">
        <x:v>Copiers</x:v>
      </x:c>
      <x:c r="L554" t="str">
        <x:v>Pro Copiers 246</x:v>
      </x:c>
      <x:c r="M554" t="str">
        <x:v>Standard Class</x:v>
      </x:c>
      <x:c r="N554" t="n">
        <x:v>8</x:v>
      </x:c>
      <x:c r="O554" s="7" t="n">
        <x:v>312.53</x:v>
      </x:c>
      <x:c r="P554" s="6" t="n">
        <x:v>0.7</x:v>
      </x:c>
      <x:c r="Q554" s="7" t="n">
        <x:v>1875.18</x:v>
      </x:c>
      <x:c r="R554" s="7" t="n">
        <x:v>1579.17</x:v>
      </x:c>
      <x:c r="S554" s="7" t="n">
        <x:v>296.01</x:v>
      </x:c>
      <x:c r="T554" t="str">
        <x:v>Paid</x:v>
      </x:c>
      <x:c r="U554" t="str">
        <x:v>Completed</x:v>
      </x:c>
      <x:c r="V554" s="6" t="n">
        <x:f>IF(ISBLANK(P554),IF(AND(ISNUMBER(N554),N554&gt;0,ISNUMBER(O554),O554&gt;=0,ISNUMBER(Q554),Q554&gt;=0,ISNUMBER(R554),R554&gt;=0,ISNUMBER(S554)),0,""),P554)</x:f>
        <x:v>0.7</x:v>
      </x:c>
      <x:c r="W554" s="7" t="n">
        <x:f>IF(ISBLANK(V554),"",N554*O554*(1-V554))</x:f>
        <x:v>750.072</x:v>
      </x:c>
      <x:c r="X554" s="7" t="n">
        <x:f>IF(OR(ISBLANK(W554),ISBLANK(R554)),"",W554-R554)</x:f>
        <x:v>-829.0980000000001</x:v>
      </x:c>
      <x:c r="Y554" s="8" t="n">
        <x:f>IF(OR(ISBLANK(W554),W554=0),"",X554/W554)</x:f>
        <x:v>-1.1053578856429784</x:v>
      </x:c>
      <x:c r="Z554" s="9" t="n">
        <x:f>IF(OR(ISBLANK(B554),ISBLANK(C554)),"",C554-B554)</x:f>
        <x:v>6</x:v>
      </x:c>
      <x:c r="AA554" t="str">
        <x:f>IF(ISBLANK(B554),"",TEXT(B554,"mmm"))</x:f>
        <x:v>Jan</x:v>
      </x:c>
      <x:c r="AB554" s="9" t="n">
        <x:f>IF(ISBLANK(B554),"",YEAR(B554))</x:f>
        <x:v>2025</x:v>
      </x:c>
      <x:c r="AC554" s="10" t="str">
        <x:v>INVALID: Discount above allowed range</x:v>
      </x:c>
      <x:c r="AD554" t="str">
        <x:f>IF(AND(U554="Completed",T554="Paid",ISERROR(SEARCH("INVALID",AC554)),ISERROR(SEARCH("REVIEW",AC554))),"Include","Exclude")</x:f>
        <x:v>Exclude</x:v>
      </x:c>
      <x:c r="AE554" t="str">
        <x:f>IF(T554="Refunded","Refunded","")</x:f>
      </x:c>
    </x:row>
    <x:row r="555">
      <x:c r="A555" t="str">
        <x:v>ORD-2025-10554</x:v>
      </x:c>
      <x:c r="B555" s="5" t="n">
        <x:v>45772</x:v>
      </x:c>
      <x:c r="C555" s="5" t="n">
        <x:v>45775</x:v>
      </x:c>
      <x:c r="D555" t="str">
        <x:v>CUST-9241</x:v>
      </x:c>
      <x:c r="E555" t="str">
        <x:v>Aarav Sharma</x:v>
      </x:c>
      <x:c r="F555" t="str">
        <x:v>Small Business</x:v>
      </x:c>
      <x:c r="G555" t="str">
        <x:v>West</x:v>
      </x:c>
      <x:c r="H555" t="str">
        <x:v>Gujarat</x:v>
      </x:c>
      <x:c r="I555" t="str">
        <x:v>Ahmedabad</x:v>
      </x:c>
      <x:c r="J555" t="str">
        <x:v>Office Supplies</x:v>
      </x:c>
      <x:c r="K555" t="str">
        <x:v>Storage</x:v>
      </x:c>
      <x:c r="L555" t="str">
        <x:v>Pro Storage 128</x:v>
      </x:c>
      <x:c r="M555" t="str">
        <x:v>First Class</x:v>
      </x:c>
      <x:c r="N555" t="n">
        <x:v>9</x:v>
      </x:c>
      <x:c r="O555" s="7" t="n">
        <x:v>1294.11</x:v>
      </x:c>
      <x:c r="P555" s="6" t="n">
        <x:v>0.25</x:v>
      </x:c>
      <x:c r="Q555" s="7" t="n">
        <x:v>8735.24</x:v>
      </x:c>
      <x:c r="R555" s="7" t="n">
        <x:v>6620.07</x:v>
      </x:c>
      <x:c r="S555" s="7" t="n">
        <x:v>2115.17</x:v>
      </x:c>
      <x:c r="T555" t="str">
        <x:v>Paid</x:v>
      </x:c>
      <x:c r="U555" t="str">
        <x:v>Completed</x:v>
      </x:c>
      <x:c r="V555" s="6" t="n">
        <x:f>IF(ISBLANK(P555),IF(AND(ISNUMBER(N555),N555&gt;0,ISNUMBER(O555),O555&gt;=0,ISNUMBER(Q555),Q555&gt;=0,ISNUMBER(R555),R555&gt;=0,ISNUMBER(S555)),0,""),P555)</x:f>
        <x:v>0.25</x:v>
      </x:c>
      <x:c r="W555" s="7" t="n">
        <x:f>IF(ISBLANK(V555),"",N555*O555*(1-V555))</x:f>
        <x:v>8735.2425</x:v>
      </x:c>
      <x:c r="X555" s="7" t="n">
        <x:f>IF(OR(ISBLANK(W555),ISBLANK(R555)),"",W555-R555)</x:f>
        <x:v>2115.1725000000006</x:v>
      </x:c>
      <x:c r="Y555" s="8" t="n">
        <x:f>IF(OR(ISBLANK(W555),W555=0),"",X555/W555)</x:f>
        <x:v>0.2421423904373577</x:v>
      </x:c>
      <x:c r="Z555" s="9" t="n">
        <x:f>IF(OR(ISBLANK(B555),ISBLANK(C555)),"",C555-B555)</x:f>
        <x:v>3</x:v>
      </x:c>
      <x:c r="AA555" t="str">
        <x:f>IF(ISBLANK(B555),"",TEXT(B555,"mmm"))</x:f>
        <x:v>Apr</x:v>
      </x:c>
      <x:c r="AB555" s="9" t="n">
        <x:f>IF(ISBLANK(B555),"",YEAR(B555))</x:f>
        <x:v>2025</x:v>
      </x:c>
      <x:c r="AC555" s="10" t="str"/>
      <x:c r="AD555" t="str">
        <x:f>IF(AND(U555="Completed",T555="Paid",ISERROR(SEARCH("INVALID",AC555)),ISERROR(SEARCH("REVIEW",AC555))),"Include","Exclude")</x:f>
        <x:v>Include</x:v>
      </x:c>
      <x:c r="AE555" t="str">
        <x:f>IF(T555="Refunded","Refunded","")</x:f>
      </x:c>
    </x:row>
    <x:row r="556">
      <x:c r="A556" t="str">
        <x:v>ORD-2024-10555</x:v>
      </x:c>
      <x:c r="B556" s="5" t="n">
        <x:v>45577</x:v>
      </x:c>
      <x:c r="C556" s="5" t="n">
        <x:v>45582</x:v>
      </x:c>
      <x:c r="D556" t="str">
        <x:v>CUST-2126</x:v>
      </x:c>
      <x:c r="E556" t="str">
        <x:v>Arjun Bose</x:v>
      </x:c>
      <x:c r="F556" t="str">
        <x:v>Consumer</x:v>
      </x:c>
      <x:c r="G556" t="str">
        <x:v>Unknown</x:v>
      </x:c>
      <x:c r="H556" t="str">
        <x:v>Jharkhand</x:v>
      </x:c>
      <x:c r="I556" t="str">
        <x:v>Ranchi</x:v>
      </x:c>
      <x:c r="J556" t="str">
        <x:v>Furniture</x:v>
      </x:c>
      <x:c r="K556" t="str">
        <x:v>Furnishings</x:v>
      </x:c>
      <x:c r="L556" t="str">
        <x:v>Prime Furnishings 892</x:v>
      </x:c>
      <x:c r="M556" t="str">
        <x:v>Standard Class</x:v>
      </x:c>
      <x:c r="N556" t="n">
        <x:v>4</x:v>
      </x:c>
      <x:c r="O556" s="7" t="n">
        <x:v>1071.22</x:v>
      </x:c>
      <x:c r="P556" s="6" t="n">
        <x:v>0.05</x:v>
      </x:c>
      <x:c r="Q556" s="7" t="n">
        <x:v>4070.64</x:v>
      </x:c>
      <x:c r="R556" s="7" t="n">
        <x:v>2831.62</x:v>
      </x:c>
      <x:c r="S556" s="7" t="n">
        <x:v>1239.02</x:v>
      </x:c>
      <x:c r="T556" t="str">
        <x:v>Paid</x:v>
      </x:c>
      <x:c r="U556" t="str">
        <x:v>Completed</x:v>
      </x:c>
      <x:c r="V556" s="6" t="n">
        <x:f>IF(ISBLANK(P556),IF(AND(ISNUMBER(N556),N556&gt;0,ISNUMBER(O556),O556&gt;=0,ISNUMBER(Q556),Q556&gt;=0,ISNUMBER(R556),R556&gt;=0,ISNUMBER(S556)),0,""),P556)</x:f>
        <x:v>0.05</x:v>
      </x:c>
      <x:c r="W556" s="7" t="n">
        <x:f>IF(ISBLANK(V556),"",N556*O556*(1-V556))</x:f>
        <x:v>4070.636</x:v>
      </x:c>
      <x:c r="X556" s="7" t="n">
        <x:f>IF(OR(ISBLANK(W556),ISBLANK(R556)),"",W556-R556)</x:f>
        <x:v>1239.016</x:v>
      </x:c>
      <x:c r="Y556" s="8" t="n">
        <x:f>IF(OR(ISBLANK(W556),W556=0),"",X556/W556)</x:f>
        <x:v>0.3043789717380773</x:v>
      </x:c>
      <x:c r="Z556" s="9" t="n">
        <x:f>IF(OR(ISBLANK(B556),ISBLANK(C556)),"",C556-B556)</x:f>
        <x:v>5</x:v>
      </x:c>
      <x:c r="AA556" t="str">
        <x:f>IF(ISBLANK(B556),"",TEXT(B556,"mmm"))</x:f>
        <x:v>Oct</x:v>
      </x:c>
      <x:c r="AB556" s="9" t="n">
        <x:f>IF(ISBLANK(B556),"",YEAR(B556))</x:f>
        <x:v>2024</x:v>
      </x:c>
      <x:c r="AC556" s="10" t="str">
        <x:v>FLAG: Missing region filled as Unknown</x:v>
      </x:c>
      <x:c r="AD556" t="str">
        <x:f>IF(AND(U556="Completed",T556="Paid",ISERROR(SEARCH("INVALID",AC556)),ISERROR(SEARCH("REVIEW",AC556))),"Include","Exclude")</x:f>
        <x:v>Include</x:v>
      </x:c>
      <x:c r="AE556" t="str">
        <x:f>IF(T556="Refunded","Refunded","")</x:f>
      </x:c>
    </x:row>
    <x:row r="557">
      <x:c r="A557" t="str">
        <x:v>ORD-2025-10556</x:v>
      </x:c>
      <x:c r="B557" s="5" t="n">
        <x:v>45692</x:v>
      </x:c>
      <x:c r="C557" s="5" t="n">
        <x:v>45698</x:v>
      </x:c>
      <x:c r="D557" t="str">
        <x:v>CUST-7513</x:v>
      </x:c>
      <x:c r="E557" t="str">
        <x:v>Ananya Rao</x:v>
      </x:c>
      <x:c r="F557" t="str">
        <x:v>Small Business</x:v>
      </x:c>
      <x:c r="G557" t="str">
        <x:v>South</x:v>
      </x:c>
      <x:c r="H557" t="str">
        <x:v>Telangana</x:v>
      </x:c>
      <x:c r="I557" t="str">
        <x:v>Hyderabad</x:v>
      </x:c>
      <x:c r="J557" t="str">
        <x:v>Office Supplies</x:v>
      </x:c>
      <x:c r="K557" t="str">
        <x:v>Storage</x:v>
      </x:c>
      <x:c r="L557" t="str">
        <x:v>Prime Storage 689</x:v>
      </x:c>
      <x:c r="M557" t="str">
        <x:v>Standard Class</x:v>
      </x:c>
      <x:c r="N557" t="n">
        <x:v>6</x:v>
      </x:c>
      <x:c r="O557" s="7" t="n">
        <x:v>1042.8</x:v>
      </x:c>
      <x:c r="P557" s="6" t="n">
        <x:v>0.05</x:v>
      </x:c>
      <x:c r="Q557" s="7" t="n">
        <x:v>5943.96</x:v>
      </x:c>
      <x:c r="R557" s="7" t="n">
        <x:v>3604.14</x:v>
      </x:c>
      <x:c r="S557" s="7" t="n">
        <x:v>2339.82</x:v>
      </x:c>
      <x:c r="T557" t="str">
        <x:v>Paid</x:v>
      </x:c>
      <x:c r="U557" t="str">
        <x:v>Completed</x:v>
      </x:c>
      <x:c r="V557" s="6" t="n">
        <x:f>IF(ISBLANK(P557),IF(AND(ISNUMBER(N557),N557&gt;0,ISNUMBER(O557),O557&gt;=0,ISNUMBER(Q557),Q557&gt;=0,ISNUMBER(R557),R557&gt;=0,ISNUMBER(S557)),0,""),P557)</x:f>
        <x:v>0.05</x:v>
      </x:c>
      <x:c r="W557" s="7" t="n">
        <x:f>IF(ISBLANK(V557),"",N557*O557*(1-V557))</x:f>
        <x:v>5943.959999999999</x:v>
      </x:c>
      <x:c r="X557" s="7" t="n">
        <x:f>IF(OR(ISBLANK(W557),ISBLANK(R557)),"",W557-R557)</x:f>
        <x:v>2339.8199999999993</x:v>
      </x:c>
      <x:c r="Y557" s="8" t="n">
        <x:f>IF(OR(ISBLANK(W557),W557=0),"",X557/W557)</x:f>
        <x:v>0.3936466598025558</x:v>
      </x:c>
      <x:c r="Z557" s="9" t="n">
        <x:f>IF(OR(ISBLANK(B557),ISBLANK(C557)),"",C557-B557)</x:f>
        <x:v>6</x:v>
      </x:c>
      <x:c r="AA557" t="str">
        <x:f>IF(ISBLANK(B557),"",TEXT(B557,"mmm"))</x:f>
        <x:v>Feb</x:v>
      </x:c>
      <x:c r="AB557" s="9" t="n">
        <x:f>IF(ISBLANK(B557),"",YEAR(B557))</x:f>
        <x:v>2025</x:v>
      </x:c>
      <x:c r="AC557" s="10" t="str"/>
      <x:c r="AD557" t="str">
        <x:f>IF(AND(U557="Completed",T557="Paid",ISERROR(SEARCH("INVALID",AC557)),ISERROR(SEARCH("REVIEW",AC557))),"Include","Exclude")</x:f>
        <x:v>Include</x:v>
      </x:c>
      <x:c r="AE557" t="str">
        <x:f>IF(T557="Refunded","Refunded","")</x:f>
      </x:c>
    </x:row>
    <x:row r="558">
      <x:c r="A558" t="str">
        <x:v>ORD-2024-10557</x:v>
      </x:c>
      <x:c r="B558" s="5" t="n">
        <x:v>45466</x:v>
      </x:c>
      <x:c r="C558" s="5" t="n">
        <x:v>45472</x:v>
      </x:c>
      <x:c r="D558" t="str">
        <x:v>CUST-1992</x:v>
      </x:c>
      <x:c r="E558" t="str">
        <x:v>Neha Gupta</x:v>
      </x:c>
      <x:c r="F558" t="str">
        <x:v>Consumer</x:v>
      </x:c>
      <x:c r="G558" t="str">
        <x:v>North</x:v>
      </x:c>
      <x:c r="H558" t="str">
        <x:v>Haryana</x:v>
      </x:c>
      <x:c r="I558" t="str">
        <x:v>Gurugram</x:v>
      </x:c>
      <x:c r="J558" t="str">
        <x:v>Furniture</x:v>
      </x:c>
      <x:c r="K558" t="str">
        <x:v>Tables</x:v>
      </x:c>
      <x:c r="L558" t="str">
        <x:v>Classic Tables 769</x:v>
      </x:c>
      <x:c r="M558" t="str">
        <x:v>First Class</x:v>
      </x:c>
      <x:c r="N558" t="n">
        <x:v>1</x:v>
      </x:c>
      <x:c r="O558" s="7" t="n">
        <x:v>4426.66</x:v>
      </x:c>
      <x:c r="P558" s="6" t="n">
        <x:v>0</x:v>
      </x:c>
      <x:c r="Q558" s="7" t="n">
        <x:v>4426.66</x:v>
      </x:c>
      <x:c r="R558" s="7" t="n">
        <x:v>3035.2</x:v>
      </x:c>
      <x:c r="S558" s="7" t="n">
        <x:v>1816.23</x:v>
      </x:c>
      <x:c r="T558" t="str">
        <x:v>Paid</x:v>
      </x:c>
      <x:c r="U558" t="str">
        <x:v>Returned</x:v>
      </x:c>
      <x:c r="V558" s="6" t="n">
        <x:f>IF(ISBLANK(P558),IF(AND(ISNUMBER(N558),N558&gt;0,ISNUMBER(O558),O558&gt;=0,ISNUMBER(Q558),Q558&gt;=0,ISNUMBER(R558),R558&gt;=0,ISNUMBER(S558)),0,""),P558)</x:f>
        <x:v>0</x:v>
      </x:c>
      <x:c r="W558" s="7" t="n">
        <x:f>IF(ISBLANK(V558),"",N558*O558*(1-V558))</x:f>
        <x:v>4426.66</x:v>
      </x:c>
      <x:c r="X558" s="7" t="n">
        <x:f>IF(OR(ISBLANK(W558),ISBLANK(R558)),"",W558-R558)</x:f>
        <x:v>1391.46</x:v>
      </x:c>
      <x:c r="Y558" s="8" t="n">
        <x:f>IF(OR(ISBLANK(W558),W558=0),"",X558/W558)</x:f>
        <x:v>0.31433631677156143</x:v>
      </x:c>
      <x:c r="Z558" s="9" t="n">
        <x:f>IF(OR(ISBLANK(B558),ISBLANK(C558)),"",C558-B558)</x:f>
        <x:v>6</x:v>
      </x:c>
      <x:c r="AA558" t="str">
        <x:f>IF(ISBLANK(B558),"",TEXT(B558,"mmm"))</x:f>
        <x:v>Jun</x:v>
      </x:c>
      <x:c r="AB558" s="9" t="n">
        <x:f>IF(ISBLANK(B558),"",YEAR(B558))</x:f>
        <x:v>2024</x:v>
      </x:c>
      <x:c r="AC558" s="10" t="str"/>
      <x:c r="AD558" t="str">
        <x:f>IF(AND(U558="Completed",T558="Paid",ISERROR(SEARCH("INVALID",AC558)),ISERROR(SEARCH("REVIEW",AC558))),"Include","Exclude")</x:f>
        <x:v>Exclude</x:v>
      </x:c>
      <x:c r="AE558" t="str">
        <x:f>IF(T558="Refunded","Refunded","")</x:f>
      </x:c>
    </x:row>
    <x:row r="559">
      <x:c r="A559" t="str">
        <x:v>ORD-2024-10558</x:v>
      </x:c>
      <x:c r="B559" s="5" t="n">
        <x:v>45420</x:v>
      </x:c>
      <x:c r="C559" s="5" t="n">
        <x:v>45426</x:v>
      </x:c>
      <x:c r="D559" t="str">
        <x:v>CUST-8848</x:v>
      </x:c>
      <x:c r="E559" t="str">
        <x:v>Vikram Iyer</x:v>
      </x:c>
      <x:c r="F559" t="str">
        <x:v>Home Office</x:v>
      </x:c>
      <x:c r="G559" t="str">
        <x:v>North</x:v>
      </x:c>
      <x:c r="H559" t="str">
        <x:v>Haryana</x:v>
      </x:c>
      <x:c r="I559" t="str">
        <x:v>Gurugram</x:v>
      </x:c>
      <x:c r="J559" t="str">
        <x:v>Technology</x:v>
      </x:c>
      <x:c r="K559" t="str">
        <x:v>Phones</x:v>
      </x:c>
      <x:c r="L559" t="str">
        <x:v>Prime Phones 503</x:v>
      </x:c>
      <x:c r="M559" t="str">
        <x:v>First Class</x:v>
      </x:c>
      <x:c r="N559" t="n">
        <x:v>9</x:v>
      </x:c>
      <x:c r="O559" s="7" t="n">
        <x:v>3769.46</x:v>
      </x:c>
      <x:c r="P559" s="6" t="n">
        <x:v>0.05</x:v>
      </x:c>
      <x:c r="Q559" s="7" t="n">
        <x:v>32228.88</x:v>
      </x:c>
      <x:c r="R559" s="7" t="n">
        <x:v>24971.36</x:v>
      </x:c>
      <x:c r="S559" s="7" t="n">
        <x:v>7257.52</x:v>
      </x:c>
      <x:c r="T559" t="str">
        <x:v>Paid</x:v>
      </x:c>
      <x:c r="U559" t="str">
        <x:v>Cancelled</x:v>
      </x:c>
      <x:c r="V559" s="6" t="n">
        <x:f>IF(ISBLANK(P559),IF(AND(ISNUMBER(N559),N559&gt;0,ISNUMBER(O559),O559&gt;=0,ISNUMBER(Q559),Q559&gt;=0,ISNUMBER(R559),R559&gt;=0,ISNUMBER(S559)),0,""),P559)</x:f>
        <x:v>0.05</x:v>
      </x:c>
      <x:c r="W559" s="7" t="n">
        <x:f>IF(ISBLANK(V559),"",N559*O559*(1-V559))</x:f>
        <x:v>32228.882999999998</x:v>
      </x:c>
      <x:c r="X559" s="7" t="n">
        <x:f>IF(OR(ISBLANK(W559),ISBLANK(R559)),"",W559-R559)</x:f>
        <x:v>7257.522999999997</x:v>
      </x:c>
      <x:c r="Y559" s="8" t="n">
        <x:f>IF(OR(ISBLANK(W559),W559=0),"",X559/W559)</x:f>
        <x:v>0.22518692317074712</x:v>
      </x:c>
      <x:c r="Z559" s="9" t="n">
        <x:f>IF(OR(ISBLANK(B559),ISBLANK(C559)),"",C559-B559)</x:f>
        <x:v>6</x:v>
      </x:c>
      <x:c r="AA559" t="str">
        <x:f>IF(ISBLANK(B559),"",TEXT(B559,"mmm"))</x:f>
        <x:v>May</x:v>
      </x:c>
      <x:c r="AB559" s="9" t="n">
        <x:f>IF(ISBLANK(B559),"",YEAR(B559))</x:f>
        <x:v>2024</x:v>
      </x:c>
      <x:c r="AC559" s="10" t="str">
        <x:v>EXCLUDE: Cancelled order</x:v>
      </x:c>
      <x:c r="AD559" t="str">
        <x:f>IF(AND(U559="Completed",T559="Paid",ISERROR(SEARCH("INVALID",AC559)),ISERROR(SEARCH("REVIEW",AC559))),"Include","Exclude")</x:f>
        <x:v>Exclude</x:v>
      </x:c>
      <x:c r="AE559" t="str">
        <x:f>IF(T559="Refunded","Refunded","")</x:f>
      </x:c>
    </x:row>
    <x:row r="560">
      <x:c r="A560" t="str">
        <x:v>ORD-2025-10559</x:v>
      </x:c>
      <x:c r="B560" s="5" t="n">
        <x:v>45904</x:v>
      </x:c>
      <x:c r="C560" s="5" t="n">
        <x:v>45904</x:v>
      </x:c>
      <x:c r="D560" t="str">
        <x:v>CUST-9368</x:v>
      </x:c>
      <x:c r="E560" t="str">
        <x:v>Aditi Sen</x:v>
      </x:c>
      <x:c r="F560" t="str">
        <x:v>Corporate</x:v>
      </x:c>
      <x:c r="G560" t="str">
        <x:v>North</x:v>
      </x:c>
      <x:c r="H560" t="str">
        <x:v>Punjab</x:v>
      </x:c>
      <x:c r="I560" t="str">
        <x:v>Ludhiana</x:v>
      </x:c>
      <x:c r="J560" t="str">
        <x:v>Technology</x:v>
      </x:c>
      <x:c r="K560" t="str">
        <x:v>Machines</x:v>
      </x:c>
      <x:c r="L560" t="str">
        <x:v>Basic Machines 136</x:v>
      </x:c>
      <x:c r="M560" t="str">
        <x:v>First Class</x:v>
      </x:c>
      <x:c r="N560" t="n">
        <x:v>8</x:v>
      </x:c>
      <x:c r="O560" s="7" t="n">
        <x:v>3079.95</x:v>
      </x:c>
      <x:c r="P560" s="6" t="n">
        <x:v>0.2</x:v>
      </x:c>
      <x:c r="Q560" s="7" t="n">
        <x:v>19711.68</x:v>
      </x:c>
      <x:c r="R560" s="7" t="n">
        <x:v>14461.8</x:v>
      </x:c>
      <x:c r="S560" s="7" t="n">
        <x:v>5249.88</x:v>
      </x:c>
      <x:c r="T560" t="str">
        <x:v>Paid</x:v>
      </x:c>
      <x:c r="U560" t="str">
        <x:v>Completed</x:v>
      </x:c>
      <x:c r="V560" s="6" t="n">
        <x:f>IF(ISBLANK(P560),IF(AND(ISNUMBER(N560),N560&gt;0,ISNUMBER(O560),O560&gt;=0,ISNUMBER(Q560),Q560&gt;=0,ISNUMBER(R560),R560&gt;=0,ISNUMBER(S560)),0,""),P560)</x:f>
        <x:v>0.2</x:v>
      </x:c>
      <x:c r="W560" s="7" t="n">
        <x:f>IF(ISBLANK(V560),"",N560*O560*(1-V560))</x:f>
        <x:v>19711.68</x:v>
      </x:c>
      <x:c r="X560" s="7" t="n">
        <x:f>IF(OR(ISBLANK(W560),ISBLANK(R560)),"",W560-R560)</x:f>
        <x:v>5249.880000000001</x:v>
      </x:c>
      <x:c r="Y560" s="8" t="n">
        <x:f>IF(OR(ISBLANK(W560),W560=0),"",X560/W560)</x:f>
        <x:v>0.26633346320557155</x:v>
      </x:c>
      <x:c r="Z560" s="9" t="n">
        <x:f>IF(OR(ISBLANK(B560),ISBLANK(C560)),"",C560-B560)</x:f>
        <x:v>0</x:v>
      </x:c>
      <x:c r="AA560" t="str">
        <x:f>IF(ISBLANK(B560),"",TEXT(B560,"mmm"))</x:f>
        <x:v>Sep</x:v>
      </x:c>
      <x:c r="AB560" s="9" t="n">
        <x:f>IF(ISBLANK(B560),"",YEAR(B560))</x:f>
        <x:v>2025</x:v>
      </x:c>
      <x:c r="AC560" s="10" t="str"/>
      <x:c r="AD560" t="str">
        <x:f>IF(AND(U560="Completed",T560="Paid",ISERROR(SEARCH("INVALID",AC560)),ISERROR(SEARCH("REVIEW",AC560))),"Include","Exclude")</x:f>
        <x:v>Include</x:v>
      </x:c>
      <x:c r="AE560" t="str">
        <x:f>IF(T560="Refunded","Refunded","")</x:f>
      </x:c>
    </x:row>
    <x:row r="561">
      <x:c r="A561" t="str">
        <x:v>ORD-2025-10560</x:v>
      </x:c>
      <x:c r="B561" s="5" t="n">
        <x:v>45930</x:v>
      </x:c>
      <x:c r="C561" s="5" t="n">
        <x:v>45937</x:v>
      </x:c>
      <x:c r="D561" t="str">
        <x:v>CUST-6797</x:v>
      </x:c>
      <x:c r="E561" t="str">
        <x:v>Diya Patel</x:v>
      </x:c>
      <x:c r="F561" t="str">
        <x:v>Corporate</x:v>
      </x:c>
      <x:c r="G561" t="str">
        <x:v>East</x:v>
      </x:c>
      <x:c r="H561" t="str">
        <x:v>Bihar</x:v>
      </x:c>
      <x:c r="I561" t="str">
        <x:v>Patna</x:v>
      </x:c>
      <x:c r="J561" t="str">
        <x:v>Technology</x:v>
      </x:c>
      <x:c r="K561" t="str">
        <x:v>Copiers</x:v>
      </x:c>
      <x:c r="L561" t="str">
        <x:v>Basic Copiers 512</x:v>
      </x:c>
      <x:c r="M561" t="str">
        <x:v>Second Class</x:v>
      </x:c>
      <x:c r="N561" t="n">
        <x:v>5</x:v>
      </x:c>
      <x:c r="O561" s="7" t="n">
        <x:v>3277.82</x:v>
      </x:c>
      <x:c r="P561" s="6" t="n">
        <x:v>0.1</x:v>
      </x:c>
      <x:c r="Q561" s="7" t="n">
        <x:v>14750.19</x:v>
      </x:c>
      <x:c r="R561" s="7" t="n">
        <x:v>9482.58</x:v>
      </x:c>
      <x:c r="S561" s="7" t="n">
        <x:v>5267.61</x:v>
      </x:c>
      <x:c r="T561" t="str">
        <x:v>Paid</x:v>
      </x:c>
      <x:c r="U561" t="str">
        <x:v>Returned</x:v>
      </x:c>
      <x:c r="V561" s="6" t="n">
        <x:f>IF(ISBLANK(P561),IF(AND(ISNUMBER(N561),N561&gt;0,ISNUMBER(O561),O561&gt;=0,ISNUMBER(Q561),Q561&gt;=0,ISNUMBER(R561),R561&gt;=0,ISNUMBER(S561)),0,""),P561)</x:f>
        <x:v>0.1</x:v>
      </x:c>
      <x:c r="W561" s="7" t="n">
        <x:f>IF(ISBLANK(V561),"",N561*O561*(1-V561))</x:f>
        <x:v>14750.190000000002</x:v>
      </x:c>
      <x:c r="X561" s="7" t="n">
        <x:f>IF(OR(ISBLANK(W561),ISBLANK(R561)),"",W561-R561)</x:f>
        <x:v>5267.610000000002</x:v>
      </x:c>
      <x:c r="Y561" s="8" t="n">
        <x:f>IF(OR(ISBLANK(W561),W561=0),"",X561/W561)</x:f>
        <x:v>0.3571215014857437</x:v>
      </x:c>
      <x:c r="Z561" s="9" t="n">
        <x:f>IF(OR(ISBLANK(B561),ISBLANK(C561)),"",C561-B561)</x:f>
        <x:v>7</x:v>
      </x:c>
      <x:c r="AA561" t="str">
        <x:f>IF(ISBLANK(B561),"",TEXT(B561,"mmm"))</x:f>
        <x:v>Sep</x:v>
      </x:c>
      <x:c r="AB561" s="9" t="n">
        <x:f>IF(ISBLANK(B561),"",YEAR(B561))</x:f>
        <x:v>2025</x:v>
      </x:c>
      <x:c r="AC561" s="10" t="str"/>
      <x:c r="AD561" t="str">
        <x:f>IF(AND(U561="Completed",T561="Paid",ISERROR(SEARCH("INVALID",AC561)),ISERROR(SEARCH("REVIEW",AC561))),"Include","Exclude")</x:f>
        <x:v>Exclude</x:v>
      </x:c>
      <x:c r="AE561" t="str">
        <x:f>IF(T561="Refunded","Refunded","")</x:f>
      </x:c>
    </x:row>
    <x:row r="562">
      <x:c r="A562" t="str">
        <x:v>ORD-2024-10561</x:v>
      </x:c>
      <x:c r="B562" s="5" t="n">
        <x:v>45307</x:v>
      </x:c>
      <x:c r="C562" s="5" t="n">
        <x:v>45313</x:v>
      </x:c>
      <x:c r="D562" t="str">
        <x:v>CUST-9333</x:v>
      </x:c>
      <x:c r="E562" t="str">
        <x:v>Arjun Bose</x:v>
      </x:c>
      <x:c r="F562" t="str">
        <x:v>Consumer</x:v>
      </x:c>
      <x:c r="G562" t="str">
        <x:v>West</x:v>
      </x:c>
      <x:c r="H562" t="str">
        <x:v>Goa</x:v>
      </x:c>
      <x:c r="I562" t="str">
        <x:v>Panaji</x:v>
      </x:c>
      <x:c r="J562" t="str">
        <x:v>Office Supplies</x:v>
      </x:c>
      <x:c r="K562" t="str">
        <x:v>Storage</x:v>
      </x:c>
      <x:c r="L562" t="str">
        <x:v>Smart Storage 767</x:v>
      </x:c>
      <x:c r="M562" t="str">
        <x:v>Standard Class</x:v>
      </x:c>
      <x:c r="N562" t="n">
        <x:v>4</x:v>
      </x:c>
      <x:c r="O562" s="7" t="n">
        <x:v>282.53</x:v>
      </x:c>
      <x:c r="P562" s="6" t="n">
        <x:v>0</x:v>
      </x:c>
      <x:c r="Q562" s="7" t="n">
        <x:v>1130.12</x:v>
      </x:c>
      <x:c r="R562" s="7" t="n">
        <x:v>848.62</x:v>
      </x:c>
      <x:c r="S562" s="7" t="n">
        <x:v>281.5</x:v>
      </x:c>
      <x:c r="T562" t="str">
        <x:v>Paid</x:v>
      </x:c>
      <x:c r="U562" t="str">
        <x:v>Cancelled</x:v>
      </x:c>
      <x:c r="V562" s="6" t="n">
        <x:f>IF(ISBLANK(P562),IF(AND(ISNUMBER(N562),N562&gt;0,ISNUMBER(O562),O562&gt;=0,ISNUMBER(Q562),Q562&gt;=0,ISNUMBER(R562),R562&gt;=0,ISNUMBER(S562)),0,""),P562)</x:f>
        <x:v>0</x:v>
      </x:c>
      <x:c r="W562" s="7" t="n">
        <x:f>IF(ISBLANK(V562),"",N562*O562*(1-V562))</x:f>
        <x:v>1130.12</x:v>
      </x:c>
      <x:c r="X562" s="7" t="n">
        <x:f>IF(OR(ISBLANK(W562),ISBLANK(R562)),"",W562-R562)</x:f>
        <x:v>281.4999999999999</x:v>
      </x:c>
      <x:c r="Y562" s="8" t="n">
        <x:f>IF(OR(ISBLANK(W562),W562=0),"",X562/W562)</x:f>
        <x:v>0.249088592361873</x:v>
      </x:c>
      <x:c r="Z562" s="9" t="n">
        <x:f>IF(OR(ISBLANK(B562),ISBLANK(C562)),"",C562-B562)</x:f>
        <x:v>6</x:v>
      </x:c>
      <x:c r="AA562" t="str">
        <x:f>IF(ISBLANK(B562),"",TEXT(B562,"mmm"))</x:f>
        <x:v>Jan</x:v>
      </x:c>
      <x:c r="AB562" s="9" t="n">
        <x:f>IF(ISBLANK(B562),"",YEAR(B562))</x:f>
        <x:v>2024</x:v>
      </x:c>
      <x:c r="AC562" s="10" t="str">
        <x:v>EXCLUDE: Cancelled order</x:v>
      </x:c>
      <x:c r="AD562" t="str">
        <x:f>IF(AND(U562="Completed",T562="Paid",ISERROR(SEARCH("INVALID",AC562)),ISERROR(SEARCH("REVIEW",AC562))),"Include","Exclude")</x:f>
        <x:v>Exclude</x:v>
      </x:c>
      <x:c r="AE562" t="str">
        <x:f>IF(T562="Refunded","Refunded","")</x:f>
      </x:c>
    </x:row>
    <x:row r="563">
      <x:c r="A563" t="str">
        <x:v>ORD-2025-10562</x:v>
      </x:c>
      <x:c r="B563" s="5" t="n">
        <x:v>45852</x:v>
      </x:c>
      <x:c r="C563" s="5" t="n">
        <x:v>45856</x:v>
      </x:c>
      <x:c r="D563" t="str">
        <x:v>CUST-6654</x:v>
      </x:c>
      <x:c r="E563" t="str">
        <x:v>Aditi Sen</x:v>
      </x:c>
      <x:c r="F563" t="str">
        <x:v>Consumer</x:v>
      </x:c>
      <x:c r="G563" t="str">
        <x:v>North</x:v>
      </x:c>
      <x:c r="H563" t="str">
        <x:v>Punjab</x:v>
      </x:c>
      <x:c r="I563" t="str">
        <x:v>Ludhiana</x:v>
      </x:c>
      <x:c r="J563" t="str">
        <x:v>Technology</x:v>
      </x:c>
      <x:c r="K563" t="str">
        <x:v>Copiers</x:v>
      </x:c>
      <x:c r="L563" t="str">
        <x:v>Eco Copiers 954</x:v>
      </x:c>
      <x:c r="M563" t="str">
        <x:v>First Class</x:v>
      </x:c>
      <x:c r="N563" t="n">
        <x:v>4</x:v>
      </x:c>
      <x:c r="O563" s="7" t="n">
        <x:v>725.22</x:v>
      </x:c>
      <x:c r="P563" s="6" t="n">
        <x:v>0</x:v>
      </x:c>
      <x:c r="Q563" s="7" t="n">
        <x:v>2900.88</x:v>
      </x:c>
      <x:c r="R563" s="7" t="n">
        <x:v>2391.85</x:v>
      </x:c>
      <x:c r="S563" s="7" t="n">
        <x:v>509.03</x:v>
      </x:c>
      <x:c r="T563" t="str">
        <x:v>Pending</x:v>
      </x:c>
      <x:c r="U563" t="str">
        <x:v>Returned</x:v>
      </x:c>
      <x:c r="V563" s="6" t="n">
        <x:f>IF(ISBLANK(P563),IF(AND(ISNUMBER(N563),N563&gt;0,ISNUMBER(O563),O563&gt;=0,ISNUMBER(Q563),Q563&gt;=0,ISNUMBER(R563),R563&gt;=0,ISNUMBER(S563)),0,""),P563)</x:f>
        <x:v>0</x:v>
      </x:c>
      <x:c r="W563" s="7" t="n">
        <x:f>IF(ISBLANK(V563),"",N563*O563*(1-V563))</x:f>
        <x:v>2900.88</x:v>
      </x:c>
      <x:c r="X563" s="7" t="n">
        <x:f>IF(OR(ISBLANK(W563),ISBLANK(R563)),"",W563-R563)</x:f>
        <x:v>509.0300000000002</x:v>
      </x:c>
      <x:c r="Y563" s="8" t="n">
        <x:f>IF(OR(ISBLANK(W563),W563=0),"",X563/W563)</x:f>
        <x:v>0.17547433882132324</x:v>
      </x:c>
      <x:c r="Z563" s="9" t="n">
        <x:f>IF(OR(ISBLANK(B563),ISBLANK(C563)),"",C563-B563)</x:f>
        <x:v>4</x:v>
      </x:c>
      <x:c r="AA563" t="str">
        <x:f>IF(ISBLANK(B563),"",TEXT(B563,"mmm"))</x:f>
        <x:v>Jul</x:v>
      </x:c>
      <x:c r="AB563" s="9" t="n">
        <x:f>IF(ISBLANK(B563),"",YEAR(B563))</x:f>
        <x:v>2025</x:v>
      </x:c>
      <x:c r="AC563" s="10" t="str"/>
      <x:c r="AD563" t="str">
        <x:f>IF(AND(U563="Completed",T563="Paid",ISERROR(SEARCH("INVALID",AC563)),ISERROR(SEARCH("REVIEW",AC563))),"Include","Exclude")</x:f>
        <x:v>Exclude</x:v>
      </x:c>
      <x:c r="AE563" t="str">
        <x:f>IF(T563="Refunded","Refunded","")</x:f>
      </x:c>
    </x:row>
    <x:row r="564">
      <x:c r="A564" t="str">
        <x:v>ORD-2024-10563</x:v>
      </x:c>
      <x:c r="B564" s="5" t="n">
        <x:v>45422</x:v>
      </x:c>
      <x:c r="C564" s="5" t="n">
        <x:v>45428</x:v>
      </x:c>
      <x:c r="D564" t="str">
        <x:v>CUST-8622</x:v>
      </x:c>
      <x:c r="E564" t="str">
        <x:v>Karan Malhotra</x:v>
      </x:c>
      <x:c r="F564" t="str">
        <x:v>Consumer</x:v>
      </x:c>
      <x:c r="G564" t="str">
        <x:v>North</x:v>
      </x:c>
      <x:c r="H564" t="str">
        <x:v>Punjab</x:v>
      </x:c>
      <x:c r="I564" t="str">
        <x:v>Ludhiana</x:v>
      </x:c>
      <x:c r="J564" t="str">
        <x:v>Office Supplies</x:v>
      </x:c>
      <x:c r="K564" t="str">
        <x:v>Binders</x:v>
      </x:c>
      <x:c r="L564" t="str">
        <x:v>Elite Binders 143</x:v>
      </x:c>
      <x:c r="M564" t="str">
        <x:v>Same Day</x:v>
      </x:c>
      <x:c r="N564" t="n">
        <x:v>7</x:v>
      </x:c>
      <x:c r="O564" s="7" t="n">
        <x:v>121.54</x:v>
      </x:c>
      <x:c r="P564" s="6" t="n">
        <x:v>0.2</x:v>
      </x:c>
      <x:c r="Q564" s="7" t="n">
        <x:v>680.62</x:v>
      </x:c>
      <x:c r="R564" s="7" t="n">
        <x:v>463.49</x:v>
      </x:c>
      <x:c r="S564" s="7" t="n">
        <x:v>217.13</x:v>
      </x:c>
      <x:c r="T564" t="str">
        <x:v>Failed</x:v>
      </x:c>
      <x:c r="U564" t="str">
        <x:v>Returned</x:v>
      </x:c>
      <x:c r="V564" s="6" t="n">
        <x:f>IF(ISBLANK(P564),IF(AND(ISNUMBER(N564),N564&gt;0,ISNUMBER(O564),O564&gt;=0,ISNUMBER(Q564),Q564&gt;=0,ISNUMBER(R564),R564&gt;=0,ISNUMBER(S564)),0,""),P564)</x:f>
        <x:v>0.2</x:v>
      </x:c>
      <x:c r="W564" s="7" t="n">
        <x:f>IF(ISBLANK(V564),"",N564*O564*(1-V564))</x:f>
        <x:v>680.6240000000001</x:v>
      </x:c>
      <x:c r="X564" s="7" t="n">
        <x:f>IF(OR(ISBLANK(W564),ISBLANK(R564)),"",W564-R564)</x:f>
        <x:v>217.13400000000013</x:v>
      </x:c>
      <x:c r="Y564" s="8" t="n">
        <x:f>IF(OR(ISBLANK(W564),W564=0),"",X564/W564)</x:f>
        <x:v>0.31902195632243363</x:v>
      </x:c>
      <x:c r="Z564" s="9" t="n">
        <x:f>IF(OR(ISBLANK(B564),ISBLANK(C564)),"",C564-B564)</x:f>
        <x:v>6</x:v>
      </x:c>
      <x:c r="AA564" t="str">
        <x:f>IF(ISBLANK(B564),"",TEXT(B564,"mmm"))</x:f>
        <x:v>May</x:v>
      </x:c>
      <x:c r="AB564" s="9" t="n">
        <x:f>IF(ISBLANK(B564),"",YEAR(B564))</x:f>
        <x:v>2024</x:v>
      </x:c>
      <x:c r="AC564" s="10" t="str">
        <x:v>EXCLUDE: Failed payment</x:v>
      </x:c>
      <x:c r="AD564" t="str">
        <x:f>IF(AND(U564="Completed",T564="Paid",ISERROR(SEARCH("INVALID",AC564)),ISERROR(SEARCH("REVIEW",AC564))),"Include","Exclude")</x:f>
        <x:v>Exclude</x:v>
      </x:c>
      <x:c r="AE564" t="str">
        <x:f>IF(T564="Refunded","Refunded","")</x:f>
      </x:c>
    </x:row>
    <x:row r="565">
      <x:c r="A565" t="str">
        <x:v>ORD-2024-10564</x:v>
      </x:c>
      <x:c r="B565" s="5" t="n">
        <x:v>45418</x:v>
      </x:c>
      <x:c r="C565" s="5" t="n">
        <x:v>45424</x:v>
      </x:c>
      <x:c r="D565" t="str">
        <x:v>CUST-8776</x:v>
      </x:c>
      <x:c r="E565" t="str">
        <x:v>Arjun Bose</x:v>
      </x:c>
      <x:c r="F565" t="str">
        <x:v>Corporate</x:v>
      </x:c>
      <x:c r="G565" t="str">
        <x:v>West</x:v>
      </x:c>
      <x:c r="H565" t="str">
        <x:v>Goa</x:v>
      </x:c>
      <x:c r="I565" t="str">
        <x:v>Panaji</x:v>
      </x:c>
      <x:c r="J565" t="str">
        <x:v>Furniture</x:v>
      </x:c>
      <x:c r="K565" t="str">
        <x:v>Tables</x:v>
      </x:c>
      <x:c r="L565" t="str">
        <x:v>Classic Tables 560</x:v>
      </x:c>
      <x:c r="M565" t="str">
        <x:v>Standard Class</x:v>
      </x:c>
      <x:c r="N565" t="n">
        <x:v>9</x:v>
      </x:c>
      <x:c r="O565" s="7" t="n">
        <x:v>790.97</x:v>
      </x:c>
      <x:c r="P565" s="6" t="n">
        <x:v>0.2</x:v>
      </x:c>
      <x:c r="Q565" s="7" t="n">
        <x:v>5694.98</x:v>
      </x:c>
      <x:c r="R565" s="7" t="n">
        <x:v>4618.33</x:v>
      </x:c>
      <x:c r="S565" s="7" t="n">
        <x:v>1076.65</x:v>
      </x:c>
      <x:c r="T565" t="str">
        <x:v>Pending</x:v>
      </x:c>
      <x:c r="U565" t="str">
        <x:v>Cancelled</x:v>
      </x:c>
      <x:c r="V565" s="6" t="n">
        <x:f>IF(ISBLANK(P565),IF(AND(ISNUMBER(N565),N565&gt;0,ISNUMBER(O565),O565&gt;=0,ISNUMBER(Q565),Q565&gt;=0,ISNUMBER(R565),R565&gt;=0,ISNUMBER(S565)),0,""),P565)</x:f>
        <x:v>0.2</x:v>
      </x:c>
      <x:c r="W565" s="7" t="n">
        <x:f>IF(ISBLANK(V565),"",N565*O565*(1-V565))</x:f>
        <x:v>5694.984</x:v>
      </x:c>
      <x:c r="X565" s="7" t="n">
        <x:f>IF(OR(ISBLANK(W565),ISBLANK(R565)),"",W565-R565)</x:f>
        <x:v>1076.6540000000005</x:v>
      </x:c>
      <x:c r="Y565" s="8" t="n">
        <x:f>IF(OR(ISBLANK(W565),W565=0),"",X565/W565)</x:f>
        <x:v>0.1890530333360024</x:v>
      </x:c>
      <x:c r="Z565" s="9" t="n">
        <x:f>IF(OR(ISBLANK(B565),ISBLANK(C565)),"",C565-B565)</x:f>
        <x:v>6</x:v>
      </x:c>
      <x:c r="AA565" t="str">
        <x:f>IF(ISBLANK(B565),"",TEXT(B565,"mmm"))</x:f>
        <x:v>May</x:v>
      </x:c>
      <x:c r="AB565" s="9" t="n">
        <x:f>IF(ISBLANK(B565),"",YEAR(B565))</x:f>
        <x:v>2024</x:v>
      </x:c>
      <x:c r="AC565" s="10" t="str">
        <x:v>EXCLUDE: Cancelled order</x:v>
      </x:c>
      <x:c r="AD565" t="str">
        <x:f>IF(AND(U565="Completed",T565="Paid",ISERROR(SEARCH("INVALID",AC565)),ISERROR(SEARCH("REVIEW",AC565))),"Include","Exclude")</x:f>
        <x:v>Exclude</x:v>
      </x:c>
      <x:c r="AE565" t="str">
        <x:f>IF(T565="Refunded","Refunded","")</x:f>
      </x:c>
    </x:row>
    <x:row r="566">
      <x:c r="A566" t="str">
        <x:v>ORD-2024-10565</x:v>
      </x:c>
      <x:c r="B566" s="5" t="n">
        <x:v>45606</x:v>
      </x:c>
      <x:c r="C566" s="5" t="n">
        <x:v>45610</x:v>
      </x:c>
      <x:c r="D566" t="str">
        <x:v>CUST-9100</x:v>
      </x:c>
      <x:c r="E566" t="str">
        <x:v>Sneha Kapoor</x:v>
      </x:c>
      <x:c r="F566" t="str">
        <x:v>Corporate</x:v>
      </x:c>
      <x:c r="G566" t="str">
        <x:v>South</x:v>
      </x:c>
      <x:c r="H566" t="str">
        <x:v>Andhra Pradesh</x:v>
      </x:c>
      <x:c r="I566" t="str">
        <x:v>Vijayawada</x:v>
      </x:c>
      <x:c r="J566" t="str">
        <x:v>Furniture</x:v>
      </x:c>
      <x:c r="K566" t="str">
        <x:v>Tables</x:v>
      </x:c>
      <x:c r="L566" t="str">
        <x:v>Basic Tables 759</x:v>
      </x:c>
      <x:c r="M566" t="str">
        <x:v>First Class</x:v>
      </x:c>
      <x:c r="N566" t="n">
        <x:v>2</x:v>
      </x:c>
      <x:c r="O566" s="7" t="n">
        <x:v>921.34</x:v>
      </x:c>
      <x:c r="P566" s="6" t="n">
        <x:v>0.2</x:v>
      </x:c>
      <x:c r="Q566" s="7" t="n">
        <x:v>1474.14</x:v>
      </x:c>
      <x:c r="R566" s="7" t="n">
        <x:v>968.46</x:v>
      </x:c>
      <x:c r="S566" s="7" t="n">
        <x:v>505.68</x:v>
      </x:c>
      <x:c r="T566" t="str">
        <x:v>Paid</x:v>
      </x:c>
      <x:c r="U566" t="str">
        <x:v>Completed</x:v>
      </x:c>
      <x:c r="V566" s="6" t="n">
        <x:f>IF(ISBLANK(P566),IF(AND(ISNUMBER(N566),N566&gt;0,ISNUMBER(O566),O566&gt;=0,ISNUMBER(Q566),Q566&gt;=0,ISNUMBER(R566),R566&gt;=0,ISNUMBER(S566)),0,""),P566)</x:f>
        <x:v>0.2</x:v>
      </x:c>
      <x:c r="W566" s="7" t="n">
        <x:f>IF(ISBLANK(V566),"",N566*O566*(1-V566))</x:f>
        <x:v>1474.1440000000002</x:v>
      </x:c>
      <x:c r="X566" s="7" t="n">
        <x:f>IF(OR(ISBLANK(W566),ISBLANK(R566)),"",W566-R566)</x:f>
        <x:v>505.6840000000002</x:v>
      </x:c>
      <x:c r="Y566" s="8" t="n">
        <x:f>IF(OR(ISBLANK(W566),W566=0),"",X566/W566)</x:f>
        <x:v>0.34303568715132315</x:v>
      </x:c>
      <x:c r="Z566" s="9" t="n">
        <x:f>IF(OR(ISBLANK(B566),ISBLANK(C566)),"",C566-B566)</x:f>
        <x:v>4</x:v>
      </x:c>
      <x:c r="AA566" t="str">
        <x:f>IF(ISBLANK(B566),"",TEXT(B566,"mmm"))</x:f>
        <x:v>Nov</x:v>
      </x:c>
      <x:c r="AB566" s="9" t="n">
        <x:f>IF(ISBLANK(B566),"",YEAR(B566))</x:f>
        <x:v>2024</x:v>
      </x:c>
      <x:c r="AC566" s="10" t="str"/>
      <x:c r="AD566" t="str">
        <x:f>IF(AND(U566="Completed",T566="Paid",ISERROR(SEARCH("INVALID",AC566)),ISERROR(SEARCH("REVIEW",AC566))),"Include","Exclude")</x:f>
        <x:v>Include</x:v>
      </x:c>
      <x:c r="AE566" t="str">
        <x:f>IF(T566="Refunded","Refunded","")</x:f>
      </x:c>
    </x:row>
    <x:row r="567">
      <x:c r="A567" t="str">
        <x:v>ORD-2025-10566</x:v>
      </x:c>
      <x:c r="B567" s="5" t="n">
        <x:v>45876</x:v>
      </x:c>
      <x:c r="C567" s="5" t="n">
        <x:v>45882</x:v>
      </x:c>
      <x:c r="D567" t="str">
        <x:v>CUST-5601</x:v>
      </x:c>
      <x:c r="E567" t="str">
        <x:v>Mira Das</x:v>
      </x:c>
      <x:c r="F567" t="str">
        <x:v>Corporate</x:v>
      </x:c>
      <x:c r="G567" t="str">
        <x:v>North</x:v>
      </x:c>
      <x:c r="H567" t="str">
        <x:v>Delhi</x:v>
      </x:c>
      <x:c r="I567" t="str">
        <x:v>New Delhi</x:v>
      </x:c>
      <x:c r="J567" t="str">
        <x:v>Technology</x:v>
      </x:c>
      <x:c r="K567" t="str">
        <x:v>Phones</x:v>
      </x:c>
      <x:c r="L567" t="str">
        <x:v>Prime Phones 564</x:v>
      </x:c>
      <x:c r="M567" t="str">
        <x:v>Standard Class</x:v>
      </x:c>
      <x:c r="N567" t="n">
        <x:v>6</x:v>
      </x:c>
      <x:c r="O567" s="7" t="n">
        <x:v>1921.86</x:v>
      </x:c>
      <x:c r="P567" s="6" t="n">
        <x:v>0.2</x:v>
      </x:c>
      <x:c r="Q567" s="7" t="n">
        <x:v>9224.93</x:v>
      </x:c>
      <x:c r="R567" s="7" t="n">
        <x:v>7005.2</x:v>
      </x:c>
      <x:c r="S567" s="7" t="n">
        <x:v>2219.73</x:v>
      </x:c>
      <x:c r="T567" t="str">
        <x:v>Refunded</x:v>
      </x:c>
      <x:c r="U567" t="str">
        <x:v>Cancelled</x:v>
      </x:c>
      <x:c r="V567" s="6" t="n">
        <x:f>IF(ISBLANK(P567),IF(AND(ISNUMBER(N567),N567&gt;0,ISNUMBER(O567),O567&gt;=0,ISNUMBER(Q567),Q567&gt;=0,ISNUMBER(R567),R567&gt;=0,ISNUMBER(S567)),0,""),P567)</x:f>
        <x:v>0.2</x:v>
      </x:c>
      <x:c r="W567" s="7" t="n">
        <x:f>IF(ISBLANK(V567),"",N567*O567*(1-V567))</x:f>
        <x:v>9224.928</x:v>
      </x:c>
      <x:c r="X567" s="7" t="n">
        <x:f>IF(OR(ISBLANK(W567),ISBLANK(R567)),"",W567-R567)</x:f>
        <x:v>2219.728</x:v>
      </x:c>
      <x:c r="Y567" s="8" t="n">
        <x:f>IF(OR(ISBLANK(W567),W567=0),"",X567/W567)</x:f>
        <x:v>0.2406227994408195</x:v>
      </x:c>
      <x:c r="Z567" s="9" t="n">
        <x:f>IF(OR(ISBLANK(B567),ISBLANK(C567)),"",C567-B567)</x:f>
        <x:v>6</x:v>
      </x:c>
      <x:c r="AA567" t="str">
        <x:f>IF(ISBLANK(B567),"",TEXT(B567,"mmm"))</x:f>
        <x:v>Aug</x:v>
      </x:c>
      <x:c r="AB567" s="9" t="n">
        <x:f>IF(ISBLANK(B567),"",YEAR(B567))</x:f>
        <x:v>2025</x:v>
      </x:c>
      <x:c r="AC567" s="10" t="str">
        <x:v>EXCLUDE: Cancelled order; REFUND: Summarize separately</x:v>
      </x:c>
      <x:c r="AD567" t="str">
        <x:f>IF(AND(U567="Completed",T567="Paid",ISERROR(SEARCH("INVALID",AC567)),ISERROR(SEARCH("REVIEW",AC567))),"Include","Exclude")</x:f>
        <x:v>Exclude</x:v>
      </x:c>
      <x:c r="AE567" t="str">
        <x:f>IF(T567="Refunded","Refunded","")</x:f>
        <x:v>Refunded</x:v>
      </x:c>
    </x:row>
    <x:row r="568">
      <x:c r="A568" t="str">
        <x:v>ORD-2024-10567</x:v>
      </x:c>
      <x:c r="B568" s="5" t="n">
        <x:v>45515</x:v>
      </x:c>
      <x:c r="C568" s="5" t="n">
        <x:v>45523</x:v>
      </x:c>
      <x:c r="D568" t="str">
        <x:v>CUST-5246</x:v>
      </x:c>
      <x:c r="E568" t="str">
        <x:v>Sneha Kapoor</x:v>
      </x:c>
      <x:c r="F568" t="str">
        <x:v>Small Business</x:v>
      </x:c>
      <x:c r="G568" t="str">
        <x:v>West</x:v>
      </x:c>
      <x:c r="H568" t="str">
        <x:v>Maharashtra</x:v>
      </x:c>
      <x:c r="I568" t="str">
        <x:v>Mumbai</x:v>
      </x:c>
      <x:c r="J568" t="str">
        <x:v>Office Supplies</x:v>
      </x:c>
      <x:c r="K568" t="str">
        <x:v>Paper</x:v>
      </x:c>
      <x:c r="L568" t="str">
        <x:v>Smart Paper 807</x:v>
      </x:c>
      <x:c r="M568" t="str">
        <x:v>Same Day</x:v>
      </x:c>
      <x:c r="N568" t="n">
        <x:v>2</x:v>
      </x:c>
      <x:c r="O568" s="7" t="n">
        <x:v>2617.89</x:v>
      </x:c>
      <x:c r="P568" s="6" t="n">
        <x:v>0.1</x:v>
      </x:c>
      <x:c r="Q568" s="7" t="n">
        <x:v>4712.2</x:v>
      </x:c>
      <x:c r="R568" s="7" t="n">
        <x:v>3851.91</x:v>
      </x:c>
      <x:c r="S568" s="7" t="n">
        <x:v>860.29</x:v>
      </x:c>
      <x:c r="T568" t="str">
        <x:v>Failed</x:v>
      </x:c>
      <x:c r="U568" t="str">
        <x:v>Returned</x:v>
      </x:c>
      <x:c r="V568" s="6" t="n">
        <x:f>IF(ISBLANK(P568),IF(AND(ISNUMBER(N568),N568&gt;0,ISNUMBER(O568),O568&gt;=0,ISNUMBER(Q568),Q568&gt;=0,ISNUMBER(R568),R568&gt;=0,ISNUMBER(S568)),0,""),P568)</x:f>
        <x:v>0.1</x:v>
      </x:c>
      <x:c r="W568" s="7" t="n">
        <x:f>IF(ISBLANK(V568),"",N568*O568*(1-V568))</x:f>
        <x:v>4712.202</x:v>
      </x:c>
      <x:c r="X568" s="7" t="n">
        <x:f>IF(OR(ISBLANK(W568),ISBLANK(R568)),"",W568-R568)</x:f>
        <x:v>860.2920000000004</x:v>
      </x:c>
      <x:c r="Y568" s="8" t="n">
        <x:f>IF(OR(ISBLANK(W568),W568=0),"",X568/W568)</x:f>
        <x:v>0.18256687637754077</x:v>
      </x:c>
      <x:c r="Z568" s="9" t="n">
        <x:f>IF(OR(ISBLANK(B568),ISBLANK(C568)),"",C568-B568)</x:f>
        <x:v>8</x:v>
      </x:c>
      <x:c r="AA568" t="str">
        <x:f>IF(ISBLANK(B568),"",TEXT(B568,"mmm"))</x:f>
        <x:v>Aug</x:v>
      </x:c>
      <x:c r="AB568" s="9" t="n">
        <x:f>IF(ISBLANK(B568),"",YEAR(B568))</x:f>
        <x:v>2024</x:v>
      </x:c>
      <x:c r="AC568" s="10" t="str">
        <x:v>EXCLUDE: Failed payment</x:v>
      </x:c>
      <x:c r="AD568" t="str">
        <x:f>IF(AND(U568="Completed",T568="Paid",ISERROR(SEARCH("INVALID",AC568)),ISERROR(SEARCH("REVIEW",AC568))),"Include","Exclude")</x:f>
        <x:v>Exclude</x:v>
      </x:c>
      <x:c r="AE568" t="str">
        <x:f>IF(T568="Refunded","Refunded","")</x:f>
      </x:c>
    </x:row>
    <x:row r="569">
      <x:c r="A569" t="str">
        <x:v>ORD-2024-10568</x:v>
      </x:c>
      <x:c r="B569" s="5" t="n">
        <x:v>45328</x:v>
      </x:c>
      <x:c r="C569" s="5" t="n">
        <x:v>45332</x:v>
      </x:c>
      <x:c r="D569" t="str">
        <x:v>CUST-3128</x:v>
      </x:c>
      <x:c r="E569" t="str">
        <x:v>Arjun Bose</x:v>
      </x:c>
      <x:c r="F569" t="str">
        <x:v>Home Office</x:v>
      </x:c>
      <x:c r="G569" t="str">
        <x:v>North</x:v>
      </x:c>
      <x:c r="H569" t="str">
        <x:v>Uttar Pradesh</x:v>
      </x:c>
      <x:c r="I569" t="str">
        <x:v>Noida</x:v>
      </x:c>
      <x:c r="J569" t="str">
        <x:v>Furniture</x:v>
      </x:c>
      <x:c r="K569" t="str">
        <x:v>Furnishings</x:v>
      </x:c>
      <x:c r="L569" t="str">
        <x:v>Pro Furnishings 108</x:v>
      </x:c>
      <x:c r="M569" t="str">
        <x:v>Same Day</x:v>
      </x:c>
      <x:c r="N569" t="n">
        <x:v>1</x:v>
      </x:c>
      <x:c r="O569" s="7" t="n">
        <x:v>1374.06</x:v>
      </x:c>
      <x:c r="P569" s="6" t="n">
        <x:v>0.05</x:v>
      </x:c>
      <x:c r="Q569" s="7" t="n">
        <x:v>1305.36</x:v>
      </x:c>
      <x:c r="R569" s="7" t="n">
        <x:v>731.89</x:v>
      </x:c>
      <x:c r="S569" s="7" t="n">
        <x:v>573.47</x:v>
      </x:c>
      <x:c r="T569" t="str">
        <x:v>Paid</x:v>
      </x:c>
      <x:c r="U569" t="str">
        <x:v>Completed</x:v>
      </x:c>
      <x:c r="V569" s="6" t="n">
        <x:f>IF(ISBLANK(P569),IF(AND(ISNUMBER(N569),N569&gt;0,ISNUMBER(O569),O569&gt;=0,ISNUMBER(Q569),Q569&gt;=0,ISNUMBER(R569),R569&gt;=0,ISNUMBER(S569)),0,""),P569)</x:f>
        <x:v>0.05</x:v>
      </x:c>
      <x:c r="W569" s="7" t="n">
        <x:f>IF(ISBLANK(V569),"",N569*O569*(1-V569))</x:f>
        <x:v>1305.357</x:v>
      </x:c>
      <x:c r="X569" s="7" t="n">
        <x:f>IF(OR(ISBLANK(W569),ISBLANK(R569)),"",W569-R569)</x:f>
        <x:v>573.467</x:v>
      </x:c>
      <x:c r="Y569" s="8" t="n">
        <x:f>IF(OR(ISBLANK(W569),W569=0),"",X569/W569)</x:f>
        <x:v>0.4393181328939133</x:v>
      </x:c>
      <x:c r="Z569" s="9" t="n">
        <x:f>IF(OR(ISBLANK(B569),ISBLANK(C569)),"",C569-B569)</x:f>
        <x:v>4</x:v>
      </x:c>
      <x:c r="AA569" t="str">
        <x:f>IF(ISBLANK(B569),"",TEXT(B569,"mmm"))</x:f>
        <x:v>Feb</x:v>
      </x:c>
      <x:c r="AB569" s="9" t="n">
        <x:f>IF(ISBLANK(B569),"",YEAR(B569))</x:f>
        <x:v>2024</x:v>
      </x:c>
      <x:c r="AC569" s="10" t="str"/>
      <x:c r="AD569" t="str">
        <x:f>IF(AND(U569="Completed",T569="Paid",ISERROR(SEARCH("INVALID",AC569)),ISERROR(SEARCH("REVIEW",AC569))),"Include","Exclude")</x:f>
        <x:v>Include</x:v>
      </x:c>
      <x:c r="AE569" t="str">
        <x:f>IF(T569="Refunded","Refunded","")</x:f>
      </x:c>
    </x:row>
    <x:row r="570">
      <x:c r="A570" t="str">
        <x:v>ORD-2024-10569</x:v>
      </x:c>
      <x:c r="B570" s="5" t="n">
        <x:v>45312</x:v>
      </x:c>
      <x:c r="C570" s="5" t="n">
        <x:v>45315</x:v>
      </x:c>
      <x:c r="D570" t="str">
        <x:v>CUST-4604</x:v>
      </x:c>
      <x:c r="E570" t="str">
        <x:v>Kabir Singh</x:v>
      </x:c>
      <x:c r="F570" t="str">
        <x:v>Corporate</x:v>
      </x:c>
      <x:c r="G570" t="str">
        <x:v>North</x:v>
      </x:c>
      <x:c r="H570" t="str">
        <x:v>Punjab</x:v>
      </x:c>
      <x:c r="I570" t="str">
        <x:v>Ludhiana</x:v>
      </x:c>
      <x:c r="J570" t="str">
        <x:v>Technology</x:v>
      </x:c>
      <x:c r="K570" t="str">
        <x:v>Machines</x:v>
      </x:c>
      <x:c r="L570" t="str">
        <x:v>Classic Machines 522</x:v>
      </x:c>
      <x:c r="M570" t="str">
        <x:v>Same Day</x:v>
      </x:c>
      <x:c r="N570" t="n">
        <x:v>1</x:v>
      </x:c>
      <x:c r="O570" s="7" t="n">
        <x:v>3806.3</x:v>
      </x:c>
      <x:c r="P570" s="6" t="n">
        <x:v>0.25</x:v>
      </x:c>
      <x:c r="Q570" s="7" t="n">
        <x:v>2854.73</x:v>
      </x:c>
      <x:c r="R570" s="7" t="n">
        <x:v>1968.12</x:v>
      </x:c>
      <x:c r="S570" s="7" t="n">
        <x:v>886.61</x:v>
      </x:c>
      <x:c r="T570" t="str">
        <x:v>Paid</x:v>
      </x:c>
      <x:c r="U570" t="str">
        <x:v>Completed</x:v>
      </x:c>
      <x:c r="V570" s="6" t="n">
        <x:f>IF(ISBLANK(P570),IF(AND(ISNUMBER(N570),N570&gt;0,ISNUMBER(O570),O570&gt;=0,ISNUMBER(Q570),Q570&gt;=0,ISNUMBER(R570),R570&gt;=0,ISNUMBER(S570)),0,""),P570)</x:f>
        <x:v>0.25</x:v>
      </x:c>
      <x:c r="W570" s="7" t="n">
        <x:f>IF(ISBLANK(V570),"",N570*O570*(1-V570))</x:f>
        <x:v>2854.7250000000004</x:v>
      </x:c>
      <x:c r="X570" s="7" t="n">
        <x:f>IF(OR(ISBLANK(W570),ISBLANK(R570)),"",W570-R570)</x:f>
        <x:v>886.6050000000005</x:v>
      </x:c>
      <x:c r="Y570" s="8" t="n">
        <x:f>IF(OR(ISBLANK(W570),W570=0),"",X570/W570)</x:f>
        <x:v>0.3105745737330217</x:v>
      </x:c>
      <x:c r="Z570" s="9" t="n">
        <x:f>IF(OR(ISBLANK(B570),ISBLANK(C570)),"",C570-B570)</x:f>
        <x:v>3</x:v>
      </x:c>
      <x:c r="AA570" t="str">
        <x:f>IF(ISBLANK(B570),"",TEXT(B570,"mmm"))</x:f>
        <x:v>Jan</x:v>
      </x:c>
      <x:c r="AB570" s="9" t="n">
        <x:f>IF(ISBLANK(B570),"",YEAR(B570))</x:f>
        <x:v>2024</x:v>
      </x:c>
      <x:c r="AC570" s="10" t="str"/>
      <x:c r="AD570" t="str">
        <x:f>IF(AND(U570="Completed",T570="Paid",ISERROR(SEARCH("INVALID",AC570)),ISERROR(SEARCH("REVIEW",AC570))),"Include","Exclude")</x:f>
        <x:v>Include</x:v>
      </x:c>
      <x:c r="AE570" t="str">
        <x:f>IF(T570="Refunded","Refunded","")</x:f>
      </x:c>
    </x:row>
    <x:row r="571">
      <x:c r="A571" t="str">
        <x:v>ORD-2025-10570</x:v>
      </x:c>
      <x:c r="B571" s="5" t="n">
        <x:v>45908</x:v>
      </x:c>
      <x:c r="C571" s="5" t="n">
        <x:v>45910</x:v>
      </x:c>
      <x:c r="D571" t="str">
        <x:v>CUST-2586</x:v>
      </x:c>
      <x:c r="E571" t="str">
        <x:v>Rahul Verma</x:v>
      </x:c>
      <x:c r="F571" t="str">
        <x:v>Home Office</x:v>
      </x:c>
      <x:c r="G571" t="str">
        <x:v>West</x:v>
      </x:c>
      <x:c r="H571" t="str">
        <x:v>Maharashtra</x:v>
      </x:c>
      <x:c r="I571" t="str">
        <x:v>Mumbai</x:v>
      </x:c>
      <x:c r="J571" t="str">
        <x:v>Furniture</x:v>
      </x:c>
      <x:c r="K571" t="str">
        <x:v>Furnishings</x:v>
      </x:c>
      <x:c r="L571" t="str">
        <x:v>Elite Furnishings 822</x:v>
      </x:c>
      <x:c r="M571" t="str">
        <x:v>Standard Class</x:v>
      </x:c>
      <x:c r="N571" t="n">
        <x:v>6</x:v>
      </x:c>
      <x:c r="O571" s="7" t="n">
        <x:v>3251.17</x:v>
      </x:c>
      <x:c r="P571" s="6" t="n">
        <x:v>0.25</x:v>
      </x:c>
      <x:c r="Q571" s="7" t="n">
        <x:v>14630.26</x:v>
      </x:c>
      <x:c r="R571" s="7" t="n">
        <x:v>11906.36</x:v>
      </x:c>
      <x:c r="S571" s="7" t="n">
        <x:v>2723.9</x:v>
      </x:c>
      <x:c r="T571" t="str">
        <x:v>Refunded</x:v>
      </x:c>
      <x:c r="U571" t="str">
        <x:v>Returned</x:v>
      </x:c>
      <x:c r="V571" s="6" t="n">
        <x:f>IF(ISBLANK(P571),IF(AND(ISNUMBER(N571),N571&gt;0,ISNUMBER(O571),O571&gt;=0,ISNUMBER(Q571),Q571&gt;=0,ISNUMBER(R571),R571&gt;=0,ISNUMBER(S571)),0,""),P571)</x:f>
        <x:v>0.25</x:v>
      </x:c>
      <x:c r="W571" s="7" t="n">
        <x:f>IF(ISBLANK(V571),"",N571*O571*(1-V571))</x:f>
        <x:v>14630.265</x:v>
      </x:c>
      <x:c r="X571" s="7" t="n">
        <x:f>IF(OR(ISBLANK(W571),ISBLANK(R571)),"",W571-R571)</x:f>
        <x:v>2723.904999999999</x:v>
      </x:c>
      <x:c r="Y571" s="8" t="n">
        <x:f>IF(OR(ISBLANK(W571),W571=0),"",X571/W571)</x:f>
        <x:v>0.18618288868998606</x:v>
      </x:c>
      <x:c r="Z571" s="9" t="n">
        <x:f>IF(OR(ISBLANK(B571),ISBLANK(C571)),"",C571-B571)</x:f>
        <x:v>2</x:v>
      </x:c>
      <x:c r="AA571" t="str">
        <x:f>IF(ISBLANK(B571),"",TEXT(B571,"mmm"))</x:f>
        <x:v>Sep</x:v>
      </x:c>
      <x:c r="AB571" s="9" t="n">
        <x:f>IF(ISBLANK(B571),"",YEAR(B571))</x:f>
        <x:v>2025</x:v>
      </x:c>
      <x:c r="AC571" s="10" t="str">
        <x:v>REFUND: Summarize separately</x:v>
      </x:c>
      <x:c r="AD571" t="str">
        <x:f>IF(AND(U571="Completed",T571="Paid",ISERROR(SEARCH("INVALID",AC571)),ISERROR(SEARCH("REVIEW",AC571))),"Include","Exclude")</x:f>
        <x:v>Exclude</x:v>
      </x:c>
      <x:c r="AE571" t="str">
        <x:f>IF(T571="Refunded","Refunded","")</x:f>
        <x:v>Refunded</x:v>
      </x:c>
    </x:row>
    <x:row r="572">
      <x:c r="A572" t="str">
        <x:v>ORD-2025-10571</x:v>
      </x:c>
      <x:c r="B572" s="5" t="n">
        <x:v>45887</x:v>
      </x:c>
      <x:c r="C572" s="5" t="n">
        <x:v>45891</x:v>
      </x:c>
      <x:c r="D572" t="str">
        <x:v>CUST-6585</x:v>
      </x:c>
      <x:c r="E572" t="str">
        <x:v>Arjun Bose</x:v>
      </x:c>
      <x:c r="F572" t="str">
        <x:v>Consumer</x:v>
      </x:c>
      <x:c r="G572" t="str">
        <x:v>East</x:v>
      </x:c>
      <x:c r="H572" t="str">
        <x:v>Jharkhand</x:v>
      </x:c>
      <x:c r="I572" t="str">
        <x:v>Ranchi</x:v>
      </x:c>
      <x:c r="J572" t="str">
        <x:v>Furniture</x:v>
      </x:c>
      <x:c r="K572" t="str">
        <x:v>Furnishings</x:v>
      </x:c>
      <x:c r="L572" t="str">
        <x:v>Max Furnishings 647</x:v>
      </x:c>
      <x:c r="M572" t="str">
        <x:v>Second Class</x:v>
      </x:c>
      <x:c r="N572" t="n">
        <x:v>3</x:v>
      </x:c>
      <x:c r="O572" s="7" t="n">
        <x:v>3946.44</x:v>
      </x:c>
      <x:c r="P572" s="6" t="n">
        <x:v>0.25</x:v>
      </x:c>
      <x:c r="Q572" s="7" t="n">
        <x:v>8879.49</x:v>
      </x:c>
      <x:c r="R572" s="7" t="n">
        <x:v>6344.57</x:v>
      </x:c>
      <x:c r="S572" s="7" t="n">
        <x:v>2534.92</x:v>
      </x:c>
      <x:c r="T572" t="str">
        <x:v>Failed</x:v>
      </x:c>
      <x:c r="U572" t="str">
        <x:v>Returned</x:v>
      </x:c>
      <x:c r="V572" s="6" t="n">
        <x:f>IF(ISBLANK(P572),IF(AND(ISNUMBER(N572),N572&gt;0,ISNUMBER(O572),O572&gt;=0,ISNUMBER(Q572),Q572&gt;=0,ISNUMBER(R572),R572&gt;=0,ISNUMBER(S572)),0,""),P572)</x:f>
        <x:v>0.25</x:v>
      </x:c>
      <x:c r="W572" s="7" t="n">
        <x:f>IF(ISBLANK(V572),"",N572*O572*(1-V572))</x:f>
        <x:v>8879.49</x:v>
      </x:c>
      <x:c r="X572" s="7" t="n">
        <x:f>IF(OR(ISBLANK(W572),ISBLANK(R572)),"",W572-R572)</x:f>
        <x:v>2534.92</x:v>
      </x:c>
      <x:c r="Y572" s="8" t="n">
        <x:f>IF(OR(ISBLANK(W572),W572=0),"",X572/W572)</x:f>
        <x:v>0.28548035979543873</x:v>
      </x:c>
      <x:c r="Z572" s="9" t="n">
        <x:f>IF(OR(ISBLANK(B572),ISBLANK(C572)),"",C572-B572)</x:f>
        <x:v>4</x:v>
      </x:c>
      <x:c r="AA572" t="str">
        <x:f>IF(ISBLANK(B572),"",TEXT(B572,"mmm"))</x:f>
        <x:v>Aug</x:v>
      </x:c>
      <x:c r="AB572" s="9" t="n">
        <x:f>IF(ISBLANK(B572),"",YEAR(B572))</x:f>
        <x:v>2025</x:v>
      </x:c>
      <x:c r="AC572" s="10" t="str">
        <x:v>EXCLUDE: Failed payment</x:v>
      </x:c>
      <x:c r="AD572" t="str">
        <x:f>IF(AND(U572="Completed",T572="Paid",ISERROR(SEARCH("INVALID",AC572)),ISERROR(SEARCH("REVIEW",AC572))),"Include","Exclude")</x:f>
        <x:v>Exclude</x:v>
      </x:c>
      <x:c r="AE572" t="str">
        <x:f>IF(T572="Refunded","Refunded","")</x:f>
      </x:c>
    </x:row>
    <x:row r="573">
      <x:c r="A573" t="str">
        <x:v>ORD-2025-10572</x:v>
      </x:c>
      <x:c r="B573" s="5" t="n">
        <x:v>45698</x:v>
      </x:c>
      <x:c r="C573" s="5" t="n">
        <x:v>45702</x:v>
      </x:c>
      <x:c r="D573" t="str">
        <x:v>CUST-3425</x:v>
      </x:c>
      <x:c r="E573" t="str">
        <x:v>Priya Menon</x:v>
      </x:c>
      <x:c r="F573" t="str">
        <x:v>Small Business</x:v>
      </x:c>
      <x:c r="G573" t="str">
        <x:v>North</x:v>
      </x:c>
      <x:c r="H573" t="str">
        <x:v>Uttar Pradesh</x:v>
      </x:c>
      <x:c r="I573" t="str">
        <x:v>Noida</x:v>
      </x:c>
      <x:c r="J573" t="str">
        <x:v>Technology</x:v>
      </x:c>
      <x:c r="K573" t="str">
        <x:v>Phones</x:v>
      </x:c>
      <x:c r="L573" t="str">
        <x:v>Prime Phones 895</x:v>
      </x:c>
      <x:c r="M573" t="str">
        <x:v>Unknown</x:v>
      </x:c>
      <x:c r="N573" t="n">
        <x:v>5</x:v>
      </x:c>
      <x:c r="O573" s="7" t="n">
        <x:v>4276.29</x:v>
      </x:c>
      <x:c r="P573" s="6" t="n">
        <x:v>0</x:v>
      </x:c>
      <x:c r="Q573" s="7" t="n">
        <x:v>21381.45</x:v>
      </x:c>
      <x:c r="R573" s="7" t="n">
        <x:v>13240.21</x:v>
      </x:c>
      <x:c r="S573" s="7" t="n">
        <x:v>8141.24</x:v>
      </x:c>
      <x:c r="T573" t="str">
        <x:v>Failed</x:v>
      </x:c>
      <x:c r="U573" t="str">
        <x:v>Returned</x:v>
      </x:c>
      <x:c r="V573" s="6" t="n">
        <x:f>IF(ISBLANK(P573),IF(AND(ISNUMBER(N573),N573&gt;0,ISNUMBER(O573),O573&gt;=0,ISNUMBER(Q573),Q573&gt;=0,ISNUMBER(R573),R573&gt;=0,ISNUMBER(S573)),0,""),P573)</x:f>
        <x:v>0</x:v>
      </x:c>
      <x:c r="W573" s="7" t="n">
        <x:f>IF(ISBLANK(V573),"",N573*O573*(1-V573))</x:f>
        <x:v>21381.45</x:v>
      </x:c>
      <x:c r="X573" s="7" t="n">
        <x:f>IF(OR(ISBLANK(W573),ISBLANK(R573)),"",W573-R573)</x:f>
        <x:v>8141.240000000002</x:v>
      </x:c>
      <x:c r="Y573" s="8" t="n">
        <x:f>IF(OR(ISBLANK(W573),W573=0),"",X573/W573)</x:f>
        <x:v>0.3807618285944125</x:v>
      </x:c>
      <x:c r="Z573" s="9" t="n">
        <x:f>IF(OR(ISBLANK(B573),ISBLANK(C573)),"",C573-B573)</x:f>
        <x:v>4</x:v>
      </x:c>
      <x:c r="AA573" t="str">
        <x:f>IF(ISBLANK(B573),"",TEXT(B573,"mmm"))</x:f>
        <x:v>Feb</x:v>
      </x:c>
      <x:c r="AB573" s="9" t="n">
        <x:f>IF(ISBLANK(B573),"",YEAR(B573))</x:f>
        <x:v>2025</x:v>
      </x:c>
      <x:c r="AC573" s="10" t="str">
        <x:v>FLAG: Missing ship mode filled as Unknown; EXCLUDE: Failed payment; REVIEW: Conflicting duplicate order_id</x:v>
      </x:c>
      <x:c r="AD573" t="str">
        <x:f>IF(AND(U573="Completed",T573="Paid",ISERROR(SEARCH("INVALID",AC573)),ISERROR(SEARCH("REVIEW",AC573))),"Include","Exclude")</x:f>
        <x:v>Exclude</x:v>
      </x:c>
      <x:c r="AE573" t="str">
        <x:f>IF(T573="Refunded","Refunded","")</x:f>
      </x:c>
    </x:row>
    <x:row r="574">
      <x:c r="A574" t="str">
        <x:v>ORD-2024-10573</x:v>
      </x:c>
      <x:c r="B574" s="5" t="n">
        <x:v>45293</x:v>
      </x:c>
      <x:c r="C574" s="5" t="n">
        <x:v>45300</x:v>
      </x:c>
      <x:c r="D574" t="str">
        <x:v>CUST-8633</x:v>
      </x:c>
      <x:c r="E574" t="str">
        <x:v>Diya Patel</x:v>
      </x:c>
      <x:c r="F574" t="str">
        <x:v>Corporate</x:v>
      </x:c>
      <x:c r="G574" t="str">
        <x:v>North</x:v>
      </x:c>
      <x:c r="H574" t="str">
        <x:v>Delhi</x:v>
      </x:c>
      <x:c r="I574" t="str">
        <x:v>New Delhi</x:v>
      </x:c>
      <x:c r="J574" t="str">
        <x:v>Technology</x:v>
      </x:c>
      <x:c r="K574" t="str">
        <x:v>Phones</x:v>
      </x:c>
      <x:c r="L574" t="str">
        <x:v>Eco Phones 368</x:v>
      </x:c>
      <x:c r="M574" t="str">
        <x:v>Standard Class</x:v>
      </x:c>
      <x:c r="N574" t="n">
        <x:v>3</x:v>
      </x:c>
      <x:c r="O574" s="7" t="n">
        <x:v>739.56</x:v>
      </x:c>
      <x:c r="P574" s="6" t="n">
        <x:v>0.2</x:v>
      </x:c>
      <x:c r="Q574" s="7" t="n">
        <x:v>1774.94</x:v>
      </x:c>
      <x:c r="R574" s="7" t="n">
        <x:v>1007.4</x:v>
      </x:c>
      <x:c r="S574" s="7" t="n">
        <x:v>767.54</x:v>
      </x:c>
      <x:c r="T574" t="str">
        <x:v>Paid</x:v>
      </x:c>
      <x:c r="U574" t="str">
        <x:v>Completed</x:v>
      </x:c>
      <x:c r="V574" s="6" t="n">
        <x:f>IF(ISBLANK(P574),IF(AND(ISNUMBER(N574),N574&gt;0,ISNUMBER(O574),O574&gt;=0,ISNUMBER(Q574),Q574&gt;=0,ISNUMBER(R574),R574&gt;=0,ISNUMBER(S574)),0,""),P574)</x:f>
        <x:v>0.2</x:v>
      </x:c>
      <x:c r="W574" s="7" t="n">
        <x:f>IF(ISBLANK(V574),"",N574*O574*(1-V574))</x:f>
        <x:v>1774.944</x:v>
      </x:c>
      <x:c r="X574" s="7" t="n">
        <x:f>IF(OR(ISBLANK(W574),ISBLANK(R574)),"",W574-R574)</x:f>
        <x:v>767.544</x:v>
      </x:c>
      <x:c r="Y574" s="8" t="n">
        <x:f>IF(OR(ISBLANK(W574),W574=0),"",X574/W574)</x:f>
        <x:v>0.4324327978798204</x:v>
      </x:c>
      <x:c r="Z574" s="9" t="n">
        <x:f>IF(OR(ISBLANK(B574),ISBLANK(C574)),"",C574-B574)</x:f>
        <x:v>7</x:v>
      </x:c>
      <x:c r="AA574" t="str">
        <x:f>IF(ISBLANK(B574),"",TEXT(B574,"mmm"))</x:f>
        <x:v>Jan</x:v>
      </x:c>
      <x:c r="AB574" s="9" t="n">
        <x:f>IF(ISBLANK(B574),"",YEAR(B574))</x:f>
        <x:v>2024</x:v>
      </x:c>
      <x:c r="AC574" s="10" t="str"/>
      <x:c r="AD574" t="str">
        <x:f>IF(AND(U574="Completed",T574="Paid",ISERROR(SEARCH("INVALID",AC574)),ISERROR(SEARCH("REVIEW",AC574))),"Include","Exclude")</x:f>
        <x:v>Include</x:v>
      </x:c>
      <x:c r="AE574" t="str">
        <x:f>IF(T574="Refunded","Refunded","")</x:f>
      </x:c>
    </x:row>
    <x:row r="575">
      <x:c r="A575" t="str">
        <x:v>ORD-2025-10574</x:v>
      </x:c>
      <x:c r="B575" s="5" t="n">
        <x:v>45922</x:v>
      </x:c>
      <x:c r="C575" s="5" t="n">
        <x:v>45926</x:v>
      </x:c>
      <x:c r="D575" t="str">
        <x:v>CUST-8243</x:v>
      </x:c>
      <x:c r="E575" t="str">
        <x:v>Isha Nair</x:v>
      </x:c>
      <x:c r="F575" t="str">
        <x:v>Consumer</x:v>
      </x:c>
      <x:c r="G575" t="str">
        <x:v>South</x:v>
      </x:c>
      <x:c r="H575" t="str">
        <x:v>Andhra Pradesh</x:v>
      </x:c>
      <x:c r="I575" t="str">
        <x:v>Vijayawada</x:v>
      </x:c>
      <x:c r="J575" t="str">
        <x:v>Technology</x:v>
      </x:c>
      <x:c r="K575" t="str">
        <x:v>Phones</x:v>
      </x:c>
      <x:c r="L575" t="str">
        <x:v>Pro Phones 644</x:v>
      </x:c>
      <x:c r="M575" t="str">
        <x:v>Standard Class</x:v>
      </x:c>
      <x:c r="N575" t="n">
        <x:v>1</x:v>
      </x:c>
      <x:c r="O575" s="7" t="n">
        <x:v>573.65</x:v>
      </x:c>
      <x:c r="P575" s="6" t="n">
        <x:v>0</x:v>
      </x:c>
      <x:c r="Q575" s="7" t="n">
        <x:v>573.65</x:v>
      </x:c>
      <x:c r="R575" s="7" t="n">
        <x:v>322.67</x:v>
      </x:c>
      <x:c r="S575" s="7" t="n">
        <x:v>250.98</x:v>
      </x:c>
      <x:c r="T575" t="str">
        <x:v>Paid</x:v>
      </x:c>
      <x:c r="U575" t="str">
        <x:v>Completed</x:v>
      </x:c>
      <x:c r="V575" s="6" t="n">
        <x:f>IF(ISBLANK(P575),IF(AND(ISNUMBER(N575),N575&gt;0,ISNUMBER(O575),O575&gt;=0,ISNUMBER(Q575),Q575&gt;=0,ISNUMBER(R575),R575&gt;=0,ISNUMBER(S575)),0,""),P575)</x:f>
        <x:v>0</x:v>
      </x:c>
      <x:c r="W575" s="7" t="n">
        <x:f>IF(ISBLANK(V575),"",N575*O575*(1-V575))</x:f>
        <x:v>573.65</x:v>
      </x:c>
      <x:c r="X575" s="7" t="n">
        <x:f>IF(OR(ISBLANK(W575),ISBLANK(R575)),"",W575-R575)</x:f>
        <x:v>250.97999999999996</x:v>
      </x:c>
      <x:c r="Y575" s="8" t="n">
        <x:f>IF(OR(ISBLANK(W575),W575=0),"",X575/W575)</x:f>
        <x:v>0.4375141636886603</x:v>
      </x:c>
      <x:c r="Z575" s="9" t="n">
        <x:f>IF(OR(ISBLANK(B575),ISBLANK(C575)),"",C575-B575)</x:f>
        <x:v>4</x:v>
      </x:c>
      <x:c r="AA575" t="str">
        <x:f>IF(ISBLANK(B575),"",TEXT(B575,"mmm"))</x:f>
        <x:v>Sep</x:v>
      </x:c>
      <x:c r="AB575" s="9" t="n">
        <x:f>IF(ISBLANK(B575),"",YEAR(B575))</x:f>
        <x:v>2025</x:v>
      </x:c>
      <x:c r="AC575" s="10" t="str"/>
      <x:c r="AD575" t="str">
        <x:f>IF(AND(U575="Completed",T575="Paid",ISERROR(SEARCH("INVALID",AC575)),ISERROR(SEARCH("REVIEW",AC575))),"Include","Exclude")</x:f>
        <x:v>Include</x:v>
      </x:c>
      <x:c r="AE575" t="str">
        <x:f>IF(T575="Refunded","Refunded","")</x:f>
      </x:c>
    </x:row>
    <x:row r="576">
      <x:c r="A576" t="str">
        <x:v>ORD-2024-10575</x:v>
      </x:c>
      <x:c r="B576" s="5" t="n">
        <x:v>45342</x:v>
      </x:c>
      <x:c r="C576" s="5" t="n">
        <x:v>45347</x:v>
      </x:c>
      <x:c r="D576" t="str">
        <x:v>CUST-9139</x:v>
      </x:c>
      <x:c r="E576" t="str">
        <x:v>Diya Patel</x:v>
      </x:c>
      <x:c r="F576" t="str">
        <x:v>Home Office</x:v>
      </x:c>
      <x:c r="G576" t="str">
        <x:v>North</x:v>
      </x:c>
      <x:c r="H576" t="str">
        <x:v>Punjab</x:v>
      </x:c>
      <x:c r="I576" t="str">
        <x:v>Ludhiana</x:v>
      </x:c>
      <x:c r="J576" t="str">
        <x:v>Technology</x:v>
      </x:c>
      <x:c r="K576" t="str">
        <x:v>Machines</x:v>
      </x:c>
      <x:c r="L576" t="str">
        <x:v>Smart Machines 566</x:v>
      </x:c>
      <x:c r="M576" t="str">
        <x:v>Standard Class</x:v>
      </x:c>
      <x:c r="N576" t="n">
        <x:v>4</x:v>
      </x:c>
      <x:c r="O576" s="7" t="n">
        <x:v>1355.8</x:v>
      </x:c>
      <x:c r="P576" s="6" t="n">
        <x:v>0</x:v>
      </x:c>
      <x:c r="Q576" s="7" t="n">
        <x:v>5423.2</x:v>
      </x:c>
      <x:c r="R576" s="7" t="n">
        <x:v>4072.44</x:v>
      </x:c>
      <x:c r="S576" s="7" t="n">
        <x:v>1350.76</x:v>
      </x:c>
      <x:c r="T576" t="str">
        <x:v>Paid</x:v>
      </x:c>
      <x:c r="U576" t="str">
        <x:v>Completed</x:v>
      </x:c>
      <x:c r="V576" s="6" t="n">
        <x:f>IF(ISBLANK(P576),IF(AND(ISNUMBER(N576),N576&gt;0,ISNUMBER(O576),O576&gt;=0,ISNUMBER(Q576),Q576&gt;=0,ISNUMBER(R576),R576&gt;=0,ISNUMBER(S576)),0,""),P576)</x:f>
        <x:v>0</x:v>
      </x:c>
      <x:c r="W576" s="7" t="n">
        <x:f>IF(ISBLANK(V576),"",N576*O576*(1-V576))</x:f>
        <x:v>5423.2</x:v>
      </x:c>
      <x:c r="X576" s="7" t="n">
        <x:f>IF(OR(ISBLANK(W576),ISBLANK(R576)),"",W576-R576)</x:f>
        <x:v>1350.7599999999998</x:v>
      </x:c>
      <x:c r="Y576" s="8" t="n">
        <x:f>IF(OR(ISBLANK(W576),W576=0),"",X576/W576)</x:f>
        <x:v>0.24907065938929043</x:v>
      </x:c>
      <x:c r="Z576" s="9" t="n">
        <x:f>IF(OR(ISBLANK(B576),ISBLANK(C576)),"",C576-B576)</x:f>
        <x:v>5</x:v>
      </x:c>
      <x:c r="AA576" t="str">
        <x:f>IF(ISBLANK(B576),"",TEXT(B576,"mmm"))</x:f>
        <x:v>Feb</x:v>
      </x:c>
      <x:c r="AB576" s="9" t="n">
        <x:f>IF(ISBLANK(B576),"",YEAR(B576))</x:f>
        <x:v>2024</x:v>
      </x:c>
      <x:c r="AC576" s="10" t="str"/>
      <x:c r="AD576" t="str">
        <x:f>IF(AND(U576="Completed",T576="Paid",ISERROR(SEARCH("INVALID",AC576)),ISERROR(SEARCH("REVIEW",AC576))),"Include","Exclude")</x:f>
        <x:v>Include</x:v>
      </x:c>
      <x:c r="AE576" t="str">
        <x:f>IF(T576="Refunded","Refunded","")</x:f>
      </x:c>
    </x:row>
    <x:row r="577">
      <x:c r="A577" t="str">
        <x:v>ORD-2025-10576</x:v>
      </x:c>
      <x:c r="B577" s="5" t="n">
        <x:v>45727</x:v>
      </x:c>
      <x:c r="C577" s="5" t="n">
        <x:v>45730</x:v>
      </x:c>
      <x:c r="D577" t="str">
        <x:v>CUST-5496</x:v>
      </x:c>
      <x:c r="E577" t="str">
        <x:v>Sneha Kapoor</x:v>
      </x:c>
      <x:c r="F577" t="str">
        <x:v>Home Office</x:v>
      </x:c>
      <x:c r="G577" t="str">
        <x:v>South</x:v>
      </x:c>
      <x:c r="H577" t="str">
        <x:v>Kerala</x:v>
      </x:c>
      <x:c r="I577" t="str">
        <x:v>Kochi</x:v>
      </x:c>
      <x:c r="J577" t="str">
        <x:v>Furniture</x:v>
      </x:c>
      <x:c r="K577" t="str">
        <x:v>Furnishings</x:v>
      </x:c>
      <x:c r="L577" t="str">
        <x:v>Elite Furnishings 173</x:v>
      </x:c>
      <x:c r="M577" t="str">
        <x:v>Same Day</x:v>
      </x:c>
      <x:c r="N577" t="n">
        <x:v>4</x:v>
      </x:c>
      <x:c r="O577" s="7" t="n">
        <x:v>1244.82</x:v>
      </x:c>
      <x:c r="P577" s="6" t="n">
        <x:v>0.2</x:v>
      </x:c>
      <x:c r="Q577" s="7" t="n">
        <x:v>3983.42</x:v>
      </x:c>
      <x:c r="R577" s="7" t="n">
        <x:v>3174.91</x:v>
      </x:c>
      <x:c r="S577" s="7" t="n">
        <x:v>808.51</x:v>
      </x:c>
      <x:c r="T577" t="str">
        <x:v>Failed</x:v>
      </x:c>
      <x:c r="U577" t="str">
        <x:v>Returned</x:v>
      </x:c>
      <x:c r="V577" s="6" t="n">
        <x:f>IF(ISBLANK(P577),IF(AND(ISNUMBER(N577),N577&gt;0,ISNUMBER(O577),O577&gt;=0,ISNUMBER(Q577),Q577&gt;=0,ISNUMBER(R577),R577&gt;=0,ISNUMBER(S577)),0,""),P577)</x:f>
        <x:v>0.2</x:v>
      </x:c>
      <x:c r="W577" s="7" t="n">
        <x:f>IF(ISBLANK(V577),"",N577*O577*(1-V577))</x:f>
        <x:v>3983.424</x:v>
      </x:c>
      <x:c r="X577" s="7" t="n">
        <x:f>IF(OR(ISBLANK(W577),ISBLANK(R577)),"",W577-R577)</x:f>
        <x:v>808.5140000000001</x:v>
      </x:c>
      <x:c r="Y577" s="8" t="n">
        <x:f>IF(OR(ISBLANK(W577),W577=0),"",X577/W577)</x:f>
        <x:v>0.2029696060474607</x:v>
      </x:c>
      <x:c r="Z577" s="9" t="n">
        <x:f>IF(OR(ISBLANK(B577),ISBLANK(C577)),"",C577-B577)</x:f>
        <x:v>3</x:v>
      </x:c>
      <x:c r="AA577" t="str">
        <x:f>IF(ISBLANK(B577),"",TEXT(B577,"mmm"))</x:f>
        <x:v>Mar</x:v>
      </x:c>
      <x:c r="AB577" s="9" t="n">
        <x:f>IF(ISBLANK(B577),"",YEAR(B577))</x:f>
        <x:v>2025</x:v>
      </x:c>
      <x:c r="AC577" s="10" t="str">
        <x:v>EXCLUDE: Failed payment</x:v>
      </x:c>
      <x:c r="AD577" t="str">
        <x:f>IF(AND(U577="Completed",T577="Paid",ISERROR(SEARCH("INVALID",AC577)),ISERROR(SEARCH("REVIEW",AC577))),"Include","Exclude")</x:f>
        <x:v>Exclude</x:v>
      </x:c>
      <x:c r="AE577" t="str">
        <x:f>IF(T577="Refunded","Refunded","")</x:f>
      </x:c>
    </x:row>
    <x:row r="578">
      <x:c r="A578" t="str">
        <x:v>ORD-2024-10577</x:v>
      </x:c>
      <x:c r="B578" s="5" t="n">
        <x:v>45339</x:v>
      </x:c>
      <x:c r="C578" s="5" t="n">
        <x:v>45345</x:v>
      </x:c>
      <x:c r="D578" t="str">
        <x:v>CUST-2228</x:v>
      </x:c>
      <x:c r="E578" t="str">
        <x:v>Rohan Mehta</x:v>
      </x:c>
      <x:c r="F578" t="str">
        <x:v>Home Office</x:v>
      </x:c>
      <x:c r="G578" t="str">
        <x:v>Unknown</x:v>
      </x:c>
      <x:c r="H578" t="str">
        <x:v>Bihar</x:v>
      </x:c>
      <x:c r="I578" t="str">
        <x:v>Patna</x:v>
      </x:c>
      <x:c r="J578" t="str">
        <x:v>Office Supplies</x:v>
      </x:c>
      <x:c r="K578" t="str">
        <x:v>Binders</x:v>
      </x:c>
      <x:c r="L578" t="str">
        <x:v>Smart Binders 417</x:v>
      </x:c>
      <x:c r="M578" t="str">
        <x:v>Standard Class</x:v>
      </x:c>
      <x:c r="N578" t="n">
        <x:v>9</x:v>
      </x:c>
      <x:c r="O578" s="7" t="n">
        <x:v>2614.46</x:v>
      </x:c>
      <x:c r="P578" s="6" t="n">
        <x:v>0</x:v>
      </x:c>
      <x:c r="Q578" s="7" t="n">
        <x:v>23530.14</x:v>
      </x:c>
      <x:c r="R578" s="7" t="n">
        <x:v>19537.79</x:v>
      </x:c>
      <x:c r="S578" s="7" t="n">
        <x:v>3992.35</x:v>
      </x:c>
      <x:c r="T578" t="str">
        <x:v>Refunded</x:v>
      </x:c>
      <x:c r="U578" t="str">
        <x:v>Returned</x:v>
      </x:c>
      <x:c r="V578" s="6" t="n">
        <x:f>IF(ISBLANK(P578),IF(AND(ISNUMBER(N578),N578&gt;0,ISNUMBER(O578),O578&gt;=0,ISNUMBER(Q578),Q578&gt;=0,ISNUMBER(R578),R578&gt;=0,ISNUMBER(S578)),0,""),P578)</x:f>
        <x:v>0</x:v>
      </x:c>
      <x:c r="W578" s="7" t="n">
        <x:f>IF(ISBLANK(V578),"",N578*O578*(1-V578))</x:f>
        <x:v>23530.14</x:v>
      </x:c>
      <x:c r="X578" s="7" t="n">
        <x:f>IF(OR(ISBLANK(W578),ISBLANK(R578)),"",W578-R578)</x:f>
        <x:v>3992.3499999999985</x:v>
      </x:c>
      <x:c r="Y578" s="8" t="n">
        <x:f>IF(OR(ISBLANK(W578),W578=0),"",X578/W578)</x:f>
        <x:v>0.16966962372514566</x:v>
      </x:c>
      <x:c r="Z578" s="9" t="n">
        <x:f>IF(OR(ISBLANK(B578),ISBLANK(C578)),"",C578-B578)</x:f>
        <x:v>6</x:v>
      </x:c>
      <x:c r="AA578" t="str">
        <x:f>IF(ISBLANK(B578),"",TEXT(B578,"mmm"))</x:f>
        <x:v>Feb</x:v>
      </x:c>
      <x:c r="AB578" s="9" t="n">
        <x:f>IF(ISBLANK(B578),"",YEAR(B578))</x:f>
        <x:v>2024</x:v>
      </x:c>
      <x:c r="AC578" s="10" t="str">
        <x:v>FLAG: Missing region filled as Unknown; REFUND: Summarize separately</x:v>
      </x:c>
      <x:c r="AD578" t="str">
        <x:f>IF(AND(U578="Completed",T578="Paid",ISERROR(SEARCH("INVALID",AC578)),ISERROR(SEARCH("REVIEW",AC578))),"Include","Exclude")</x:f>
        <x:v>Exclude</x:v>
      </x:c>
      <x:c r="AE578" t="str">
        <x:f>IF(T578="Refunded","Refunded","")</x:f>
        <x:v>Refunded</x:v>
      </x:c>
    </x:row>
    <x:row r="579">
      <x:c r="A579" t="str">
        <x:v>ORD-2025-10578</x:v>
      </x:c>
      <x:c r="B579" s="5" t="n">
        <x:v>45897</x:v>
      </x:c>
      <x:c r="C579" s="5" t="n">
        <x:v>45903</x:v>
      </x:c>
      <x:c r="D579" t="str">
        <x:v>CUST-4151</x:v>
      </x:c>
      <x:c r="E579" t="str">
        <x:v>Priya Menon</x:v>
      </x:c>
      <x:c r="F579" t="str">
        <x:v>Corporate</x:v>
      </x:c>
      <x:c r="G579" t="str">
        <x:v>West</x:v>
      </x:c>
      <x:c r="H579" t="str">
        <x:v>Madhya Pradesh</x:v>
      </x:c>
      <x:c r="I579" t="str">
        <x:v>Indore</x:v>
      </x:c>
      <x:c r="J579" t="str">
        <x:v>Furniture</x:v>
      </x:c>
      <x:c r="K579" t="str">
        <x:v>Furnishings</x:v>
      </x:c>
      <x:c r="L579" t="str">
        <x:v>Smart Furnishings 714</x:v>
      </x:c>
      <x:c r="M579" t="str">
        <x:v>Standard Class</x:v>
      </x:c>
      <x:c r="N579" t="n">
        <x:v>7</x:v>
      </x:c>
      <x:c r="O579" s="7" t="n">
        <x:v>268.45</x:v>
      </x:c>
      <x:c r="P579" s="6" t="n">
        <x:v>0</x:v>
      </x:c>
      <x:c r="Q579" s="7" t="n">
        <x:v>1879.15</x:v>
      </x:c>
      <x:c r="R579" s="7" t="n">
        <x:v>1134.9</x:v>
      </x:c>
      <x:c r="S579" s="7" t="n">
        <x:v>744.25</x:v>
      </x:c>
      <x:c r="T579" t="str">
        <x:v>Paid</x:v>
      </x:c>
      <x:c r="U579" t="str">
        <x:v>Completed</x:v>
      </x:c>
      <x:c r="V579" s="6" t="n">
        <x:f>IF(ISBLANK(P579),IF(AND(ISNUMBER(N579),N579&gt;0,ISNUMBER(O579),O579&gt;=0,ISNUMBER(Q579),Q579&gt;=0,ISNUMBER(R579),R579&gt;=0,ISNUMBER(S579)),0,""),P579)</x:f>
        <x:v>0</x:v>
      </x:c>
      <x:c r="W579" s="7" t="n">
        <x:f>IF(ISBLANK(V579),"",N579*O579*(1-V579))</x:f>
        <x:v>1879.1499999999999</x:v>
      </x:c>
      <x:c r="X579" s="7" t="n">
        <x:f>IF(OR(ISBLANK(W579),ISBLANK(R579)),"",W579-R579)</x:f>
        <x:v>744.2499999999998</x:v>
      </x:c>
      <x:c r="Y579" s="8" t="n">
        <x:f>IF(OR(ISBLANK(W579),W579=0),"",X579/W579)</x:f>
        <x:v>0.396056727775856</x:v>
      </x:c>
      <x:c r="Z579" s="9" t="n">
        <x:f>IF(OR(ISBLANK(B579),ISBLANK(C579)),"",C579-B579)</x:f>
        <x:v>6</x:v>
      </x:c>
      <x:c r="AA579" t="str">
        <x:f>IF(ISBLANK(B579),"",TEXT(B579,"mmm"))</x:f>
        <x:v>Aug</x:v>
      </x:c>
      <x:c r="AB579" s="9" t="n">
        <x:f>IF(ISBLANK(B579),"",YEAR(B579))</x:f>
        <x:v>2025</x:v>
      </x:c>
      <x:c r="AC579" s="10" t="str"/>
      <x:c r="AD579" t="str">
        <x:f>IF(AND(U579="Completed",T579="Paid",ISERROR(SEARCH("INVALID",AC579)),ISERROR(SEARCH("REVIEW",AC579))),"Include","Exclude")</x:f>
        <x:v>Include</x:v>
      </x:c>
      <x:c r="AE579" t="str">
        <x:f>IF(T579="Refunded","Refunded","")</x:f>
      </x:c>
    </x:row>
    <x:row r="580">
      <x:c r="A580" t="str">
        <x:v>ORD-2024-10579</x:v>
      </x:c>
      <x:c r="B580" s="5" t="n">
        <x:v>45343</x:v>
      </x:c>
      <x:c r="C580" s="5" t="n">
        <x:v>45345</x:v>
      </x:c>
      <x:c r="D580" t="str">
        <x:v>CUST-4900</x:v>
      </x:c>
      <x:c r="E580" t="str">
        <x:v>Neha Gupta</x:v>
      </x:c>
      <x:c r="F580" t="str">
        <x:v>Small Business</x:v>
      </x:c>
      <x:c r="G580" t="str">
        <x:v>West</x:v>
      </x:c>
      <x:c r="H580" t="str">
        <x:v>Gujarat</x:v>
      </x:c>
      <x:c r="I580" t="str">
        <x:v>Ahmedabad</x:v>
      </x:c>
      <x:c r="J580" t="str">
        <x:v>Technology</x:v>
      </x:c>
      <x:c r="K580" t="str">
        <x:v>Copiers</x:v>
      </x:c>
      <x:c r="L580" t="str">
        <x:v>Elite Copiers 682</x:v>
      </x:c>
      <x:c r="M580" t="str">
        <x:v>First Class</x:v>
      </x:c>
      <x:c r="N580" t="n">
        <x:v>6</x:v>
      </x:c>
      <x:c r="O580" s="7" t="n">
        <x:v>2633.65</x:v>
      </x:c>
      <x:c r="P580" s="6" t="n">
        <x:v>0.05</x:v>
      </x:c>
      <x:c r="Q580" s="7" t="n">
        <x:v>15011.81</x:v>
      </x:c>
      <x:c r="R580" s="7" t="n">
        <x:v>9660.36</x:v>
      </x:c>
      <x:c r="S580" s="7" t="n">
        <x:v>5351.45</x:v>
      </x:c>
      <x:c r="T580" t="str">
        <x:v>Paid</x:v>
      </x:c>
      <x:c r="U580" t="str">
        <x:v>Completed</x:v>
      </x:c>
      <x:c r="V580" s="6" t="n">
        <x:f>IF(ISBLANK(P580),IF(AND(ISNUMBER(N580),N580&gt;0,ISNUMBER(O580),O580&gt;=0,ISNUMBER(Q580),Q580&gt;=0,ISNUMBER(R580),R580&gt;=0,ISNUMBER(S580)),0,""),P580)</x:f>
        <x:v>0.05</x:v>
      </x:c>
      <x:c r="W580" s="7" t="n">
        <x:f>IF(ISBLANK(V580),"",N580*O580*(1-V580))</x:f>
        <x:v>15011.805</x:v>
      </x:c>
      <x:c r="X580" s="7" t="n">
        <x:f>IF(OR(ISBLANK(W580),ISBLANK(R580)),"",W580-R580)</x:f>
        <x:v>5351.445</x:v>
      </x:c>
      <x:c r="Y580" s="8" t="n">
        <x:f>IF(OR(ISBLANK(W580),W580=0),"",X580/W580)</x:f>
        <x:v>0.3564824483131775</x:v>
      </x:c>
      <x:c r="Z580" s="9" t="n">
        <x:f>IF(OR(ISBLANK(B580),ISBLANK(C580)),"",C580-B580)</x:f>
        <x:v>2</x:v>
      </x:c>
      <x:c r="AA580" t="str">
        <x:f>IF(ISBLANK(B580),"",TEXT(B580,"mmm"))</x:f>
        <x:v>Feb</x:v>
      </x:c>
      <x:c r="AB580" s="9" t="n">
        <x:f>IF(ISBLANK(B580),"",YEAR(B580))</x:f>
        <x:v>2024</x:v>
      </x:c>
      <x:c r="AC580" s="10" t="str"/>
      <x:c r="AD580" t="str">
        <x:f>IF(AND(U580="Completed",T580="Paid",ISERROR(SEARCH("INVALID",AC580)),ISERROR(SEARCH("REVIEW",AC580))),"Include","Exclude")</x:f>
        <x:v>Include</x:v>
      </x:c>
      <x:c r="AE580" t="str">
        <x:f>IF(T580="Refunded","Refunded","")</x:f>
      </x:c>
    </x:row>
    <x:row r="581">
      <x:c r="A581" t="str">
        <x:v>ORD-2024-10580</x:v>
      </x:c>
      <x:c r="B581" s="5" t="n">
        <x:v>45462</x:v>
      </x:c>
      <x:c r="C581" s="5" t="n">
        <x:v>45467</x:v>
      </x:c>
      <x:c r="D581" t="str">
        <x:v>CUST-9617</x:v>
      </x:c>
      <x:c r="E581" t="str">
        <x:v>Aarav Sharma</x:v>
      </x:c>
      <x:c r="F581" t="str">
        <x:v>Small Business</x:v>
      </x:c>
      <x:c r="G581" t="str">
        <x:v>South</x:v>
      </x:c>
      <x:c r="H581" t="str">
        <x:v>Tamil Nadu</x:v>
      </x:c>
      <x:c r="I581" t="str">
        <x:v>Chennai</x:v>
      </x:c>
      <x:c r="J581" t="str">
        <x:v>Office Supplies</x:v>
      </x:c>
      <x:c r="K581" t="str">
        <x:v>Storage</x:v>
      </x:c>
      <x:c r="L581" t="str">
        <x:v>Pro Storage 482</x:v>
      </x:c>
      <x:c r="M581" t="str">
        <x:v>Same Day</x:v>
      </x:c>
      <x:c r="N581" t="n">
        <x:v>1</x:v>
      </x:c>
      <x:c r="O581" s="7" t="n">
        <x:v>3202.41</x:v>
      </x:c>
      <x:c r="P581" s="6" t="n">
        <x:v>0</x:v>
      </x:c>
      <x:c r="Q581" s="7" t="n">
        <x:v>3202.41</x:v>
      </x:c>
      <x:c r="R581" s="7" t="n">
        <x:v>2608.44</x:v>
      </x:c>
      <x:c r="S581" s="7" t="n">
        <x:v>593.97</x:v>
      </x:c>
      <x:c r="T581" t="str">
        <x:v>Paid</x:v>
      </x:c>
      <x:c r="U581" t="str">
        <x:v>Completed</x:v>
      </x:c>
      <x:c r="V581" s="6" t="n">
        <x:f>IF(ISBLANK(P581),IF(AND(ISNUMBER(N581),N581&gt;0,ISNUMBER(O581),O581&gt;=0,ISNUMBER(Q581),Q581&gt;=0,ISNUMBER(R581),R581&gt;=0,ISNUMBER(S581)),0,""),P581)</x:f>
        <x:v>0</x:v>
      </x:c>
      <x:c r="W581" s="7" t="n">
        <x:f>IF(ISBLANK(V581),"",N581*O581*(1-V581))</x:f>
        <x:v>3202.41</x:v>
      </x:c>
      <x:c r="X581" s="7" t="n">
        <x:f>IF(OR(ISBLANK(W581),ISBLANK(R581)),"",W581-R581)</x:f>
        <x:v>593.9699999999998</x:v>
      </x:c>
      <x:c r="Y581" s="8" t="n">
        <x:f>IF(OR(ISBLANK(W581),W581=0),"",X581/W581)</x:f>
        <x:v>0.18547593843386695</x:v>
      </x:c>
      <x:c r="Z581" s="9" t="n">
        <x:f>IF(OR(ISBLANK(B581),ISBLANK(C581)),"",C581-B581)</x:f>
        <x:v>5</x:v>
      </x:c>
      <x:c r="AA581" t="str">
        <x:f>IF(ISBLANK(B581),"",TEXT(B581,"mmm"))</x:f>
        <x:v>Jun</x:v>
      </x:c>
      <x:c r="AB581" s="9" t="n">
        <x:f>IF(ISBLANK(B581),"",YEAR(B581))</x:f>
        <x:v>2024</x:v>
      </x:c>
      <x:c r="AC581" s="10" t="str"/>
      <x:c r="AD581" t="str">
        <x:f>IF(AND(U581="Completed",T581="Paid",ISERROR(SEARCH("INVALID",AC581)),ISERROR(SEARCH("REVIEW",AC581))),"Include","Exclude")</x:f>
        <x:v>Include</x:v>
      </x:c>
      <x:c r="AE581" t="str">
        <x:f>IF(T581="Refunded","Refunded","")</x:f>
      </x:c>
    </x:row>
    <x:row r="582">
      <x:c r="A582" t="str">
        <x:v>ORD-2025-10581</x:v>
      </x:c>
      <x:c r="B582" s="5" t="n">
        <x:v>45722</x:v>
      </x:c>
      <x:c r="C582" s="5" t="n">
        <x:v>45729</x:v>
      </x:c>
      <x:c r="D582" t="str">
        <x:v>CUST-7958</x:v>
      </x:c>
      <x:c r="E582" t="str">
        <x:v>Kabir Singh</x:v>
      </x:c>
      <x:c r="F582" t="str">
        <x:v>Consumer</x:v>
      </x:c>
      <x:c r="G582" t="str">
        <x:v>South</x:v>
      </x:c>
      <x:c r="H582" t="str">
        <x:v>Kerala</x:v>
      </x:c>
      <x:c r="I582" t="str">
        <x:v>Kochi</x:v>
      </x:c>
      <x:c r="J582" t="str">
        <x:v>Furniture</x:v>
      </x:c>
      <x:c r="K582" t="str">
        <x:v>Chairs</x:v>
      </x:c>
      <x:c r="L582" t="str">
        <x:v>Pro Chairs 888</x:v>
      </x:c>
      <x:c r="M582" t="str">
        <x:v>Standard Class</x:v>
      </x:c>
      <x:c r="N582" t="n">
        <x:v>3</x:v>
      </x:c>
      <x:c r="O582" s="7" t="n">
        <x:v>163.72</x:v>
      </x:c>
      <x:c r="P582" s="6" t="n">
        <x:v>0.15</x:v>
      </x:c>
      <x:c r="Q582" s="7" t="n">
        <x:v>417.49</x:v>
      </x:c>
      <x:c r="R582" s="7" t="n">
        <x:v>261.67</x:v>
      </x:c>
      <x:c r="S582" s="7" t="n">
        <x:v>155.82</x:v>
      </x:c>
      <x:c r="T582" t="str">
        <x:v>Failed</x:v>
      </x:c>
      <x:c r="U582" t="str">
        <x:v>Returned</x:v>
      </x:c>
      <x:c r="V582" s="6" t="n">
        <x:f>IF(ISBLANK(P582),IF(AND(ISNUMBER(N582),N582&gt;0,ISNUMBER(O582),O582&gt;=0,ISNUMBER(Q582),Q582&gt;=0,ISNUMBER(R582),R582&gt;=0,ISNUMBER(S582)),0,""),P582)</x:f>
        <x:v>0.15</x:v>
      </x:c>
      <x:c r="W582" s="7" t="n">
        <x:f>IF(ISBLANK(V582),"",N582*O582*(1-V582))</x:f>
        <x:v>417.486</x:v>
      </x:c>
      <x:c r="X582" s="7" t="n">
        <x:f>IF(OR(ISBLANK(W582),ISBLANK(R582)),"",W582-R582)</x:f>
        <x:v>155.81599999999997</x:v>
      </x:c>
      <x:c r="Y582" s="8" t="n">
        <x:f>IF(OR(ISBLANK(W582),W582=0),"",X582/W582)</x:f>
        <x:v>0.37322449136018926</x:v>
      </x:c>
      <x:c r="Z582" s="9" t="n">
        <x:f>IF(OR(ISBLANK(B582),ISBLANK(C582)),"",C582-B582)</x:f>
        <x:v>7</x:v>
      </x:c>
      <x:c r="AA582" t="str">
        <x:f>IF(ISBLANK(B582),"",TEXT(B582,"mmm"))</x:f>
        <x:v>Mar</x:v>
      </x:c>
      <x:c r="AB582" s="9" t="n">
        <x:f>IF(ISBLANK(B582),"",YEAR(B582))</x:f>
        <x:v>2025</x:v>
      </x:c>
      <x:c r="AC582" s="10" t="str">
        <x:v>EXCLUDE: Failed payment</x:v>
      </x:c>
      <x:c r="AD582" t="str">
        <x:f>IF(AND(U582="Completed",T582="Paid",ISERROR(SEARCH("INVALID",AC582)),ISERROR(SEARCH("REVIEW",AC582))),"Include","Exclude")</x:f>
        <x:v>Exclude</x:v>
      </x:c>
      <x:c r="AE582" t="str">
        <x:f>IF(T582="Refunded","Refunded","")</x:f>
      </x:c>
    </x:row>
    <x:row r="583">
      <x:c r="A583" t="str">
        <x:v>ORD-2025-10582</x:v>
      </x:c>
      <x:c r="B583" s="5" t="n">
        <x:v>45878</x:v>
      </x:c>
      <x:c r="C583" s="5" t="n">
        <x:v>45879</x:v>
      </x:c>
      <x:c r="D583" t="str">
        <x:v>CUST-9931</x:v>
      </x:c>
      <x:c r="E583" t="str">
        <x:v>Neha Gupta</x:v>
      </x:c>
      <x:c r="F583" t="str">
        <x:v>Consumer</x:v>
      </x:c>
      <x:c r="G583" t="str">
        <x:v>North</x:v>
      </x:c>
      <x:c r="H583" t="str">
        <x:v>Delhi</x:v>
      </x:c>
      <x:c r="I583" t="str">
        <x:v>New Delhi</x:v>
      </x:c>
      <x:c r="J583" t="str">
        <x:v>Office Supplies</x:v>
      </x:c>
      <x:c r="K583" t="str">
        <x:v>Art</x:v>
      </x:c>
      <x:c r="L583" t="str">
        <x:v>Classic Art 611</x:v>
      </x:c>
      <x:c r="M583" t="str">
        <x:v>Second Class</x:v>
      </x:c>
      <x:c r="N583" t="n">
        <x:v>4</x:v>
      </x:c>
      <x:c r="O583" s="7" t="n">
        <x:v>4080.95</x:v>
      </x:c>
      <x:c r="P583" s="6" t="n">
        <x:v>0</x:v>
      </x:c>
      <x:c r="Q583" s="7" t="n">
        <x:v>16323.8</x:v>
      </x:c>
      <x:c r="R583" s="7" t="n">
        <x:v>9965.79</x:v>
      </x:c>
      <x:c r="S583" s="7" t="n">
        <x:v>6358.01</x:v>
      </x:c>
      <x:c r="T583" t="str">
        <x:v>Refunded</x:v>
      </x:c>
      <x:c r="U583" t="str">
        <x:v>Returned</x:v>
      </x:c>
      <x:c r="V583" s="6" t="n">
        <x:f>IF(ISBLANK(P583),IF(AND(ISNUMBER(N583),N583&gt;0,ISNUMBER(O583),O583&gt;=0,ISNUMBER(Q583),Q583&gt;=0,ISNUMBER(R583),R583&gt;=0,ISNUMBER(S583)),0,""),P583)</x:f>
        <x:v>0</x:v>
      </x:c>
      <x:c r="W583" s="7" t="n">
        <x:f>IF(ISBLANK(V583),"",N583*O583*(1-V583))</x:f>
        <x:v>16323.8</x:v>
      </x:c>
      <x:c r="X583" s="7" t="n">
        <x:f>IF(OR(ISBLANK(W583),ISBLANK(R583)),"",W583-R583)</x:f>
        <x:v>6358.009999999998</x:v>
      </x:c>
      <x:c r="Y583" s="8" t="n">
        <x:f>IF(OR(ISBLANK(W583),W583=0),"",X583/W583)</x:f>
        <x:v>0.38949325524693995</x:v>
      </x:c>
      <x:c r="Z583" s="9" t="n">
        <x:f>IF(OR(ISBLANK(B583),ISBLANK(C583)),"",C583-B583)</x:f>
        <x:v>1</x:v>
      </x:c>
      <x:c r="AA583" t="str">
        <x:f>IF(ISBLANK(B583),"",TEXT(B583,"mmm"))</x:f>
        <x:v>Aug</x:v>
      </x:c>
      <x:c r="AB583" s="9" t="n">
        <x:f>IF(ISBLANK(B583),"",YEAR(B583))</x:f>
        <x:v>2025</x:v>
      </x:c>
      <x:c r="AC583" s="10" t="str">
        <x:v>REFUND: Summarize separately</x:v>
      </x:c>
      <x:c r="AD583" t="str">
        <x:f>IF(AND(U583="Completed",T583="Paid",ISERROR(SEARCH("INVALID",AC583)),ISERROR(SEARCH("REVIEW",AC583))),"Include","Exclude")</x:f>
        <x:v>Exclude</x:v>
      </x:c>
      <x:c r="AE583" t="str">
        <x:f>IF(T583="Refunded","Refunded","")</x:f>
        <x:v>Refunded</x:v>
      </x:c>
    </x:row>
    <x:row r="584">
      <x:c r="A584" t="str">
        <x:v>ORD-2024-10583</x:v>
      </x:c>
      <x:c r="B584" s="5" t="n">
        <x:v>45580</x:v>
      </x:c>
      <x:c r="C584" s="5" t="n">
        <x:v>45585</x:v>
      </x:c>
      <x:c r="D584" t="str">
        <x:v>CUST-2088</x:v>
      </x:c>
      <x:c r="E584" t="str">
        <x:v>Ananya Rao</x:v>
      </x:c>
      <x:c r="F584" t="str">
        <x:v>Consumer</x:v>
      </x:c>
      <x:c r="G584" t="str">
        <x:v>East</x:v>
      </x:c>
      <x:c r="H584" t="str">
        <x:v>Odisha</x:v>
      </x:c>
      <x:c r="I584" t="str">
        <x:v>Bhubaneswar</x:v>
      </x:c>
      <x:c r="J584" t="str">
        <x:v>Office Supplies</x:v>
      </x:c>
      <x:c r="K584" t="str">
        <x:v>Art</x:v>
      </x:c>
      <x:c r="L584" t="str">
        <x:v>Basic Art 174</x:v>
      </x:c>
      <x:c r="M584" t="str">
        <x:v>First Class</x:v>
      </x:c>
      <x:c r="N584" t="n">
        <x:v>5</x:v>
      </x:c>
      <x:c r="O584" s="7" t="n">
        <x:v>671.24</x:v>
      </x:c>
      <x:c r="P584" s="6" t="n">
        <x:v>0</x:v>
      </x:c>
      <x:c r="Q584" s="7" t="n">
        <x:v>3356.2</x:v>
      </x:c>
      <x:c r="R584" s="7" t="n">
        <x:v>2205.72</x:v>
      </x:c>
      <x:c r="S584" s="7" t="n">
        <x:v>1150.48</x:v>
      </x:c>
      <x:c r="T584" t="str">
        <x:v>Pending</x:v>
      </x:c>
      <x:c r="U584" t="str">
        <x:v>Returned</x:v>
      </x:c>
      <x:c r="V584" s="6" t="n">
        <x:f>IF(ISBLANK(P584),IF(AND(ISNUMBER(N584),N584&gt;0,ISNUMBER(O584),O584&gt;=0,ISNUMBER(Q584),Q584&gt;=0,ISNUMBER(R584),R584&gt;=0,ISNUMBER(S584)),0,""),P584)</x:f>
        <x:v>0</x:v>
      </x:c>
      <x:c r="W584" s="7" t="n">
        <x:f>IF(ISBLANK(V584),"",N584*O584*(1-V584))</x:f>
        <x:v>3356.2</x:v>
      </x:c>
      <x:c r="X584" s="7" t="n">
        <x:f>IF(OR(ISBLANK(W584),ISBLANK(R584)),"",W584-R584)</x:f>
        <x:v>1150.48</x:v>
      </x:c>
      <x:c r="Y584" s="8" t="n">
        <x:f>IF(OR(ISBLANK(W584),W584=0),"",X584/W584)</x:f>
        <x:v>0.34279244383528995</x:v>
      </x:c>
      <x:c r="Z584" s="9" t="n">
        <x:f>IF(OR(ISBLANK(B584),ISBLANK(C584)),"",C584-B584)</x:f>
        <x:v>5</x:v>
      </x:c>
      <x:c r="AA584" t="str">
        <x:f>IF(ISBLANK(B584),"",TEXT(B584,"mmm"))</x:f>
        <x:v>Oct</x:v>
      </x:c>
      <x:c r="AB584" s="9" t="n">
        <x:f>IF(ISBLANK(B584),"",YEAR(B584))</x:f>
        <x:v>2024</x:v>
      </x:c>
      <x:c r="AC584" s="10" t="str"/>
      <x:c r="AD584" t="str">
        <x:f>IF(AND(U584="Completed",T584="Paid",ISERROR(SEARCH("INVALID",AC584)),ISERROR(SEARCH("REVIEW",AC584))),"Include","Exclude")</x:f>
        <x:v>Exclude</x:v>
      </x:c>
      <x:c r="AE584" t="str">
        <x:f>IF(T584="Refunded","Refunded","")</x:f>
      </x:c>
    </x:row>
    <x:row r="585">
      <x:c r="A585" t="str">
        <x:v>ORD-2024-10584</x:v>
      </x:c>
      <x:c r="B585" s="5" t="n">
        <x:v>45350</x:v>
      </x:c>
      <x:c r="C585" s="5" t="n">
        <x:v>45350</x:v>
      </x:c>
      <x:c r="D585" t="str">
        <x:v>CUST-1686</x:v>
      </x:c>
      <x:c r="E585" t="str">
        <x:v>Rohan Mehta</x:v>
      </x:c>
      <x:c r="F585" t="str">
        <x:v>Small Business</x:v>
      </x:c>
      <x:c r="G585" t="str">
        <x:v>East</x:v>
      </x:c>
      <x:c r="H585" t="str">
        <x:v>West Bengal</x:v>
      </x:c>
      <x:c r="I585" t="str">
        <x:v>Kolkata</x:v>
      </x:c>
      <x:c r="J585" t="str">
        <x:v>Office Supplies</x:v>
      </x:c>
      <x:c r="K585" t="str">
        <x:v>Storage</x:v>
      </x:c>
      <x:c r="L585" t="str">
        <x:v>Classic Storage 451</x:v>
      </x:c>
      <x:c r="M585" t="str">
        <x:v>First Class</x:v>
      </x:c>
      <x:c r="N585" t="n">
        <x:v>1</x:v>
      </x:c>
      <x:c r="O585" s="7" t="n">
        <x:v>2626.84</x:v>
      </x:c>
      <x:c r="P585" s="6" t="n">
        <x:v>0.2</x:v>
      </x:c>
      <x:c r="Q585" s="7" t="n">
        <x:v>2101.47</x:v>
      </x:c>
      <x:c r="R585" s="7" t="n">
        <x:v>1217.83</x:v>
      </x:c>
      <x:c r="S585" s="7" t="n">
        <x:v>883.64</x:v>
      </x:c>
      <x:c r="T585" t="str">
        <x:v>Failed</x:v>
      </x:c>
      <x:c r="U585" t="str">
        <x:v>Returned</x:v>
      </x:c>
      <x:c r="V585" s="6" t="n">
        <x:f>IF(ISBLANK(P585),IF(AND(ISNUMBER(N585),N585&gt;0,ISNUMBER(O585),O585&gt;=0,ISNUMBER(Q585),Q585&gt;=0,ISNUMBER(R585),R585&gt;=0,ISNUMBER(S585)),0,""),P585)</x:f>
        <x:v>0.2</x:v>
      </x:c>
      <x:c r="W585" s="7" t="n">
        <x:f>IF(ISBLANK(V585),"",N585*O585*(1-V585))</x:f>
        <x:v>2101.472</x:v>
      </x:c>
      <x:c r="X585" s="7" t="n">
        <x:f>IF(OR(ISBLANK(W585),ISBLANK(R585)),"",W585-R585)</x:f>
        <x:v>883.6420000000003</x:v>
      </x:c>
      <x:c r="Y585" s="8" t="n">
        <x:f>IF(OR(ISBLANK(W585),W585=0),"",X585/W585)</x:f>
        <x:v>0.4204871632836413</x:v>
      </x:c>
      <x:c r="Z585" s="9" t="n">
        <x:f>IF(OR(ISBLANK(B585),ISBLANK(C585)),"",C585-B585)</x:f>
        <x:v>0</x:v>
      </x:c>
      <x:c r="AA585" t="str">
        <x:f>IF(ISBLANK(B585),"",TEXT(B585,"mmm"))</x:f>
        <x:v>Feb</x:v>
      </x:c>
      <x:c r="AB585" s="9" t="n">
        <x:f>IF(ISBLANK(B585),"",YEAR(B585))</x:f>
        <x:v>2024</x:v>
      </x:c>
      <x:c r="AC585" s="10" t="str">
        <x:v>EXCLUDE: Failed payment</x:v>
      </x:c>
      <x:c r="AD585" t="str">
        <x:f>IF(AND(U585="Completed",T585="Paid",ISERROR(SEARCH("INVALID",AC585)),ISERROR(SEARCH("REVIEW",AC585))),"Include","Exclude")</x:f>
        <x:v>Exclude</x:v>
      </x:c>
      <x:c r="AE585" t="str">
        <x:f>IF(T585="Refunded","Refunded","")</x:f>
      </x:c>
    </x:row>
    <x:row r="586">
      <x:c r="A586" t="str">
        <x:v>ORD-2024-10585</x:v>
      </x:c>
      <x:c r="B586" s="5" t="n">
        <x:v>45508</x:v>
      </x:c>
      <x:c r="C586" s="5" t="n">
        <x:v>45514</x:v>
      </x:c>
      <x:c r="D586" t="str">
        <x:v>CUST-4894</x:v>
      </x:c>
      <x:c r="E586" t="str">
        <x:v>Vikram Iyer</x:v>
      </x:c>
      <x:c r="F586" t="str">
        <x:v>Consumer</x:v>
      </x:c>
      <x:c r="G586" t="str">
        <x:v>East</x:v>
      </x:c>
      <x:c r="H586" t="str">
        <x:v>Bihar</x:v>
      </x:c>
      <x:c r="I586" t="str">
        <x:v>Patna</x:v>
      </x:c>
      <x:c r="J586" t="str">
        <x:v>Office Supplies</x:v>
      </x:c>
      <x:c r="K586" t="str">
        <x:v>Art</x:v>
      </x:c>
      <x:c r="L586" t="str">
        <x:v>Pro Art 172</x:v>
      </x:c>
      <x:c r="M586" t="str">
        <x:v>Same Day</x:v>
      </x:c>
      <x:c r="N586" t="n">
        <x:v>1</x:v>
      </x:c>
      <x:c r="O586" s="7" t="n">
        <x:v>984.93</x:v>
      </x:c>
      <x:c r="P586" s="6" t="n">
        <x:v>0.15</x:v>
      </x:c>
      <x:c r="Q586" s="7" t="n">
        <x:v>837.19</x:v>
      </x:c>
      <x:c r="R586" s="7" t="n">
        <x:v>583.79</x:v>
      </x:c>
      <x:c r="S586" s="7" t="n">
        <x:v>253.4</x:v>
      </x:c>
      <x:c r="T586" t="str">
        <x:v>Pending</x:v>
      </x:c>
      <x:c r="U586" t="str">
        <x:v>Returned</x:v>
      </x:c>
      <x:c r="V586" s="6" t="n">
        <x:f>IF(ISBLANK(P586),IF(AND(ISNUMBER(N586),N586&gt;0,ISNUMBER(O586),O586&gt;=0,ISNUMBER(Q586),Q586&gt;=0,ISNUMBER(R586),R586&gt;=0,ISNUMBER(S586)),0,""),P586)</x:f>
        <x:v>0.15</x:v>
      </x:c>
      <x:c r="W586" s="7" t="n">
        <x:f>IF(ISBLANK(V586),"",N586*O586*(1-V586))</x:f>
        <x:v>837.1904999999999</x:v>
      </x:c>
      <x:c r="X586" s="7" t="n">
        <x:f>IF(OR(ISBLANK(W586),ISBLANK(R586)),"",W586-R586)</x:f>
        <x:v>253.40049999999997</x:v>
      </x:c>
      <x:c r="Y586" s="8" t="n">
        <x:f>IF(OR(ISBLANK(W586),W586=0),"",X586/W586)</x:f>
        <x:v>0.302679617124179</x:v>
      </x:c>
      <x:c r="Z586" s="9" t="n">
        <x:f>IF(OR(ISBLANK(B586),ISBLANK(C586)),"",C586-B586)</x:f>
        <x:v>6</x:v>
      </x:c>
      <x:c r="AA586" t="str">
        <x:f>IF(ISBLANK(B586),"",TEXT(B586,"mmm"))</x:f>
        <x:v>Aug</x:v>
      </x:c>
      <x:c r="AB586" s="9" t="n">
        <x:f>IF(ISBLANK(B586),"",YEAR(B586))</x:f>
        <x:v>2024</x:v>
      </x:c>
      <x:c r="AC586" s="10" t="str"/>
      <x:c r="AD586" t="str">
        <x:f>IF(AND(U586="Completed",T586="Paid",ISERROR(SEARCH("INVALID",AC586)),ISERROR(SEARCH("REVIEW",AC586))),"Include","Exclude")</x:f>
        <x:v>Exclude</x:v>
      </x:c>
      <x:c r="AE586" t="str">
        <x:f>IF(T586="Refunded","Refunded","")</x:f>
      </x:c>
    </x:row>
    <x:row r="587">
      <x:c r="A587" t="str">
        <x:v>ORD-2025-10586</x:v>
      </x:c>
      <x:c r="B587" s="5" t="n">
        <x:v>45830</x:v>
      </x:c>
      <x:c r="C587" s="5" t="n">
        <x:v>45833</x:v>
      </x:c>
      <x:c r="D587" t="str">
        <x:v>CUST-5201</x:v>
      </x:c>
      <x:c r="E587" t="str">
        <x:v>Diya Patel</x:v>
      </x:c>
      <x:c r="F587" t="str">
        <x:v>Small Business</x:v>
      </x:c>
      <x:c r="G587" t="str">
        <x:v>West</x:v>
      </x:c>
      <x:c r="H587" t="str">
        <x:v>Maharashtra</x:v>
      </x:c>
      <x:c r="I587" t="str">
        <x:v>Mumbai</x:v>
      </x:c>
      <x:c r="J587" t="str">
        <x:v>Technology</x:v>
      </x:c>
      <x:c r="K587" t="str">
        <x:v>Phones</x:v>
      </x:c>
      <x:c r="L587" t="str">
        <x:v>Prime Phones 744</x:v>
      </x:c>
      <x:c r="M587" t="str">
        <x:v>First Class</x:v>
      </x:c>
      <x:c r="N587" t="n">
        <x:v>8</x:v>
      </x:c>
      <x:c r="O587" s="7" t="n">
        <x:v>3453.66</x:v>
      </x:c>
      <x:c r="P587" s="6" t="n">
        <x:v>0</x:v>
      </x:c>
      <x:c r="Q587" s="7" t="n">
        <x:v>27629.28</x:v>
      </x:c>
      <x:c r="R587" s="7" t="n">
        <x:v>22026.48</x:v>
      </x:c>
      <x:c r="S587" s="7" t="n">
        <x:v>5602.8</x:v>
      </x:c>
      <x:c r="T587" t="str">
        <x:v>Paid</x:v>
      </x:c>
      <x:c r="U587" t="str">
        <x:v>Completed</x:v>
      </x:c>
      <x:c r="V587" s="6" t="n">
        <x:f>IF(ISBLANK(P587),IF(AND(ISNUMBER(N587),N587&gt;0,ISNUMBER(O587),O587&gt;=0,ISNUMBER(Q587),Q587&gt;=0,ISNUMBER(R587),R587&gt;=0,ISNUMBER(S587)),0,""),P587)</x:f>
        <x:v>0</x:v>
      </x:c>
      <x:c r="W587" s="7" t="n">
        <x:f>IF(ISBLANK(V587),"",N587*O587*(1-V587))</x:f>
        <x:v>27629.28</x:v>
      </x:c>
      <x:c r="X587" s="7" t="n">
        <x:f>IF(OR(ISBLANK(W587),ISBLANK(R587)),"",W587-R587)</x:f>
        <x:v>5602.799999999999</x:v>
      </x:c>
      <x:c r="Y587" s="8" t="n">
        <x:f>IF(OR(ISBLANK(W587),W587=0),"",X587/W587)</x:f>
        <x:v>0.20278487170132553</x:v>
      </x:c>
      <x:c r="Z587" s="9" t="n">
        <x:f>IF(OR(ISBLANK(B587),ISBLANK(C587)),"",C587-B587)</x:f>
        <x:v>3</x:v>
      </x:c>
      <x:c r="AA587" t="str">
        <x:f>IF(ISBLANK(B587),"",TEXT(B587,"mmm"))</x:f>
        <x:v>Jun</x:v>
      </x:c>
      <x:c r="AB587" s="9" t="n">
        <x:f>IF(ISBLANK(B587),"",YEAR(B587))</x:f>
        <x:v>2025</x:v>
      </x:c>
      <x:c r="AC587" s="10" t="str"/>
      <x:c r="AD587" t="str">
        <x:f>IF(AND(U587="Completed",T587="Paid",ISERROR(SEARCH("INVALID",AC587)),ISERROR(SEARCH("REVIEW",AC587))),"Include","Exclude")</x:f>
        <x:v>Include</x:v>
      </x:c>
      <x:c r="AE587" t="str">
        <x:f>IF(T587="Refunded","Refunded","")</x:f>
      </x:c>
    </x:row>
    <x:row r="588">
      <x:c r="A588" t="str">
        <x:v>ORD-2025-10587</x:v>
      </x:c>
      <x:c r="B588" s="5" t="n">
        <x:v>45759</x:v>
      </x:c>
      <x:c r="C588" s="5" t="n">
        <x:v>45759</x:v>
      </x:c>
      <x:c r="D588" t="str">
        <x:v>CUST-8626</x:v>
      </x:c>
      <x:c r="E588" t="str">
        <x:v>Mira Das</x:v>
      </x:c>
      <x:c r="F588" t="str">
        <x:v>Home Office</x:v>
      </x:c>
      <x:c r="G588" t="str">
        <x:v>North</x:v>
      </x:c>
      <x:c r="H588" t="str">
        <x:v>Punjab</x:v>
      </x:c>
      <x:c r="I588" t="str">
        <x:v>Ludhiana</x:v>
      </x:c>
      <x:c r="J588" t="str">
        <x:v>Office Supplies</x:v>
      </x:c>
      <x:c r="K588" t="str">
        <x:v>Binders</x:v>
      </x:c>
      <x:c r="L588" t="str">
        <x:v>Prime Binders 249</x:v>
      </x:c>
      <x:c r="M588" t="str">
        <x:v>Second Class</x:v>
      </x:c>
      <x:c r="N588" t="n">
        <x:v>7</x:v>
      </x:c>
      <x:c r="O588" s="7" t="n">
        <x:v>1334.2</x:v>
      </x:c>
      <x:c r="P588" s="6" t="n">
        <x:v>0.2</x:v>
      </x:c>
      <x:c r="Q588" s="7" t="n">
        <x:v>7471.52</x:v>
      </x:c>
      <x:c r="R588" s="7" t="n">
        <x:v>6184.32</x:v>
      </x:c>
      <x:c r="S588" s="7" t="n">
        <x:v>1287.2</x:v>
      </x:c>
      <x:c r="T588" t="str">
        <x:v>Paid</x:v>
      </x:c>
      <x:c r="U588" t="str">
        <x:v>Completed</x:v>
      </x:c>
      <x:c r="V588" s="6" t="n">
        <x:f>IF(ISBLANK(P588),IF(AND(ISNUMBER(N588),N588&gt;0,ISNUMBER(O588),O588&gt;=0,ISNUMBER(Q588),Q588&gt;=0,ISNUMBER(R588),R588&gt;=0,ISNUMBER(S588)),0,""),P588)</x:f>
        <x:v>0.2</x:v>
      </x:c>
      <x:c r="W588" s="7" t="n">
        <x:f>IF(ISBLANK(V588),"",N588*O588*(1-V588))</x:f>
        <x:v>7471.52</x:v>
      </x:c>
      <x:c r="X588" s="7" t="n">
        <x:f>IF(OR(ISBLANK(W588),ISBLANK(R588)),"",W588-R588)</x:f>
        <x:v>1287.2000000000007</x:v>
      </x:c>
      <x:c r="Y588" s="8" t="n">
        <x:f>IF(OR(ISBLANK(W588),W588=0),"",X588/W588)</x:f>
        <x:v>0.17228087457438387</x:v>
      </x:c>
      <x:c r="Z588" s="9" t="n">
        <x:f>IF(OR(ISBLANK(B588),ISBLANK(C588)),"",C588-B588)</x:f>
        <x:v>0</x:v>
      </x:c>
      <x:c r="AA588" t="str">
        <x:f>IF(ISBLANK(B588),"",TEXT(B588,"mmm"))</x:f>
        <x:v>Apr</x:v>
      </x:c>
      <x:c r="AB588" s="9" t="n">
        <x:f>IF(ISBLANK(B588),"",YEAR(B588))</x:f>
        <x:v>2025</x:v>
      </x:c>
      <x:c r="AC588" s="10" t="str"/>
      <x:c r="AD588" t="str">
        <x:f>IF(AND(U588="Completed",T588="Paid",ISERROR(SEARCH("INVALID",AC588)),ISERROR(SEARCH("REVIEW",AC588))),"Include","Exclude")</x:f>
        <x:v>Include</x:v>
      </x:c>
      <x:c r="AE588" t="str">
        <x:f>IF(T588="Refunded","Refunded","")</x:f>
      </x:c>
    </x:row>
    <x:row r="589">
      <x:c r="A589" t="str">
        <x:v>ORD-2025-10588</x:v>
      </x:c>
      <x:c r="B589" s="5" t="n">
        <x:v>45861</x:v>
      </x:c>
      <x:c r="C589" s="5" t="n">
        <x:v>45869</x:v>
      </x:c>
      <x:c r="D589" t="str">
        <x:v>CUST-1013</x:v>
      </x:c>
      <x:c r="E589" t="str">
        <x:v>Kabir Singh</x:v>
      </x:c>
      <x:c r="F589" t="str">
        <x:v>Home Office</x:v>
      </x:c>
      <x:c r="G589" t="str">
        <x:v>West</x:v>
      </x:c>
      <x:c r="H589" t="str">
        <x:v>Madhya Pradesh</x:v>
      </x:c>
      <x:c r="I589" t="str">
        <x:v>Indore</x:v>
      </x:c>
      <x:c r="J589" t="str">
        <x:v>Technology</x:v>
      </x:c>
      <x:c r="K589" t="str">
        <x:v>Accessories</x:v>
      </x:c>
      <x:c r="L589" t="str">
        <x:v>Eco Accessories 948</x:v>
      </x:c>
      <x:c r="M589" t="str">
        <x:v>First Class</x:v>
      </x:c>
      <x:c r="N589" t="n">
        <x:v>1</x:v>
      </x:c>
      <x:c r="O589" s="7" t="n">
        <x:v>4253.84</x:v>
      </x:c>
      <x:c r="P589" s="6" t="n">
        <x:v>0.15</x:v>
      </x:c>
      <x:c r="Q589" s="7" t="n">
        <x:v>3615.76</x:v>
      </x:c>
      <x:c r="R589" s="7" t="n">
        <x:v>2951.52</x:v>
      </x:c>
      <x:c r="S589" s="7" t="n">
        <x:v>664.24</x:v>
      </x:c>
      <x:c r="T589" t="str">
        <x:v>Refunded</x:v>
      </x:c>
      <x:c r="U589" t="str">
        <x:v>Cancelled</x:v>
      </x:c>
      <x:c r="V589" s="6" t="n">
        <x:f>IF(ISBLANK(P589),IF(AND(ISNUMBER(N589),N589&gt;0,ISNUMBER(O589),O589&gt;=0,ISNUMBER(Q589),Q589&gt;=0,ISNUMBER(R589),R589&gt;=0,ISNUMBER(S589)),0,""),P589)</x:f>
        <x:v>0.15</x:v>
      </x:c>
      <x:c r="W589" s="7" t="n">
        <x:f>IF(ISBLANK(V589),"",N589*O589*(1-V589))</x:f>
        <x:v>3615.764</x:v>
      </x:c>
      <x:c r="X589" s="7" t="n">
        <x:f>IF(OR(ISBLANK(W589),ISBLANK(R589)),"",W589-R589)</x:f>
        <x:v>664.2440000000001</x:v>
      </x:c>
      <x:c r="Y589" s="8" t="n">
        <x:f>IF(OR(ISBLANK(W589),W589=0),"",X589/W589)</x:f>
        <x:v>0.18370778623826114</x:v>
      </x:c>
      <x:c r="Z589" s="9" t="n">
        <x:f>IF(OR(ISBLANK(B589),ISBLANK(C589)),"",C589-B589)</x:f>
        <x:v>8</x:v>
      </x:c>
      <x:c r="AA589" t="str">
        <x:f>IF(ISBLANK(B589),"",TEXT(B589,"mmm"))</x:f>
        <x:v>Jul</x:v>
      </x:c>
      <x:c r="AB589" s="9" t="n">
        <x:f>IF(ISBLANK(B589),"",YEAR(B589))</x:f>
        <x:v>2025</x:v>
      </x:c>
      <x:c r="AC589" s="10" t="str">
        <x:v>EXCLUDE: Cancelled order; REFUND: Summarize separately</x:v>
      </x:c>
      <x:c r="AD589" t="str">
        <x:f>IF(AND(U589="Completed",T589="Paid",ISERROR(SEARCH("INVALID",AC589)),ISERROR(SEARCH("REVIEW",AC589))),"Include","Exclude")</x:f>
        <x:v>Exclude</x:v>
      </x:c>
      <x:c r="AE589" t="str">
        <x:f>IF(T589="Refunded","Refunded","")</x:f>
        <x:v>Refunded</x:v>
      </x:c>
    </x:row>
    <x:row r="590">
      <x:c r="A590" t="str">
        <x:v>ORD-2025-10589</x:v>
      </x:c>
      <x:c r="B590" s="5" t="n">
        <x:v>45727</x:v>
      </x:c>
      <x:c r="C590" s="5" t="n">
        <x:v>45731</x:v>
      </x:c>
      <x:c r="D590" t="str">
        <x:v>CUST-3601</x:v>
      </x:c>
      <x:c r="E590" t="str">
        <x:v>Aarav Sharma</x:v>
      </x:c>
      <x:c r="F590" t="str">
        <x:v>Home Office</x:v>
      </x:c>
      <x:c r="G590" t="str">
        <x:v>South</x:v>
      </x:c>
      <x:c r="H590" t="str">
        <x:v>Karnataka</x:v>
      </x:c>
      <x:c r="I590" t="str">
        <x:v>Bengaluru</x:v>
      </x:c>
      <x:c r="J590" t="str">
        <x:v>Technology</x:v>
      </x:c>
      <x:c r="K590" t="str">
        <x:v>Accessories</x:v>
      </x:c>
      <x:c r="L590" t="str">
        <x:v>Classic Accessories 458</x:v>
      </x:c>
      <x:c r="M590" t="str">
        <x:v>Second Class</x:v>
      </x:c>
      <x:c r="N590" t="n">
        <x:v>8</x:v>
      </x:c>
      <x:c r="O590" s="7" t="n">
        <x:v>4446.36</x:v>
      </x:c>
      <x:c r="P590" s="6" t="n">
        <x:v>0.1</x:v>
      </x:c>
      <x:c r="Q590" s="7" t="n">
        <x:v>32013.79</x:v>
      </x:c>
      <x:c r="R590" s="7" t="n">
        <x:v>20896.88</x:v>
      </x:c>
      <x:c r="S590" s="7" t="n">
        <x:v>11116.91</x:v>
      </x:c>
      <x:c r="T590" t="str">
        <x:v>Refunded</x:v>
      </x:c>
      <x:c r="U590" t="str">
        <x:v>Cancelled</x:v>
      </x:c>
      <x:c r="V590" s="6" t="n">
        <x:f>IF(ISBLANK(P590),IF(AND(ISNUMBER(N590),N590&gt;0,ISNUMBER(O590),O590&gt;=0,ISNUMBER(Q590),Q590&gt;=0,ISNUMBER(R590),R590&gt;=0,ISNUMBER(S590)),0,""),P590)</x:f>
        <x:v>0.1</x:v>
      </x:c>
      <x:c r="W590" s="7" t="n">
        <x:f>IF(ISBLANK(V590),"",N590*O590*(1-V590))</x:f>
        <x:v>32013.791999999998</x:v>
      </x:c>
      <x:c r="X590" s="7" t="n">
        <x:f>IF(OR(ISBLANK(W590),ISBLANK(R590)),"",W590-R590)</x:f>
        <x:v>11116.911999999997</x:v>
      </x:c>
      <x:c r="Y590" s="8" t="n">
        <x:f>IF(OR(ISBLANK(W590),W590=0),"",X590/W590)</x:f>
        <x:v>0.34725383359771933</x:v>
      </x:c>
      <x:c r="Z590" s="9" t="n">
        <x:f>IF(OR(ISBLANK(B590),ISBLANK(C590)),"",C590-B590)</x:f>
        <x:v>4</x:v>
      </x:c>
      <x:c r="AA590" t="str">
        <x:f>IF(ISBLANK(B590),"",TEXT(B590,"mmm"))</x:f>
        <x:v>Mar</x:v>
      </x:c>
      <x:c r="AB590" s="9" t="n">
        <x:f>IF(ISBLANK(B590),"",YEAR(B590))</x:f>
        <x:v>2025</x:v>
      </x:c>
      <x:c r="AC590" s="10" t="str">
        <x:v>EXCLUDE: Cancelled order; REFUND: Summarize separately</x:v>
      </x:c>
      <x:c r="AD590" t="str">
        <x:f>IF(AND(U590="Completed",T590="Paid",ISERROR(SEARCH("INVALID",AC590)),ISERROR(SEARCH("REVIEW",AC590))),"Include","Exclude")</x:f>
        <x:v>Exclude</x:v>
      </x:c>
      <x:c r="AE590" t="str">
        <x:f>IF(T590="Refunded","Refunded","")</x:f>
        <x:v>Refunded</x:v>
      </x:c>
    </x:row>
    <x:row r="591">
      <x:c r="A591" t="str">
        <x:v>ORD-2024-10590</x:v>
      </x:c>
      <x:c r="B591" s="5" t="n">
        <x:v>45632</x:v>
      </x:c>
      <x:c r="C591" s="5" t="n">
        <x:v>45638</x:v>
      </x:c>
      <x:c r="D591" t="str">
        <x:v>CUST-7846</x:v>
      </x:c>
      <x:c r="E591" t="str">
        <x:v>Rohan Mehta</x:v>
      </x:c>
      <x:c r="F591" t="str">
        <x:v>Corporate</x:v>
      </x:c>
      <x:c r="G591" t="str">
        <x:v>North</x:v>
      </x:c>
      <x:c r="H591" t="str">
        <x:v>Uttar Pradesh</x:v>
      </x:c>
      <x:c r="I591" t="str">
        <x:v>Noida</x:v>
      </x:c>
      <x:c r="J591" t="str">
        <x:v>Technology</x:v>
      </x:c>
      <x:c r="K591" t="str">
        <x:v>Phones</x:v>
      </x:c>
      <x:c r="L591" t="str">
        <x:v>Max Phones 318</x:v>
      </x:c>
      <x:c r="M591" t="str">
        <x:v>First Class</x:v>
      </x:c>
      <x:c r="N591" t="n">
        <x:v>3</x:v>
      </x:c>
      <x:c r="O591" s="7" t="n">
        <x:v>524.75</x:v>
      </x:c>
      <x:c r="P591" s="6" t="n">
        <x:v>0</x:v>
      </x:c>
      <x:c r="Q591" s="7" t="n">
        <x:v>1574.25</x:v>
      </x:c>
      <x:c r="R591" s="7" t="n">
        <x:v>1326.12</x:v>
      </x:c>
      <x:c r="S591" s="7" t="n">
        <x:v>248.13</x:v>
      </x:c>
      <x:c r="T591" t="str">
        <x:v>Paid</x:v>
      </x:c>
      <x:c r="U591" t="str">
        <x:v>Completed</x:v>
      </x:c>
      <x:c r="V591" s="6" t="n">
        <x:f>IF(ISBLANK(P591),IF(AND(ISNUMBER(N591),N591&gt;0,ISNUMBER(O591),O591&gt;=0,ISNUMBER(Q591),Q591&gt;=0,ISNUMBER(R591),R591&gt;=0,ISNUMBER(S591)),0,""),P591)</x:f>
        <x:v>0</x:v>
      </x:c>
      <x:c r="W591" s="7" t="n">
        <x:f>IF(ISBLANK(V591),"",N591*O591*(1-V591))</x:f>
        <x:v>1574.25</x:v>
      </x:c>
      <x:c r="X591" s="7" t="n">
        <x:f>IF(OR(ISBLANK(W591),ISBLANK(R591)),"",W591-R591)</x:f>
        <x:v>248.1300000000001</x:v>
      </x:c>
      <x:c r="Y591" s="8" t="n">
        <x:f>IF(OR(ISBLANK(W591),W591=0),"",X591/W591)</x:f>
        <x:v>0.1576179132920439</x:v>
      </x:c>
      <x:c r="Z591" s="9" t="n">
        <x:f>IF(OR(ISBLANK(B591),ISBLANK(C591)),"",C591-B591)</x:f>
        <x:v>6</x:v>
      </x:c>
      <x:c r="AA591" t="str">
        <x:f>IF(ISBLANK(B591),"",TEXT(B591,"mmm"))</x:f>
        <x:v>Dec</x:v>
      </x:c>
      <x:c r="AB591" s="9" t="n">
        <x:f>IF(ISBLANK(B591),"",YEAR(B591))</x:f>
        <x:v>2024</x:v>
      </x:c>
      <x:c r="AC591" s="10" t="str"/>
      <x:c r="AD591" t="str">
        <x:f>IF(AND(U591="Completed",T591="Paid",ISERROR(SEARCH("INVALID",AC591)),ISERROR(SEARCH("REVIEW",AC591))),"Include","Exclude")</x:f>
        <x:v>Include</x:v>
      </x:c>
      <x:c r="AE591" t="str">
        <x:f>IF(T591="Refunded","Refunded","")</x:f>
      </x:c>
    </x:row>
    <x:row r="592">
      <x:c r="A592" t="str">
        <x:v>ORD-2024-10591</x:v>
      </x:c>
      <x:c r="B592" s="5" t="n">
        <x:v>45441</x:v>
      </x:c>
      <x:c r="C592" s="5" t="n">
        <x:v>45441</x:v>
      </x:c>
      <x:c r="D592" t="str">
        <x:v>CUST-3433</x:v>
      </x:c>
      <x:c r="E592" t="str">
        <x:v>Aarav Sharma</x:v>
      </x:c>
      <x:c r="F592" t="str">
        <x:v>Home Office</x:v>
      </x:c>
      <x:c r="G592" t="str">
        <x:v>North</x:v>
      </x:c>
      <x:c r="H592" t="str">
        <x:v>Delhi</x:v>
      </x:c>
      <x:c r="I592" t="str">
        <x:v>New Delhi</x:v>
      </x:c>
      <x:c r="J592" t="str">
        <x:v>Furniture</x:v>
      </x:c>
      <x:c r="K592" t="str">
        <x:v>Chairs</x:v>
      </x:c>
      <x:c r="L592" t="str">
        <x:v>Elite Chairs 372</x:v>
      </x:c>
      <x:c r="M592" t="str">
        <x:v>Same Day</x:v>
      </x:c>
      <x:c r="N592" t="n">
        <x:v>6</x:v>
      </x:c>
      <x:c r="O592" s="7" t="n">
        <x:v>3430.35</x:v>
      </x:c>
      <x:c r="P592" s="6" t="n">
        <x:v>0</x:v>
      </x:c>
      <x:c r="Q592" s="7" t="n">
        <x:v>20582.1</x:v>
      </x:c>
      <x:c r="R592" s="7" t="n">
        <x:v>15897.65</x:v>
      </x:c>
      <x:c r="S592" s="7" t="n">
        <x:v>4684.45</x:v>
      </x:c>
      <x:c r="T592" t="str">
        <x:v>Pending</x:v>
      </x:c>
      <x:c r="U592" t="str">
        <x:v>Cancelled</x:v>
      </x:c>
      <x:c r="V592" s="6" t="n">
        <x:f>IF(ISBLANK(P592),IF(AND(ISNUMBER(N592),N592&gt;0,ISNUMBER(O592),O592&gt;=0,ISNUMBER(Q592),Q592&gt;=0,ISNUMBER(R592),R592&gt;=0,ISNUMBER(S592)),0,""),P592)</x:f>
        <x:v>0</x:v>
      </x:c>
      <x:c r="W592" s="7" t="n">
        <x:f>IF(ISBLANK(V592),"",N592*O592*(1-V592))</x:f>
        <x:v>20582.1</x:v>
      </x:c>
      <x:c r="X592" s="7" t="n">
        <x:f>IF(OR(ISBLANK(W592),ISBLANK(R592)),"",W592-R592)</x:f>
        <x:v>4684.449999999999</x:v>
      </x:c>
      <x:c r="Y592" s="8" t="n">
        <x:f>IF(OR(ISBLANK(W592),W592=0),"",X592/W592)</x:f>
        <x:v>0.22759825285077806</x:v>
      </x:c>
      <x:c r="Z592" s="9" t="n">
        <x:f>IF(OR(ISBLANK(B592),ISBLANK(C592)),"",C592-B592)</x:f>
        <x:v>0</x:v>
      </x:c>
      <x:c r="AA592" t="str">
        <x:f>IF(ISBLANK(B592),"",TEXT(B592,"mmm"))</x:f>
        <x:v>May</x:v>
      </x:c>
      <x:c r="AB592" s="9" t="n">
        <x:f>IF(ISBLANK(B592),"",YEAR(B592))</x:f>
        <x:v>2024</x:v>
      </x:c>
      <x:c r="AC592" s="10" t="str">
        <x:v>EXCLUDE: Cancelled order</x:v>
      </x:c>
      <x:c r="AD592" t="str">
        <x:f>IF(AND(U592="Completed",T592="Paid",ISERROR(SEARCH("INVALID",AC592)),ISERROR(SEARCH("REVIEW",AC592))),"Include","Exclude")</x:f>
        <x:v>Exclude</x:v>
      </x:c>
      <x:c r="AE592" t="str">
        <x:f>IF(T592="Refunded","Refunded","")</x:f>
      </x:c>
    </x:row>
    <x:row r="593">
      <x:c r="A593" t="str">
        <x:v>ORD-2024-10592</x:v>
      </x:c>
      <x:c r="B593" s="5" t="n">
        <x:v>45344</x:v>
      </x:c>
      <x:c r="C593" s="5" t="n">
        <x:v>45346</x:v>
      </x:c>
      <x:c r="D593" t="str">
        <x:v>CUST-2423</x:v>
      </x:c>
      <x:c r="E593" t="str">
        <x:v>Sneha Kapoor</x:v>
      </x:c>
      <x:c r="F593" t="str">
        <x:v>Consumer</x:v>
      </x:c>
      <x:c r="G593" t="str">
        <x:v>South</x:v>
      </x:c>
      <x:c r="H593" t="str">
        <x:v>Karnataka</x:v>
      </x:c>
      <x:c r="I593" t="str">
        <x:v>Bengaluru</x:v>
      </x:c>
      <x:c r="J593" t="str">
        <x:v>Technology</x:v>
      </x:c>
      <x:c r="K593" t="str">
        <x:v>Copiers</x:v>
      </x:c>
      <x:c r="L593" t="str">
        <x:v>Eco Copiers 324</x:v>
      </x:c>
      <x:c r="M593" t="str">
        <x:v>First Class</x:v>
      </x:c>
      <x:c r="N593" t="n">
        <x:v>3</x:v>
      </x:c>
      <x:c r="O593" s="7" t="n">
        <x:v>3545.08</x:v>
      </x:c>
      <x:c r="P593" s="6" t="n">
        <x:v>0</x:v>
      </x:c>
      <x:c r="Q593" s="7" t="n">
        <x:v>10635.24</x:v>
      </x:c>
      <x:c r="R593" s="7" t="n">
        <x:v>6031.88</x:v>
      </x:c>
      <x:c r="S593" s="7" t="n">
        <x:v>4603.36</x:v>
      </x:c>
      <x:c r="T593" t="str">
        <x:v>Failed</x:v>
      </x:c>
      <x:c r="U593" t="str">
        <x:v>Returned</x:v>
      </x:c>
      <x:c r="V593" s="6" t="n">
        <x:f>IF(ISBLANK(P593),IF(AND(ISNUMBER(N593),N593&gt;0,ISNUMBER(O593),O593&gt;=0,ISNUMBER(Q593),Q593&gt;=0,ISNUMBER(R593),R593&gt;=0,ISNUMBER(S593)),0,""),P593)</x:f>
        <x:v>0</x:v>
      </x:c>
      <x:c r="W593" s="7" t="n">
        <x:f>IF(ISBLANK(V593),"",N593*O593*(1-V593))</x:f>
        <x:v>10635.24</x:v>
      </x:c>
      <x:c r="X593" s="7" t="n">
        <x:f>IF(OR(ISBLANK(W593),ISBLANK(R593)),"",W593-R593)</x:f>
        <x:v>4603.36</x:v>
      </x:c>
      <x:c r="Y593" s="8" t="n">
        <x:f>IF(OR(ISBLANK(W593),W593=0),"",X593/W593)</x:f>
        <x:v>0.43284025560307055</x:v>
      </x:c>
      <x:c r="Z593" s="9" t="n">
        <x:f>IF(OR(ISBLANK(B593),ISBLANK(C593)),"",C593-B593)</x:f>
        <x:v>2</x:v>
      </x:c>
      <x:c r="AA593" t="str">
        <x:f>IF(ISBLANK(B593),"",TEXT(B593,"mmm"))</x:f>
        <x:v>Feb</x:v>
      </x:c>
      <x:c r="AB593" s="9" t="n">
        <x:f>IF(ISBLANK(B593),"",YEAR(B593))</x:f>
        <x:v>2024</x:v>
      </x:c>
      <x:c r="AC593" s="10" t="str">
        <x:v>EXCLUDE: Failed payment</x:v>
      </x:c>
      <x:c r="AD593" t="str">
        <x:f>IF(AND(U593="Completed",T593="Paid",ISERROR(SEARCH("INVALID",AC593)),ISERROR(SEARCH("REVIEW",AC593))),"Include","Exclude")</x:f>
        <x:v>Exclude</x:v>
      </x:c>
      <x:c r="AE593" t="str">
        <x:f>IF(T593="Refunded","Refunded","")</x:f>
      </x:c>
    </x:row>
    <x:row r="594">
      <x:c r="A594" t="str">
        <x:v>ORD-2024-10593</x:v>
      </x:c>
      <x:c r="B594" s="5" t="n">
        <x:v>45355</x:v>
      </x:c>
      <x:c r="C594" s="5" t="n">
        <x:v>45360</x:v>
      </x:c>
      <x:c r="D594" t="str">
        <x:v>CUST-3559</x:v>
      </x:c>
      <x:c r="E594" t="str">
        <x:v>Mira Das</x:v>
      </x:c>
      <x:c r="F594" t="str">
        <x:v>Consumer</x:v>
      </x:c>
      <x:c r="G594" t="str">
        <x:v>East</x:v>
      </x:c>
      <x:c r="H594" t="str">
        <x:v>West Bengal</x:v>
      </x:c>
      <x:c r="I594" t="str">
        <x:v>Kolkata</x:v>
      </x:c>
      <x:c r="J594" t="str">
        <x:v>Technology</x:v>
      </x:c>
      <x:c r="K594" t="str">
        <x:v>Accessories</x:v>
      </x:c>
      <x:c r="L594" t="str">
        <x:v>Classic Accessories 131</x:v>
      </x:c>
      <x:c r="M594" t="str">
        <x:v>Same Day</x:v>
      </x:c>
      <x:c r="N594" t="n">
        <x:v>8</x:v>
      </x:c>
      <x:c r="O594" s="7" t="n">
        <x:v>4401.41</x:v>
      </x:c>
      <x:c r="P594" s="6" t="n">
        <x:v>0.15</x:v>
      </x:c>
      <x:c r="Q594" s="7" t="n">
        <x:v>29929.59</x:v>
      </x:c>
      <x:c r="R594" s="7" t="n">
        <x:v>22436.03</x:v>
      </x:c>
      <x:c r="S594" s="7" t="n">
        <x:v>7493.56</x:v>
      </x:c>
      <x:c r="T594" t="str">
        <x:v>Paid</x:v>
      </x:c>
      <x:c r="U594" t="str">
        <x:v>Completed</x:v>
      </x:c>
      <x:c r="V594" s="6" t="n">
        <x:f>IF(ISBLANK(P594),IF(AND(ISNUMBER(N594),N594&gt;0,ISNUMBER(O594),O594&gt;=0,ISNUMBER(Q594),Q594&gt;=0,ISNUMBER(R594),R594&gt;=0,ISNUMBER(S594)),0,""),P594)</x:f>
        <x:v>0.15</x:v>
      </x:c>
      <x:c r="W594" s="7" t="n">
        <x:f>IF(ISBLANK(V594),"",N594*O594*(1-V594))</x:f>
        <x:v>29929.588</x:v>
      </x:c>
      <x:c r="X594" s="7" t="n">
        <x:f>IF(OR(ISBLANK(W594),ISBLANK(R594)),"",W594-R594)</x:f>
        <x:v>7493.558000000001</x:v>
      </x:c>
      <x:c r="Y594" s="8" t="n">
        <x:f>IF(OR(ISBLANK(W594),W594=0),"",X594/W594)</x:f>
        <x:v>0.2503729085746186</x:v>
      </x:c>
      <x:c r="Z594" s="9" t="n">
        <x:f>IF(OR(ISBLANK(B594),ISBLANK(C594)),"",C594-B594)</x:f>
        <x:v>5</x:v>
      </x:c>
      <x:c r="AA594" t="str">
        <x:f>IF(ISBLANK(B594),"",TEXT(B594,"mmm"))</x:f>
        <x:v>Mar</x:v>
      </x:c>
      <x:c r="AB594" s="9" t="n">
        <x:f>IF(ISBLANK(B594),"",YEAR(B594))</x:f>
        <x:v>2024</x:v>
      </x:c>
      <x:c r="AC594" s="10" t="str"/>
      <x:c r="AD594" t="str">
        <x:f>IF(AND(U594="Completed",T594="Paid",ISERROR(SEARCH("INVALID",AC594)),ISERROR(SEARCH("REVIEW",AC594))),"Include","Exclude")</x:f>
        <x:v>Include</x:v>
      </x:c>
      <x:c r="AE594" t="str">
        <x:f>IF(T594="Refunded","Refunded","")</x:f>
      </x:c>
    </x:row>
    <x:row r="595">
      <x:c r="A595" t="str">
        <x:v>ORD-2025-10594</x:v>
      </x:c>
      <x:c r="B595" s="5" t="n">
        <x:v>45927</x:v>
      </x:c>
      <x:c r="C595" s="5" t="n">
        <x:v>45929</x:v>
      </x:c>
      <x:c r="D595" t="str">
        <x:v>CUST-2917</x:v>
      </x:c>
      <x:c r="E595" t="str">
        <x:v>Arjun Bose</x:v>
      </x:c>
      <x:c r="F595" t="str">
        <x:v>Home Office</x:v>
      </x:c>
      <x:c r="G595" t="str">
        <x:v>North</x:v>
      </x:c>
      <x:c r="H595" t="str">
        <x:v>Uttar Pradesh</x:v>
      </x:c>
      <x:c r="I595" t="str">
        <x:v>Noida</x:v>
      </x:c>
      <x:c r="J595" t="str">
        <x:v>Furniture</x:v>
      </x:c>
      <x:c r="K595" t="str">
        <x:v>Tables</x:v>
      </x:c>
      <x:c r="L595" t="str">
        <x:v>Eco Tables 550</x:v>
      </x:c>
      <x:c r="M595" t="str">
        <x:v>Second Class</x:v>
      </x:c>
      <x:c r="N595" t="n">
        <x:v>9</x:v>
      </x:c>
      <x:c r="O595" s="7" t="n">
        <x:v>4100.11</x:v>
      </x:c>
      <x:c r="P595" s="6" t="n">
        <x:v>0.25</x:v>
      </x:c>
      <x:c r="Q595" s="7" t="n">
        <x:v>27675.74</x:v>
      </x:c>
      <x:c r="R595" s="7" t="n">
        <x:v>15571.08</x:v>
      </x:c>
      <x:c r="S595" s="7" t="n">
        <x:v>12104.66</x:v>
      </x:c>
      <x:c r="T595" t="str">
        <x:v>Paid</x:v>
      </x:c>
      <x:c r="U595" t="str">
        <x:v>Completed</x:v>
      </x:c>
      <x:c r="V595" s="6" t="n">
        <x:f>IF(ISBLANK(P595),IF(AND(ISNUMBER(N595),N595&gt;0,ISNUMBER(O595),O595&gt;=0,ISNUMBER(Q595),Q595&gt;=0,ISNUMBER(R595),R595&gt;=0,ISNUMBER(S595)),0,""),P595)</x:f>
        <x:v>0.25</x:v>
      </x:c>
      <x:c r="W595" s="7" t="n">
        <x:f>IF(ISBLANK(V595),"",N595*O595*(1-V595))</x:f>
        <x:v>27675.7425</x:v>
      </x:c>
      <x:c r="X595" s="7" t="n">
        <x:f>IF(OR(ISBLANK(W595),ISBLANK(R595)),"",W595-R595)</x:f>
        <x:v>12104.6625</x:v>
      </x:c>
      <x:c r="Y595" s="8" t="n">
        <x:f>IF(OR(ISBLANK(W595),W595=0),"",X595/W595)</x:f>
        <x:v>0.4373744444254748</x:v>
      </x:c>
      <x:c r="Z595" s="9" t="n">
        <x:f>IF(OR(ISBLANK(B595),ISBLANK(C595)),"",C595-B595)</x:f>
        <x:v>2</x:v>
      </x:c>
      <x:c r="AA595" t="str">
        <x:f>IF(ISBLANK(B595),"",TEXT(B595,"mmm"))</x:f>
        <x:v>Sep</x:v>
      </x:c>
      <x:c r="AB595" s="9" t="n">
        <x:f>IF(ISBLANK(B595),"",YEAR(B595))</x:f>
        <x:v>2025</x:v>
      </x:c>
      <x:c r="AC595" s="10" t="str"/>
      <x:c r="AD595" t="str">
        <x:f>IF(AND(U595="Completed",T595="Paid",ISERROR(SEARCH("INVALID",AC595)),ISERROR(SEARCH("REVIEW",AC595))),"Include","Exclude")</x:f>
        <x:v>Include</x:v>
      </x:c>
      <x:c r="AE595" t="str">
        <x:f>IF(T595="Refunded","Refunded","")</x:f>
      </x:c>
    </x:row>
    <x:row r="596">
      <x:c r="A596" t="str">
        <x:v>ORD-2024-10595</x:v>
      </x:c>
      <x:c r="B596" s="5" t="n">
        <x:v>45554</x:v>
      </x:c>
      <x:c r="C596" s="5" t="n">
        <x:v>45556</x:v>
      </x:c>
      <x:c r="D596" t="str">
        <x:v>CUST-6850</x:v>
      </x:c>
      <x:c r="E596" t="str">
        <x:v>Karan Malhotra</x:v>
      </x:c>
      <x:c r="F596" t="str">
        <x:v>Small Business</x:v>
      </x:c>
      <x:c r="G596" t="str">
        <x:v>East</x:v>
      </x:c>
      <x:c r="H596" t="str">
        <x:v>West Bengal</x:v>
      </x:c>
      <x:c r="I596" t="str">
        <x:v>Kolkata</x:v>
      </x:c>
      <x:c r="J596" t="str">
        <x:v>Furniture</x:v>
      </x:c>
      <x:c r="K596" t="str">
        <x:v>Chairs</x:v>
      </x:c>
      <x:c r="L596" t="str">
        <x:v>Basic Chairs 932</x:v>
      </x:c>
      <x:c r="M596" t="str">
        <x:v>First Class</x:v>
      </x:c>
      <x:c r="N596" t="n">
        <x:v>3</x:v>
      </x:c>
      <x:c r="O596" s="7" t="n">
        <x:v>3981.76</x:v>
      </x:c>
      <x:c r="P596" s="6" t="n">
        <x:v>0</x:v>
      </x:c>
      <x:c r="Q596" s="7" t="n">
        <x:v>11945.28</x:v>
      </x:c>
      <x:c r="R596" s="7" t="n">
        <x:v>9700.31</x:v>
      </x:c>
      <x:c r="S596" s="7" t="n">
        <x:v>2244.97</x:v>
      </x:c>
      <x:c r="T596" t="str">
        <x:v>Paid</x:v>
      </x:c>
      <x:c r="U596" t="str">
        <x:v>Completed</x:v>
      </x:c>
      <x:c r="V596" s="6" t="n">
        <x:f>IF(ISBLANK(P596),IF(AND(ISNUMBER(N596),N596&gt;0,ISNUMBER(O596),O596&gt;=0,ISNUMBER(Q596),Q596&gt;=0,ISNUMBER(R596),R596&gt;=0,ISNUMBER(S596)),0,""),P596)</x:f>
        <x:v>0</x:v>
      </x:c>
      <x:c r="W596" s="7" t="n">
        <x:f>IF(ISBLANK(V596),"",N596*O596*(1-V596))</x:f>
        <x:v>11945.28</x:v>
      </x:c>
      <x:c r="X596" s="7" t="n">
        <x:f>IF(OR(ISBLANK(W596),ISBLANK(R596)),"",W596-R596)</x:f>
        <x:v>2244.970000000001</x:v>
      </x:c>
      <x:c r="Y596" s="8" t="n">
        <x:f>IF(OR(ISBLANK(W596),W596=0),"",X596/W596)</x:f>
        <x:v>0.18793782983739193</x:v>
      </x:c>
      <x:c r="Z596" s="9" t="n">
        <x:f>IF(OR(ISBLANK(B596),ISBLANK(C596)),"",C596-B596)</x:f>
        <x:v>2</x:v>
      </x:c>
      <x:c r="AA596" t="str">
        <x:f>IF(ISBLANK(B596),"",TEXT(B596,"mmm"))</x:f>
        <x:v>Sep</x:v>
      </x:c>
      <x:c r="AB596" s="9" t="n">
        <x:f>IF(ISBLANK(B596),"",YEAR(B596))</x:f>
        <x:v>2024</x:v>
      </x:c>
      <x:c r="AC596" s="10" t="str"/>
      <x:c r="AD596" t="str">
        <x:f>IF(AND(U596="Completed",T596="Paid",ISERROR(SEARCH("INVALID",AC596)),ISERROR(SEARCH("REVIEW",AC596))),"Include","Exclude")</x:f>
        <x:v>Include</x:v>
      </x:c>
      <x:c r="AE596" t="str">
        <x:f>IF(T596="Refunded","Refunded","")</x:f>
      </x:c>
    </x:row>
    <x:row r="597">
      <x:c r="A597" t="str">
        <x:v>ORD-2025-10596</x:v>
      </x:c>
      <x:c r="B597" s="5" t="n">
        <x:v>45699</x:v>
      </x:c>
      <x:c r="C597" s="5" t="n">
        <x:v>45704</x:v>
      </x:c>
      <x:c r="D597" t="str">
        <x:v>CUST-5566</x:v>
      </x:c>
      <x:c r="E597" t="str">
        <x:v>Mira Das</x:v>
      </x:c>
      <x:c r="F597" t="str">
        <x:v>Corporate</x:v>
      </x:c>
      <x:c r="G597" t="str">
        <x:v>North</x:v>
      </x:c>
      <x:c r="H597" t="str">
        <x:v>Uttar Pradesh</x:v>
      </x:c>
      <x:c r="I597" t="str">
        <x:v>Noida</x:v>
      </x:c>
      <x:c r="J597" t="str">
        <x:v>Technology</x:v>
      </x:c>
      <x:c r="K597" t="str">
        <x:v>Phones</x:v>
      </x:c>
      <x:c r="L597" t="str">
        <x:v>Classic Phones 294</x:v>
      </x:c>
      <x:c r="M597" t="str">
        <x:v>First Class</x:v>
      </x:c>
      <x:c r="N597" t="n">
        <x:v>8</x:v>
      </x:c>
      <x:c r="O597" s="7" t="n">
        <x:v>1825.56</x:v>
      </x:c>
      <x:c r="P597" s="6" t="n">
        <x:v>0.1</x:v>
      </x:c>
      <x:c r="Q597" s="7" t="n">
        <x:v>13144.03</x:v>
      </x:c>
      <x:c r="R597" s="7" t="n">
        <x:v>9764</x:v>
      </x:c>
      <x:c r="S597" s="7" t="n">
        <x:v>3380.03</x:v>
      </x:c>
      <x:c r="T597" t="str">
        <x:v>Paid</x:v>
      </x:c>
      <x:c r="U597" t="str">
        <x:v>Completed</x:v>
      </x:c>
      <x:c r="V597" s="6" t="n">
        <x:f>IF(ISBLANK(P597),IF(AND(ISNUMBER(N597),N597&gt;0,ISNUMBER(O597),O597&gt;=0,ISNUMBER(Q597),Q597&gt;=0,ISNUMBER(R597),R597&gt;=0,ISNUMBER(S597)),0,""),P597)</x:f>
        <x:v>0.1</x:v>
      </x:c>
      <x:c r="W597" s="7" t="n">
        <x:f>IF(ISBLANK(V597),"",N597*O597*(1-V597))</x:f>
        <x:v>13144.032</x:v>
      </x:c>
      <x:c r="X597" s="7" t="n">
        <x:f>IF(OR(ISBLANK(W597),ISBLANK(R597)),"",W597-R597)</x:f>
        <x:v>3380.0319999999992</x:v>
      </x:c>
      <x:c r="Y597" s="8" t="n">
        <x:f>IF(OR(ISBLANK(W597),W597=0),"",X597/W597)</x:f>
        <x:v>0.25715336055176974</x:v>
      </x:c>
      <x:c r="Z597" s="9" t="n">
        <x:f>IF(OR(ISBLANK(B597),ISBLANK(C597)),"",C597-B597)</x:f>
        <x:v>5</x:v>
      </x:c>
      <x:c r="AA597" t="str">
        <x:f>IF(ISBLANK(B597),"",TEXT(B597,"mmm"))</x:f>
        <x:v>Feb</x:v>
      </x:c>
      <x:c r="AB597" s="9" t="n">
        <x:f>IF(ISBLANK(B597),"",YEAR(B597))</x:f>
        <x:v>2025</x:v>
      </x:c>
      <x:c r="AC597" s="10" t="str"/>
      <x:c r="AD597" t="str">
        <x:f>IF(AND(U597="Completed",T597="Paid",ISERROR(SEARCH("INVALID",AC597)),ISERROR(SEARCH("REVIEW",AC597))),"Include","Exclude")</x:f>
        <x:v>Include</x:v>
      </x:c>
      <x:c r="AE597" t="str">
        <x:f>IF(T597="Refunded","Refunded","")</x:f>
      </x:c>
    </x:row>
    <x:row r="598">
      <x:c r="A598" t="str">
        <x:v>ORD-2024-10597</x:v>
      </x:c>
      <x:c r="B598" s="5" t="n">
        <x:v>45392</x:v>
      </x:c>
      <x:c r="C598" s="5" t="n">
        <x:v>45398</x:v>
      </x:c>
      <x:c r="D598" t="str">
        <x:v>CUST-2593</x:v>
      </x:c>
      <x:c r="E598" t="str">
        <x:v>Aditi Sen</x:v>
      </x:c>
      <x:c r="F598" t="str">
        <x:v>Consumer</x:v>
      </x:c>
      <x:c r="G598" t="str">
        <x:v>South</x:v>
      </x:c>
      <x:c r="H598" t="str">
        <x:v>Kerala</x:v>
      </x:c>
      <x:c r="I598" t="str">
        <x:v>Kochi</x:v>
      </x:c>
      <x:c r="J598" t="str">
        <x:v>Furniture</x:v>
      </x:c>
      <x:c r="K598" t="str">
        <x:v>Chairs</x:v>
      </x:c>
      <x:c r="L598" t="str">
        <x:v>Elite Chairs 700</x:v>
      </x:c>
      <x:c r="M598" t="str">
        <x:v>Second Class</x:v>
      </x:c>
      <x:c r="N598" t="n">
        <x:v>9</x:v>
      </x:c>
      <x:c r="O598" s="7" t="n">
        <x:v>2723.26</x:v>
      </x:c>
      <x:c r="P598" s="6" t="n">
        <x:v>0.25</x:v>
      </x:c>
      <x:c r="Q598" s="7" t="n">
        <x:v>18382.01</x:v>
      </x:c>
      <x:c r="R598" s="7" t="n">
        <x:v>13108.2</x:v>
      </x:c>
      <x:c r="S598" s="7" t="n">
        <x:v>5273.81</x:v>
      </x:c>
      <x:c r="T598" t="str">
        <x:v>Paid</x:v>
      </x:c>
      <x:c r="U598" t="str">
        <x:v>Completed</x:v>
      </x:c>
      <x:c r="V598" s="6" t="n">
        <x:f>IF(ISBLANK(P598),IF(AND(ISNUMBER(N598),N598&gt;0,ISNUMBER(O598),O598&gt;=0,ISNUMBER(Q598),Q598&gt;=0,ISNUMBER(R598),R598&gt;=0,ISNUMBER(S598)),0,""),P598)</x:f>
        <x:v>0.25</x:v>
      </x:c>
      <x:c r="W598" s="7" t="n">
        <x:f>IF(ISBLANK(V598),"",N598*O598*(1-V598))</x:f>
        <x:v>18382.005000000005</x:v>
      </x:c>
      <x:c r="X598" s="7" t="n">
        <x:f>IF(OR(ISBLANK(W598),ISBLANK(R598)),"",W598-R598)</x:f>
        <x:v>5273.805000000004</x:v>
      </x:c>
      <x:c r="Y598" s="8" t="n">
        <x:f>IF(OR(ISBLANK(W598),W598=0),"",X598/W598)</x:f>
        <x:v>0.2869004224511963</x:v>
      </x:c>
      <x:c r="Z598" s="9" t="n">
        <x:f>IF(OR(ISBLANK(B598),ISBLANK(C598)),"",C598-B598)</x:f>
        <x:v>6</x:v>
      </x:c>
      <x:c r="AA598" t="str">
        <x:f>IF(ISBLANK(B598),"",TEXT(B598,"mmm"))</x:f>
        <x:v>Apr</x:v>
      </x:c>
      <x:c r="AB598" s="9" t="n">
        <x:f>IF(ISBLANK(B598),"",YEAR(B598))</x:f>
        <x:v>2024</x:v>
      </x:c>
      <x:c r="AC598" s="10" t="str"/>
      <x:c r="AD598" t="str">
        <x:f>IF(AND(U598="Completed",T598="Paid",ISERROR(SEARCH("INVALID",AC598)),ISERROR(SEARCH("REVIEW",AC598))),"Include","Exclude")</x:f>
        <x:v>Include</x:v>
      </x:c>
      <x:c r="AE598" t="str">
        <x:f>IF(T598="Refunded","Refunded","")</x:f>
      </x:c>
    </x:row>
    <x:row r="599">
      <x:c r="A599" t="str">
        <x:v>ORD-2025-10598</x:v>
      </x:c>
      <x:c r="B599" s="5" t="n">
        <x:v>45846</x:v>
      </x:c>
      <x:c r="C599" s="5" t="n">
        <x:v>45846</x:v>
      </x:c>
      <x:c r="D599" t="str">
        <x:v>CUST-6957</x:v>
      </x:c>
      <x:c r="E599" t="str">
        <x:v>Aditi Sen</x:v>
      </x:c>
      <x:c r="F599" t="str">
        <x:v>Consumer</x:v>
      </x:c>
      <x:c r="G599" t="str">
        <x:v>South</x:v>
      </x:c>
      <x:c r="H599" t="str">
        <x:v>Telangana</x:v>
      </x:c>
      <x:c r="I599" t="str">
        <x:v>Hyderabad</x:v>
      </x:c>
      <x:c r="J599" t="str">
        <x:v>Technology</x:v>
      </x:c>
      <x:c r="K599" t="str">
        <x:v>Copiers</x:v>
      </x:c>
      <x:c r="L599" t="str">
        <x:v>Prime Copiers 969</x:v>
      </x:c>
      <x:c r="M599" t="str">
        <x:v>Same Day</x:v>
      </x:c>
      <x:c r="N599" t="n">
        <x:v>9</x:v>
      </x:c>
      <x:c r="O599" s="7" t="n">
        <x:v>274.88</x:v>
      </x:c>
      <x:c r="P599" s="6" t="n">
        <x:v>0.25</x:v>
      </x:c>
      <x:c r="Q599" s="7" t="n">
        <x:v>1855.44</x:v>
      </x:c>
      <x:c r="R599" s="7" t="n">
        <x:v>1262.74</x:v>
      </x:c>
      <x:c r="S599" s="7" t="n">
        <x:v>592.7</x:v>
      </x:c>
      <x:c r="T599" t="str">
        <x:v>Paid</x:v>
      </x:c>
      <x:c r="U599" t="str">
        <x:v>Completed</x:v>
      </x:c>
      <x:c r="V599" s="6" t="n">
        <x:f>IF(ISBLANK(P599),IF(AND(ISNUMBER(N599),N599&gt;0,ISNUMBER(O599),O599&gt;=0,ISNUMBER(Q599),Q599&gt;=0,ISNUMBER(R599),R599&gt;=0,ISNUMBER(S599)),0,""),P599)</x:f>
        <x:v>0.25</x:v>
      </x:c>
      <x:c r="W599" s="7" t="n">
        <x:f>IF(ISBLANK(V599),"",N599*O599*(1-V599))</x:f>
        <x:v>1855.44</x:v>
      </x:c>
      <x:c r="X599" s="7" t="n">
        <x:f>IF(OR(ISBLANK(W599),ISBLANK(R599)),"",W599-R599)</x:f>
        <x:v>592.7</x:v>
      </x:c>
      <x:c r="Y599" s="8" t="n">
        <x:f>IF(OR(ISBLANK(W599),W599=0),"",X599/W599)</x:f>
        <x:v>0.3194390548872505</x:v>
      </x:c>
      <x:c r="Z599" s="9" t="n">
        <x:f>IF(OR(ISBLANK(B599),ISBLANK(C599)),"",C599-B599)</x:f>
        <x:v>0</x:v>
      </x:c>
      <x:c r="AA599" t="str">
        <x:f>IF(ISBLANK(B599),"",TEXT(B599,"mmm"))</x:f>
        <x:v>Jul</x:v>
      </x:c>
      <x:c r="AB599" s="9" t="n">
        <x:f>IF(ISBLANK(B599),"",YEAR(B599))</x:f>
        <x:v>2025</x:v>
      </x:c>
      <x:c r="AC599" s="10" t="str"/>
      <x:c r="AD599" t="str">
        <x:f>IF(AND(U599="Completed",T599="Paid",ISERROR(SEARCH("INVALID",AC599)),ISERROR(SEARCH("REVIEW",AC599))),"Include","Exclude")</x:f>
        <x:v>Include</x:v>
      </x:c>
      <x:c r="AE599" t="str">
        <x:f>IF(T599="Refunded","Refunded","")</x:f>
      </x:c>
    </x:row>
    <x:row r="600">
      <x:c r="A600" t="str">
        <x:v>ORD-2024-10599</x:v>
      </x:c>
      <x:c r="B600" s="5" t="n">
        <x:v>45521</x:v>
      </x:c>
      <x:c r="C600" s="5" t="n">
        <x:v>45528</x:v>
      </x:c>
      <x:c r="D600" t="str">
        <x:v>CUST-8498</x:v>
      </x:c>
      <x:c r="E600" t="str">
        <x:v>Ananya Rao</x:v>
      </x:c>
      <x:c r="F600" t="str">
        <x:v>Corporate</x:v>
      </x:c>
      <x:c r="G600" t="str">
        <x:v>East</x:v>
      </x:c>
      <x:c r="H600" t="str">
        <x:v>West Bengal</x:v>
      </x:c>
      <x:c r="I600" t="str">
        <x:v>Kolkata</x:v>
      </x:c>
      <x:c r="J600" t="str">
        <x:v>Technology</x:v>
      </x:c>
      <x:c r="K600" t="str">
        <x:v>Copiers</x:v>
      </x:c>
      <x:c r="L600" t="str">
        <x:v>Eco Copiers 268</x:v>
      </x:c>
      <x:c r="M600" t="str">
        <x:v>Same Day</x:v>
      </x:c>
      <x:c r="N600" t="n">
        <x:v>3</x:v>
      </x:c>
      <x:c r="O600" s="7" t="n">
        <x:v>1490.69</x:v>
      </x:c>
      <x:c r="P600" s="6" t="n">
        <x:v>0.25</x:v>
      </x:c>
      <x:c r="Q600" s="7" t="n">
        <x:v>3354.05</x:v>
      </x:c>
      <x:c r="R600" s="7" t="n">
        <x:v>2672.67</x:v>
      </x:c>
      <x:c r="S600" s="7" t="n">
        <x:v>681.38</x:v>
      </x:c>
      <x:c r="T600" t="str">
        <x:v>Paid</x:v>
      </x:c>
      <x:c r="U600" t="str">
        <x:v>Completed</x:v>
      </x:c>
      <x:c r="V600" s="6" t="n">
        <x:f>IF(ISBLANK(P600),IF(AND(ISNUMBER(N600),N600&gt;0,ISNUMBER(O600),O600&gt;=0,ISNUMBER(Q600),Q600&gt;=0,ISNUMBER(R600),R600&gt;=0,ISNUMBER(S600)),0,""),P600)</x:f>
        <x:v>0.25</x:v>
      </x:c>
      <x:c r="W600" s="7" t="n">
        <x:f>IF(ISBLANK(V600),"",N600*O600*(1-V600))</x:f>
        <x:v>3354.0525</x:v>
      </x:c>
      <x:c r="X600" s="7" t="n">
        <x:f>IF(OR(ISBLANK(W600),ISBLANK(R600)),"",W600-R600)</x:f>
        <x:v>681.3824999999997</x:v>
      </x:c>
      <x:c r="Y600" s="8" t="n">
        <x:f>IF(OR(ISBLANK(W600),W600=0),"",X600/W600)</x:f>
        <x:v>0.2031520079068529</x:v>
      </x:c>
      <x:c r="Z600" s="9" t="n">
        <x:f>IF(OR(ISBLANK(B600),ISBLANK(C600)),"",C600-B600)</x:f>
        <x:v>7</x:v>
      </x:c>
      <x:c r="AA600" t="str">
        <x:f>IF(ISBLANK(B600),"",TEXT(B600,"mmm"))</x:f>
        <x:v>Aug</x:v>
      </x:c>
      <x:c r="AB600" s="9" t="n">
        <x:f>IF(ISBLANK(B600),"",YEAR(B600))</x:f>
        <x:v>2024</x:v>
      </x:c>
      <x:c r="AC600" s="10" t="str"/>
      <x:c r="AD600" t="str">
        <x:f>IF(AND(U600="Completed",T600="Paid",ISERROR(SEARCH("INVALID",AC600)),ISERROR(SEARCH("REVIEW",AC600))),"Include","Exclude")</x:f>
        <x:v>Include</x:v>
      </x:c>
      <x:c r="AE600" t="str">
        <x:f>IF(T600="Refunded","Refunded","")</x:f>
      </x:c>
    </x:row>
    <x:row r="601">
      <x:c r="A601" t="str">
        <x:v>ORD-2024-10600</x:v>
      </x:c>
      <x:c r="B601" s="5" t="n">
        <x:v>45523</x:v>
      </x:c>
      <x:c r="C601" s="5" t="n">
        <x:v>45525</x:v>
      </x:c>
      <x:c r="D601" t="str">
        <x:v>CUST-2612</x:v>
      </x:c>
      <x:c r="E601" t="str">
        <x:v>Arjun Bose</x:v>
      </x:c>
      <x:c r="F601" t="str">
        <x:v>Consumer</x:v>
      </x:c>
      <x:c r="G601" t="str">
        <x:v>North</x:v>
      </x:c>
      <x:c r="H601" t="str">
        <x:v>Punjab</x:v>
      </x:c>
      <x:c r="I601" t="str">
        <x:v>Ludhiana</x:v>
      </x:c>
      <x:c r="J601" t="str">
        <x:v>Technology</x:v>
      </x:c>
      <x:c r="K601" t="str">
        <x:v>Phones</x:v>
      </x:c>
      <x:c r="L601" t="str">
        <x:v>Pro Phones 588</x:v>
      </x:c>
      <x:c r="M601" t="str">
        <x:v>First Class</x:v>
      </x:c>
      <x:c r="N601" t="n">
        <x:v>3</x:v>
      </x:c>
      <x:c r="O601" s="7" t="n">
        <x:v>1103.54</x:v>
      </x:c>
      <x:c r="P601" s="6" t="n">
        <x:v>0.25</x:v>
      </x:c>
      <x:c r="Q601" s="7" t="n">
        <x:v>2482.97</x:v>
      </x:c>
      <x:c r="R601" s="7" t="n">
        <x:v>1621.72</x:v>
      </x:c>
      <x:c r="S601" s="7" t="n">
        <x:v>861.25</x:v>
      </x:c>
      <x:c r="T601" t="str">
        <x:v>Paid</x:v>
      </x:c>
      <x:c r="U601" t="str">
        <x:v>Completed</x:v>
      </x:c>
      <x:c r="V601" s="6" t="n">
        <x:f>IF(ISBLANK(P601),IF(AND(ISNUMBER(N601),N601&gt;0,ISNUMBER(O601),O601&gt;=0,ISNUMBER(Q601),Q601&gt;=0,ISNUMBER(R601),R601&gt;=0,ISNUMBER(S601)),0,""),P601)</x:f>
        <x:v>0.25</x:v>
      </x:c>
      <x:c r="W601" s="7" t="n">
        <x:f>IF(ISBLANK(V601),"",N601*O601*(1-V601))</x:f>
        <x:v>2482.965</x:v>
      </x:c>
      <x:c r="X601" s="7" t="n">
        <x:f>IF(OR(ISBLANK(W601),ISBLANK(R601)),"",W601-R601)</x:f>
        <x:v>861.2450000000001</x:v>
      </x:c>
      <x:c r="Y601" s="8" t="n">
        <x:f>IF(OR(ISBLANK(W601),W601=0),"",X601/W601)</x:f>
        <x:v>0.34686151435884116</x:v>
      </x:c>
      <x:c r="Z601" s="9" t="n">
        <x:f>IF(OR(ISBLANK(B601),ISBLANK(C601)),"",C601-B601)</x:f>
        <x:v>2</x:v>
      </x:c>
      <x:c r="AA601" t="str">
        <x:f>IF(ISBLANK(B601),"",TEXT(B601,"mmm"))</x:f>
        <x:v>Aug</x:v>
      </x:c>
      <x:c r="AB601" s="9" t="n">
        <x:f>IF(ISBLANK(B601),"",YEAR(B601))</x:f>
        <x:v>2024</x:v>
      </x:c>
      <x:c r="AC601" s="10" t="str"/>
      <x:c r="AD601" t="str">
        <x:f>IF(AND(U601="Completed",T601="Paid",ISERROR(SEARCH("INVALID",AC601)),ISERROR(SEARCH("REVIEW",AC601))),"Include","Exclude")</x:f>
        <x:v>Include</x:v>
      </x:c>
      <x:c r="AE601" t="str">
        <x:f>IF(T601="Refunded","Refunded","")</x:f>
      </x:c>
    </x:row>
    <x:row r="602">
      <x:c r="A602" t="str">
        <x:v>ORD-2025-10601</x:v>
      </x:c>
      <x:c r="B602" s="5" t="n">
        <x:v>45721</x:v>
      </x:c>
      <x:c r="C602" s="5" t="n">
        <x:v>45728</x:v>
      </x:c>
      <x:c r="D602" t="str">
        <x:v>CUST-6013</x:v>
      </x:c>
      <x:c r="E602" t="str">
        <x:v>Ananya Rao</x:v>
      </x:c>
      <x:c r="F602" t="str">
        <x:v>Corporate</x:v>
      </x:c>
      <x:c r="G602" t="str">
        <x:v>West</x:v>
      </x:c>
      <x:c r="H602" t="str">
        <x:v>Madhya Pradesh</x:v>
      </x:c>
      <x:c r="I602" t="str">
        <x:v>Indore</x:v>
      </x:c>
      <x:c r="J602" t="str">
        <x:v>Office Supplies</x:v>
      </x:c>
      <x:c r="K602" t="str">
        <x:v>Storage</x:v>
      </x:c>
      <x:c r="L602" t="str">
        <x:v>Prime Storage 432</x:v>
      </x:c>
      <x:c r="M602" t="str">
        <x:v>Same Day</x:v>
      </x:c>
      <x:c r="N602" t="n">
        <x:v>3</x:v>
      </x:c>
      <x:c r="O602" s="7" t="n">
        <x:v>3682.75</x:v>
      </x:c>
      <x:c r="P602" s="6"/>
      <x:c r="Q602" s="7" t="n">
        <x:v>11048.25</x:v>
      </x:c>
      <x:c r="R602" s="7" t="n">
        <x:v>9062.72</x:v>
      </x:c>
      <x:c r="S602" s="7" t="n">
        <x:v>1985.53</x:v>
      </x:c>
      <x:c r="T602" t="str">
        <x:v>Paid</x:v>
      </x:c>
      <x:c r="U602" t="str">
        <x:v>Completed</x:v>
      </x:c>
      <x:c r="V602" s="6" t="n">
        <x:f>IF(ISBLANK(P602),IF(AND(ISNUMBER(N602),N602&gt;0,ISNUMBER(O602),O602&gt;=0,ISNUMBER(Q602),Q602&gt;=0,ISNUMBER(R602),R602&gt;=0,ISNUMBER(S602)),0,""),P602)</x:f>
        <x:v>0</x:v>
      </x:c>
      <x:c r="W602" s="7" t="n">
        <x:f>IF(ISBLANK(V602),"",N602*O602*(1-V602))</x:f>
        <x:v>11048.25</x:v>
      </x:c>
      <x:c r="X602" s="7" t="n">
        <x:f>IF(OR(ISBLANK(W602),ISBLANK(R602)),"",W602-R602)</x:f>
        <x:v>1985.5300000000007</x:v>
      </x:c>
      <x:c r="Y602" s="8" t="n">
        <x:f>IF(OR(ISBLANK(W602),W602=0),"",X602/W602)</x:f>
        <x:v>0.17971443441268986</x:v>
      </x:c>
      <x:c r="Z602" s="9" t="n">
        <x:f>IF(OR(ISBLANK(B602),ISBLANK(C602)),"",C602-B602)</x:f>
        <x:v>7</x:v>
      </x:c>
      <x:c r="AA602" t="str">
        <x:f>IF(ISBLANK(B602),"",TEXT(B602,"mmm"))</x:f>
        <x:v>Mar</x:v>
      </x:c>
      <x:c r="AB602" s="9" t="n">
        <x:f>IF(ISBLANK(B602),"",YEAR(B602))</x:f>
        <x:v>2025</x:v>
      </x:c>
      <x:c r="AC602" s="10" t="str">
        <x:v>FLAG: Missing discount treated as 0</x:v>
      </x:c>
      <x:c r="AD602" t="str">
        <x:f>IF(AND(U602="Completed",T602="Paid",ISERROR(SEARCH("INVALID",AC602)),ISERROR(SEARCH("REVIEW",AC602))),"Include","Exclude")</x:f>
        <x:v>Include</x:v>
      </x:c>
      <x:c r="AE602" t="str">
        <x:f>IF(T602="Refunded","Refunded","")</x:f>
      </x:c>
    </x:row>
    <x:row r="603">
      <x:c r="A603" t="str">
        <x:v>ORD-2024-10602</x:v>
      </x:c>
      <x:c r="B603" s="5" t="n">
        <x:v>45317</x:v>
      </x:c>
      <x:c r="C603" s="5" t="n">
        <x:v>45322</x:v>
      </x:c>
      <x:c r="D603" t="str">
        <x:v>CUST-8289</x:v>
      </x:c>
      <x:c r="E603" t="str">
        <x:v>Ananya Rao</x:v>
      </x:c>
      <x:c r="F603" t="str">
        <x:v>Home Office</x:v>
      </x:c>
      <x:c r="G603" t="str">
        <x:v>East</x:v>
      </x:c>
      <x:c r="H603" t="str">
        <x:v>West Bengal</x:v>
      </x:c>
      <x:c r="I603" t="str">
        <x:v>Kolkata</x:v>
      </x:c>
      <x:c r="J603" t="str">
        <x:v>Office Supplies</x:v>
      </x:c>
      <x:c r="K603" t="str">
        <x:v>Paper</x:v>
      </x:c>
      <x:c r="L603" t="str">
        <x:v>Basic Paper 452</x:v>
      </x:c>
      <x:c r="M603" t="str">
        <x:v>Second Class</x:v>
      </x:c>
      <x:c r="N603" t="n">
        <x:v>5</x:v>
      </x:c>
      <x:c r="O603" s="7" t="n">
        <x:v>1615.03</x:v>
      </x:c>
      <x:c r="P603" s="6" t="n">
        <x:v>0.2</x:v>
      </x:c>
      <x:c r="Q603" s="7" t="n">
        <x:v>6460.12</x:v>
      </x:c>
      <x:c r="R603" s="7" t="n">
        <x:v>3604.03</x:v>
      </x:c>
      <x:c r="S603" s="7" t="n">
        <x:v>2856.09</x:v>
      </x:c>
      <x:c r="T603" t="str">
        <x:v>Paid</x:v>
      </x:c>
      <x:c r="U603" t="str">
        <x:v>Completed</x:v>
      </x:c>
      <x:c r="V603" s="6" t="n">
        <x:f>IF(ISBLANK(P603),IF(AND(ISNUMBER(N603),N603&gt;0,ISNUMBER(O603),O603&gt;=0,ISNUMBER(Q603),Q603&gt;=0,ISNUMBER(R603),R603&gt;=0,ISNUMBER(S603)),0,""),P603)</x:f>
        <x:v>0.2</x:v>
      </x:c>
      <x:c r="W603" s="7" t="n">
        <x:f>IF(ISBLANK(V603),"",N603*O603*(1-V603))</x:f>
        <x:v>6460.12</x:v>
      </x:c>
      <x:c r="X603" s="7" t="n">
        <x:f>IF(OR(ISBLANK(W603),ISBLANK(R603)),"",W603-R603)</x:f>
        <x:v>2856.0899999999997</x:v>
      </x:c>
      <x:c r="Y603" s="8" t="n">
        <x:f>IF(OR(ISBLANK(W603),W603=0),"",X603/W603)</x:f>
        <x:v>0.44211098245853014</x:v>
      </x:c>
      <x:c r="Z603" s="9" t="n">
        <x:f>IF(OR(ISBLANK(B603),ISBLANK(C603)),"",C603-B603)</x:f>
        <x:v>5</x:v>
      </x:c>
      <x:c r="AA603" t="str">
        <x:f>IF(ISBLANK(B603),"",TEXT(B603,"mmm"))</x:f>
        <x:v>Jan</x:v>
      </x:c>
      <x:c r="AB603" s="9" t="n">
        <x:f>IF(ISBLANK(B603),"",YEAR(B603))</x:f>
        <x:v>2024</x:v>
      </x:c>
      <x:c r="AC603" s="10" t="str"/>
      <x:c r="AD603" t="str">
        <x:f>IF(AND(U603="Completed",T603="Paid",ISERROR(SEARCH("INVALID",AC603)),ISERROR(SEARCH("REVIEW",AC603))),"Include","Exclude")</x:f>
        <x:v>Include</x:v>
      </x:c>
      <x:c r="AE603" t="str">
        <x:f>IF(T603="Refunded","Refunded","")</x:f>
      </x:c>
    </x:row>
    <x:row r="604">
      <x:c r="A604" t="str">
        <x:v>ORD-2024-10603</x:v>
      </x:c>
      <x:c r="B604" s="5" t="n">
        <x:v>45588</x:v>
      </x:c>
      <x:c r="C604" s="5" t="n">
        <x:v>45595</x:v>
      </x:c>
      <x:c r="D604" t="str">
        <x:v>CUST-5668</x:v>
      </x:c>
      <x:c r="E604" t="str">
        <x:v>Aarav Sharma</x:v>
      </x:c>
      <x:c r="F604" t="str">
        <x:v>Consumer</x:v>
      </x:c>
      <x:c r="G604" t="str">
        <x:v>East</x:v>
      </x:c>
      <x:c r="H604" t="str">
        <x:v>Jharkhand</x:v>
      </x:c>
      <x:c r="I604" t="str">
        <x:v>Ranchi</x:v>
      </x:c>
      <x:c r="J604" t="str">
        <x:v>Technology</x:v>
      </x:c>
      <x:c r="K604" t="str">
        <x:v>Copiers</x:v>
      </x:c>
      <x:c r="L604" t="str">
        <x:v>Max Copiers 477</x:v>
      </x:c>
      <x:c r="M604" t="str">
        <x:v>Second Class</x:v>
      </x:c>
      <x:c r="N604" t="n">
        <x:v>9</x:v>
      </x:c>
      <x:c r="O604" s="7" t="n">
        <x:v>3423.82</x:v>
      </x:c>
      <x:c r="P604" s="6" t="n">
        <x:v>0.15</x:v>
      </x:c>
      <x:c r="Q604" s="7" t="n">
        <x:v>26192.22</x:v>
      </x:c>
      <x:c r="R604" s="7" t="n">
        <x:v>20795.55</x:v>
      </x:c>
      <x:c r="S604" s="7" t="n">
        <x:v>5396.67</x:v>
      </x:c>
      <x:c r="T604" t="str">
        <x:v>Paid</x:v>
      </x:c>
      <x:c r="U604" t="str">
        <x:v>Completed</x:v>
      </x:c>
      <x:c r="V604" s="6" t="n">
        <x:f>IF(ISBLANK(P604),IF(AND(ISNUMBER(N604),N604&gt;0,ISNUMBER(O604),O604&gt;=0,ISNUMBER(Q604),Q604&gt;=0,ISNUMBER(R604),R604&gt;=0,ISNUMBER(S604)),0,""),P604)</x:f>
        <x:v>0.15</x:v>
      </x:c>
      <x:c r="W604" s="7" t="n">
        <x:f>IF(ISBLANK(V604),"",N604*O604*(1-V604))</x:f>
        <x:v>26192.223</x:v>
      </x:c>
      <x:c r="X604" s="7" t="n">
        <x:f>IF(OR(ISBLANK(W604),ISBLANK(R604)),"",W604-R604)</x:f>
        <x:v>5396.6730000000025</x:v>
      </x:c>
      <x:c r="Y604" s="8" t="n">
        <x:f>IF(OR(ISBLANK(W604),W604=0),"",X604/W604)</x:f>
        <x:v>0.2060410450842604</x:v>
      </x:c>
      <x:c r="Z604" s="9" t="n">
        <x:f>IF(OR(ISBLANK(B604),ISBLANK(C604)),"",C604-B604)</x:f>
        <x:v>7</x:v>
      </x:c>
      <x:c r="AA604" t="str">
        <x:f>IF(ISBLANK(B604),"",TEXT(B604,"mmm"))</x:f>
        <x:v>Oct</x:v>
      </x:c>
      <x:c r="AB604" s="9" t="n">
        <x:f>IF(ISBLANK(B604),"",YEAR(B604))</x:f>
        <x:v>2024</x:v>
      </x:c>
      <x:c r="AC604" s="10" t="str"/>
      <x:c r="AD604" t="str">
        <x:f>IF(AND(U604="Completed",T604="Paid",ISERROR(SEARCH("INVALID",AC604)),ISERROR(SEARCH("REVIEW",AC604))),"Include","Exclude")</x:f>
        <x:v>Include</x:v>
      </x:c>
      <x:c r="AE604" t="str">
        <x:f>IF(T604="Refunded","Refunded","")</x:f>
      </x:c>
    </x:row>
    <x:row r="605">
      <x:c r="A605" t="str">
        <x:v>ORD-2025-10604</x:v>
      </x:c>
      <x:c r="B605" s="5" t="n">
        <x:v>45660</x:v>
      </x:c>
      <x:c r="C605" s="5" t="n">
        <x:v>45668</x:v>
      </x:c>
      <x:c r="D605" t="str">
        <x:v>CUST-5808</x:v>
      </x:c>
      <x:c r="E605" t="str">
        <x:v>Vikram Iyer</x:v>
      </x:c>
      <x:c r="F605" t="str">
        <x:v>Corporate</x:v>
      </x:c>
      <x:c r="G605" t="str">
        <x:v>East</x:v>
      </x:c>
      <x:c r="H605" t="str">
        <x:v>Bihar</x:v>
      </x:c>
      <x:c r="I605" t="str">
        <x:v>Patna</x:v>
      </x:c>
      <x:c r="J605" t="str">
        <x:v>Technology</x:v>
      </x:c>
      <x:c r="K605" t="str">
        <x:v>Accessories</x:v>
      </x:c>
      <x:c r="L605" t="str">
        <x:v>Prime Accessories 300</x:v>
      </x:c>
      <x:c r="M605" t="str">
        <x:v>First Class</x:v>
      </x:c>
      <x:c r="N605" t="n">
        <x:v>8</x:v>
      </x:c>
      <x:c r="O605" s="7" t="n">
        <x:v>2574.29</x:v>
      </x:c>
      <x:c r="P605" s="6" t="n">
        <x:v>0.05</x:v>
      </x:c>
      <x:c r="Q605" s="7" t="n">
        <x:v>19564.6</x:v>
      </x:c>
      <x:c r="R605" s="7" t="n">
        <x:v>11154.59</x:v>
      </x:c>
      <x:c r="S605" s="7" t="n">
        <x:v>8410.01</x:v>
      </x:c>
      <x:c r="T605" t="str">
        <x:v>Pending</x:v>
      </x:c>
      <x:c r="U605" t="str">
        <x:v>Cancelled</x:v>
      </x:c>
      <x:c r="V605" s="6" t="n">
        <x:f>IF(ISBLANK(P605),IF(AND(ISNUMBER(N605),N605&gt;0,ISNUMBER(O605),O605&gt;=0,ISNUMBER(Q605),Q605&gt;=0,ISNUMBER(R605),R605&gt;=0,ISNUMBER(S605)),0,""),P605)</x:f>
        <x:v>0.05</x:v>
      </x:c>
      <x:c r="W605" s="7" t="n">
        <x:f>IF(ISBLANK(V605),"",N605*O605*(1-V605))</x:f>
        <x:v>19564.604</x:v>
      </x:c>
      <x:c r="X605" s="7" t="n">
        <x:f>IF(OR(ISBLANK(W605),ISBLANK(R605)),"",W605-R605)</x:f>
        <x:v>8410.014</x:v>
      </x:c>
      <x:c r="Y605" s="8" t="n">
        <x:f>IF(OR(ISBLANK(W605),W605=0),"",X605/W605)</x:f>
        <x:v>0.4298586365458764</x:v>
      </x:c>
      <x:c r="Z605" s="9" t="n">
        <x:f>IF(OR(ISBLANK(B605),ISBLANK(C605)),"",C605-B605)</x:f>
        <x:v>8</x:v>
      </x:c>
      <x:c r="AA605" t="str">
        <x:f>IF(ISBLANK(B605),"",TEXT(B605,"mmm"))</x:f>
        <x:v>Jan</x:v>
      </x:c>
      <x:c r="AB605" s="9" t="n">
        <x:f>IF(ISBLANK(B605),"",YEAR(B605))</x:f>
        <x:v>2025</x:v>
      </x:c>
      <x:c r="AC605" s="10" t="str">
        <x:v>EXCLUDE: Cancelled order</x:v>
      </x:c>
      <x:c r="AD605" t="str">
        <x:f>IF(AND(U605="Completed",T605="Paid",ISERROR(SEARCH("INVALID",AC605)),ISERROR(SEARCH("REVIEW",AC605))),"Include","Exclude")</x:f>
        <x:v>Exclude</x:v>
      </x:c>
      <x:c r="AE605" t="str">
        <x:f>IF(T605="Refunded","Refunded","")</x:f>
      </x:c>
    </x:row>
    <x:row r="606">
      <x:c r="A606" t="str">
        <x:v>ORD-2025-10605</x:v>
      </x:c>
      <x:c r="B606" s="5" t="n">
        <x:v>45693</x:v>
      </x:c>
      <x:c r="C606" s="5" t="n">
        <x:v>45694</x:v>
      </x:c>
      <x:c r="D606" t="str">
        <x:v>CUST-4526</x:v>
      </x:c>
      <x:c r="E606" t="str">
        <x:v>Ananya Rao</x:v>
      </x:c>
      <x:c r="F606" t="str">
        <x:v>Consumer</x:v>
      </x:c>
      <x:c r="G606" t="str">
        <x:v>West</x:v>
      </x:c>
      <x:c r="H606" t="str">
        <x:v>Madhya Pradesh</x:v>
      </x:c>
      <x:c r="I606" t="str">
        <x:v>Indore</x:v>
      </x:c>
      <x:c r="J606" t="str">
        <x:v>Office Supplies</x:v>
      </x:c>
      <x:c r="K606" t="str">
        <x:v>Binders</x:v>
      </x:c>
      <x:c r="L606" t="str">
        <x:v>Max Binders 547</x:v>
      </x:c>
      <x:c r="M606" t="str">
        <x:v>Same Day</x:v>
      </x:c>
      <x:c r="N606" t="n">
        <x:v>3</x:v>
      </x:c>
      <x:c r="O606" s="7" t="n">
        <x:v>1076.3</x:v>
      </x:c>
      <x:c r="P606" s="6" t="n">
        <x:v>0</x:v>
      </x:c>
      <x:c r="Q606" s="7" t="n">
        <x:v>3228.9</x:v>
      </x:c>
      <x:c r="R606" s="7" t="n">
        <x:v>1853.23</x:v>
      </x:c>
      <x:c r="S606" s="7" t="n">
        <x:v>1375.67</x:v>
      </x:c>
      <x:c r="T606" t="str">
        <x:v>Paid</x:v>
      </x:c>
      <x:c r="U606" t="str">
        <x:v>Completed</x:v>
      </x:c>
      <x:c r="V606" s="6" t="n">
        <x:f>IF(ISBLANK(P606),IF(AND(ISNUMBER(N606),N606&gt;0,ISNUMBER(O606),O606&gt;=0,ISNUMBER(Q606),Q606&gt;=0,ISNUMBER(R606),R606&gt;=0,ISNUMBER(S606)),0,""),P606)</x:f>
        <x:v>0</x:v>
      </x:c>
      <x:c r="W606" s="7" t="n">
        <x:f>IF(ISBLANK(V606),"",N606*O606*(1-V606))</x:f>
        <x:v>3228.8999999999996</x:v>
      </x:c>
      <x:c r="X606" s="7" t="n">
        <x:f>IF(OR(ISBLANK(W606),ISBLANK(R606)),"",W606-R606)</x:f>
        <x:v>1375.6699999999996</x:v>
      </x:c>
      <x:c r="Y606" s="8" t="n">
        <x:f>IF(OR(ISBLANK(W606),W606=0),"",X606/W606)</x:f>
        <x:v>0.42604911889497965</x:v>
      </x:c>
      <x:c r="Z606" s="9" t="n">
        <x:f>IF(OR(ISBLANK(B606),ISBLANK(C606)),"",C606-B606)</x:f>
        <x:v>1</x:v>
      </x:c>
      <x:c r="AA606" t="str">
        <x:f>IF(ISBLANK(B606),"",TEXT(B606,"mmm"))</x:f>
        <x:v>Feb</x:v>
      </x:c>
      <x:c r="AB606" s="9" t="n">
        <x:f>IF(ISBLANK(B606),"",YEAR(B606))</x:f>
        <x:v>2025</x:v>
      </x:c>
      <x:c r="AC606" s="10" t="str"/>
      <x:c r="AD606" t="str">
        <x:f>IF(AND(U606="Completed",T606="Paid",ISERROR(SEARCH("INVALID",AC606)),ISERROR(SEARCH("REVIEW",AC606))),"Include","Exclude")</x:f>
        <x:v>Include</x:v>
      </x:c>
      <x:c r="AE606" t="str">
        <x:f>IF(T606="Refunded","Refunded","")</x:f>
      </x:c>
    </x:row>
    <x:row r="607">
      <x:c r="A607" t="str">
        <x:v>ORD-2025-10606</x:v>
      </x:c>
      <x:c r="B607" s="5" t="n">
        <x:v>45847</x:v>
      </x:c>
      <x:c r="C607" s="5" t="n">
        <x:v>45851</x:v>
      </x:c>
      <x:c r="D607" t="str">
        <x:v>CUST-4447</x:v>
      </x:c>
      <x:c r="E607" t="str">
        <x:v>Kabir Singh</x:v>
      </x:c>
      <x:c r="F607" t="str">
        <x:v>Corporate</x:v>
      </x:c>
      <x:c r="G607" t="str">
        <x:v>West</x:v>
      </x:c>
      <x:c r="H607" t="str">
        <x:v>Goa</x:v>
      </x:c>
      <x:c r="I607" t="str">
        <x:v>Panaji</x:v>
      </x:c>
      <x:c r="J607" t="str">
        <x:v>Furniture</x:v>
      </x:c>
      <x:c r="K607" t="str">
        <x:v>Furnishings</x:v>
      </x:c>
      <x:c r="L607" t="str">
        <x:v>Pro Furnishings 267</x:v>
      </x:c>
      <x:c r="M607" t="str">
        <x:v>Second Class</x:v>
      </x:c>
      <x:c r="N607" t="n">
        <x:v>5</x:v>
      </x:c>
      <x:c r="O607" s="7" t="n">
        <x:v>1680.01</x:v>
      </x:c>
      <x:c r="P607" s="6" t="n">
        <x:v>0.85</x:v>
      </x:c>
      <x:c r="Q607" s="7" t="n">
        <x:v>7560.04</x:v>
      </x:c>
      <x:c r="R607" s="7" t="n">
        <x:v>6448.05</x:v>
      </x:c>
      <x:c r="S607" s="7" t="n">
        <x:v>1111.99</x:v>
      </x:c>
      <x:c r="T607" t="str">
        <x:v>Paid</x:v>
      </x:c>
      <x:c r="U607" t="str">
        <x:v>Cancelled</x:v>
      </x:c>
      <x:c r="V607" s="6" t="n">
        <x:f>IF(ISBLANK(P607),IF(AND(ISNUMBER(N607),N607&gt;0,ISNUMBER(O607),O607&gt;=0,ISNUMBER(Q607),Q607&gt;=0,ISNUMBER(R607),R607&gt;=0,ISNUMBER(S607)),0,""),P607)</x:f>
        <x:v>0.85</x:v>
      </x:c>
      <x:c r="W607" s="7" t="n">
        <x:f>IF(ISBLANK(V607),"",N607*O607*(1-V607))</x:f>
        <x:v>1260.0075000000002</x:v>
      </x:c>
      <x:c r="X607" s="7" t="n">
        <x:f>IF(OR(ISBLANK(W607),ISBLANK(R607)),"",W607-R607)</x:f>
        <x:v>-5188.0425</x:v>
      </x:c>
      <x:c r="Y607" s="8" t="n">
        <x:f>IF(OR(ISBLANK(W607),W607=0),"",X607/W607)</x:f>
        <x:v>-4.1174695388717915</x:v>
      </x:c>
      <x:c r="Z607" s="9" t="n">
        <x:f>IF(OR(ISBLANK(B607),ISBLANK(C607)),"",C607-B607)</x:f>
        <x:v>4</x:v>
      </x:c>
      <x:c r="AA607" t="str">
        <x:f>IF(ISBLANK(B607),"",TEXT(B607,"mmm"))</x:f>
        <x:v>Jul</x:v>
      </x:c>
      <x:c r="AB607" s="9" t="n">
        <x:f>IF(ISBLANK(B607),"",YEAR(B607))</x:f>
        <x:v>2025</x:v>
      </x:c>
      <x:c r="AC607" s="10" t="str">
        <x:v>INVALID: Discount above allowed range; EXCLUDE: Cancelled order</x:v>
      </x:c>
      <x:c r="AD607" t="str">
        <x:f>IF(AND(U607="Completed",T607="Paid",ISERROR(SEARCH("INVALID",AC607)),ISERROR(SEARCH("REVIEW",AC607))),"Include","Exclude")</x:f>
        <x:v>Exclude</x:v>
      </x:c>
      <x:c r="AE607" t="str">
        <x:f>IF(T607="Refunded","Refunded","")</x:f>
      </x:c>
    </x:row>
    <x:row r="608">
      <x:c r="A608" t="str">
        <x:v>ORD-2025-10607</x:v>
      </x:c>
      <x:c r="B608" s="5" t="n">
        <x:v>45710</x:v>
      </x:c>
      <x:c r="C608" s="5" t="n">
        <x:v>45716</x:v>
      </x:c>
      <x:c r="D608" t="str">
        <x:v>CUST-2698</x:v>
      </x:c>
      <x:c r="E608" t="str">
        <x:v>Rahul Verma</x:v>
      </x:c>
      <x:c r="F608" t="str">
        <x:v>Home Office</x:v>
      </x:c>
      <x:c r="G608" t="str">
        <x:v>West</x:v>
      </x:c>
      <x:c r="H608" t="str">
        <x:v>Madhya Pradesh</x:v>
      </x:c>
      <x:c r="I608" t="str">
        <x:v>Indore</x:v>
      </x:c>
      <x:c r="J608" t="str">
        <x:v>Technology</x:v>
      </x:c>
      <x:c r="K608" t="str">
        <x:v>Copiers</x:v>
      </x:c>
      <x:c r="L608" t="str">
        <x:v>Max Copiers 520</x:v>
      </x:c>
      <x:c r="M608" t="str">
        <x:v>Same Day</x:v>
      </x:c>
      <x:c r="N608" t="n">
        <x:v>3</x:v>
      </x:c>
      <x:c r="O608" s="7" t="n">
        <x:v>3890.81</x:v>
      </x:c>
      <x:c r="P608" s="6" t="n">
        <x:v>0.25</x:v>
      </x:c>
      <x:c r="Q608" s="7" t="n">
        <x:v>8754.32</x:v>
      </x:c>
      <x:c r="R608" s="7" t="n">
        <x:v>6238.9</x:v>
      </x:c>
      <x:c r="S608" s="7" t="n">
        <x:v>2515.42</x:v>
      </x:c>
      <x:c r="T608" t="str">
        <x:v>Paid</x:v>
      </x:c>
      <x:c r="U608" t="str">
        <x:v>Completed</x:v>
      </x:c>
      <x:c r="V608" s="6" t="n">
        <x:f>IF(ISBLANK(P608),IF(AND(ISNUMBER(N608),N608&gt;0,ISNUMBER(O608),O608&gt;=0,ISNUMBER(Q608),Q608&gt;=0,ISNUMBER(R608),R608&gt;=0,ISNUMBER(S608)),0,""),P608)</x:f>
        <x:v>0.25</x:v>
      </x:c>
      <x:c r="W608" s="7" t="n">
        <x:f>IF(ISBLANK(V608),"",N608*O608*(1-V608))</x:f>
        <x:v>8754.3225</x:v>
      </x:c>
      <x:c r="X608" s="7" t="n">
        <x:f>IF(OR(ISBLANK(W608),ISBLANK(R608)),"",W608-R608)</x:f>
        <x:v>2515.4225000000006</x:v>
      </x:c>
      <x:c r="Y608" s="8" t="n">
        <x:f>IF(OR(ISBLANK(W608),W608=0),"",X608/W608)</x:f>
        <x:v>0.28733491369549163</x:v>
      </x:c>
      <x:c r="Z608" s="9" t="n">
        <x:f>IF(OR(ISBLANK(B608),ISBLANK(C608)),"",C608-B608)</x:f>
        <x:v>6</x:v>
      </x:c>
      <x:c r="AA608" t="str">
        <x:f>IF(ISBLANK(B608),"",TEXT(B608,"mmm"))</x:f>
        <x:v>Feb</x:v>
      </x:c>
      <x:c r="AB608" s="9" t="n">
        <x:f>IF(ISBLANK(B608),"",YEAR(B608))</x:f>
        <x:v>2025</x:v>
      </x:c>
      <x:c r="AC608" s="10" t="str"/>
      <x:c r="AD608" t="str">
        <x:f>IF(AND(U608="Completed",T608="Paid",ISERROR(SEARCH("INVALID",AC608)),ISERROR(SEARCH("REVIEW",AC608))),"Include","Exclude")</x:f>
        <x:v>Include</x:v>
      </x:c>
      <x:c r="AE608" t="str">
        <x:f>IF(T608="Refunded","Refunded","")</x:f>
      </x:c>
    </x:row>
    <x:row r="609">
      <x:c r="A609" t="str">
        <x:v>ORD-2025-10608</x:v>
      </x:c>
      <x:c r="B609" s="5" t="n">
        <x:v>45704</x:v>
      </x:c>
      <x:c r="C609" s="5" t="n">
        <x:v>45710</x:v>
      </x:c>
      <x:c r="D609" t="str">
        <x:v>CUST-6297</x:v>
      </x:c>
      <x:c r="E609" t="str">
        <x:v>Sneha Kapoor</x:v>
      </x:c>
      <x:c r="F609" t="str">
        <x:v>Home Office</x:v>
      </x:c>
      <x:c r="G609" t="str">
        <x:v>East</x:v>
      </x:c>
      <x:c r="H609" t="str">
        <x:v>Bihar</x:v>
      </x:c>
      <x:c r="I609" t="str">
        <x:v>Patna</x:v>
      </x:c>
      <x:c r="J609" t="str">
        <x:v>Office Supplies</x:v>
      </x:c>
      <x:c r="K609" t="str">
        <x:v>Storage</x:v>
      </x:c>
      <x:c r="L609" t="str">
        <x:v>Max Storage 424</x:v>
      </x:c>
      <x:c r="M609" t="str">
        <x:v>Same Day</x:v>
      </x:c>
      <x:c r="N609" t="n">
        <x:v>5</x:v>
      </x:c>
      <x:c r="O609" s="7" t="n">
        <x:v>954.67</x:v>
      </x:c>
      <x:c r="P609" s="6" t="n">
        <x:v>0.15</x:v>
      </x:c>
      <x:c r="Q609" s="7" t="n">
        <x:v>4057.35</x:v>
      </x:c>
      <x:c r="R609" s="7" t="n">
        <x:v>2862.03</x:v>
      </x:c>
      <x:c r="S609" s="7" t="n">
        <x:v>1195.32</x:v>
      </x:c>
      <x:c r="T609" t="str">
        <x:v>Paid</x:v>
      </x:c>
      <x:c r="U609" t="str">
        <x:v>Completed</x:v>
      </x:c>
      <x:c r="V609" s="6" t="n">
        <x:f>IF(ISBLANK(P609),IF(AND(ISNUMBER(N609),N609&gt;0,ISNUMBER(O609),O609&gt;=0,ISNUMBER(Q609),Q609&gt;=0,ISNUMBER(R609),R609&gt;=0,ISNUMBER(S609)),0,""),P609)</x:f>
        <x:v>0.15</x:v>
      </x:c>
      <x:c r="W609" s="7" t="n">
        <x:f>IF(ISBLANK(V609),"",N609*O609*(1-V609))</x:f>
        <x:v>4057.3474999999994</x:v>
      </x:c>
      <x:c r="X609" s="7" t="n">
        <x:f>IF(OR(ISBLANK(W609),ISBLANK(R609)),"",W609-R609)</x:f>
        <x:v>1195.3174999999992</x:v>
      </x:c>
      <x:c r="Y609" s="8" t="n">
        <x:f>IF(OR(ISBLANK(W609),W609=0),"",X609/W609)</x:f>
        <x:v>0.2946056506128695</x:v>
      </x:c>
      <x:c r="Z609" s="9" t="n">
        <x:f>IF(OR(ISBLANK(B609),ISBLANK(C609)),"",C609-B609)</x:f>
        <x:v>6</x:v>
      </x:c>
      <x:c r="AA609" t="str">
        <x:f>IF(ISBLANK(B609),"",TEXT(B609,"mmm"))</x:f>
        <x:v>Feb</x:v>
      </x:c>
      <x:c r="AB609" s="9" t="n">
        <x:f>IF(ISBLANK(B609),"",YEAR(B609))</x:f>
        <x:v>2025</x:v>
      </x:c>
      <x:c r="AC609" s="10" t="str"/>
      <x:c r="AD609" t="str">
        <x:f>IF(AND(U609="Completed",T609="Paid",ISERROR(SEARCH("INVALID",AC609)),ISERROR(SEARCH("REVIEW",AC609))),"Include","Exclude")</x:f>
        <x:v>Include</x:v>
      </x:c>
      <x:c r="AE609" t="str">
        <x:f>IF(T609="Refunded","Refunded","")</x:f>
      </x:c>
    </x:row>
    <x:row r="610">
      <x:c r="A610" t="str">
        <x:v>ORD-2024-10609</x:v>
      </x:c>
      <x:c r="B610" s="5" t="n">
        <x:v>45464</x:v>
      </x:c>
      <x:c r="C610" s="5" t="n">
        <x:v>45466</x:v>
      </x:c>
      <x:c r="D610" t="str">
        <x:v>CUST-7690</x:v>
      </x:c>
      <x:c r="E610" t="str">
        <x:v>Karan Malhotra</x:v>
      </x:c>
      <x:c r="F610" t="str">
        <x:v>Home Office</x:v>
      </x:c>
      <x:c r="G610" t="str">
        <x:v>West</x:v>
      </x:c>
      <x:c r="H610" t="str">
        <x:v>Goa</x:v>
      </x:c>
      <x:c r="I610" t="str">
        <x:v>Panaji</x:v>
      </x:c>
      <x:c r="J610" t="str">
        <x:v>Furniture</x:v>
      </x:c>
      <x:c r="K610" t="str">
        <x:v>Furnishings</x:v>
      </x:c>
      <x:c r="L610" t="str">
        <x:v>Elite Furnishings 706</x:v>
      </x:c>
      <x:c r="M610" t="str">
        <x:v>Second Class</x:v>
      </x:c>
      <x:c r="N610" t="n">
        <x:v>9</x:v>
      </x:c>
      <x:c r="O610" s="7" t="n">
        <x:v>2153.75</x:v>
      </x:c>
      <x:c r="P610" s="6" t="n">
        <x:v>0</x:v>
      </x:c>
      <x:c r="Q610" s="7" t="n">
        <x:v>19383.75</x:v>
      </x:c>
      <x:c r="R610" s="7" t="n">
        <x:v>11667.43</x:v>
      </x:c>
      <x:c r="S610" s="7" t="n">
        <x:v>7716.32</x:v>
      </x:c>
      <x:c r="T610" t="str">
        <x:v>Paid</x:v>
      </x:c>
      <x:c r="U610" t="str">
        <x:v>Completed</x:v>
      </x:c>
      <x:c r="V610" s="6" t="n">
        <x:f>IF(ISBLANK(P610),IF(AND(ISNUMBER(N610),N610&gt;0,ISNUMBER(O610),O610&gt;=0,ISNUMBER(Q610),Q610&gt;=0,ISNUMBER(R610),R610&gt;=0,ISNUMBER(S610)),0,""),P610)</x:f>
        <x:v>0</x:v>
      </x:c>
      <x:c r="W610" s="7" t="n">
        <x:f>IF(ISBLANK(V610),"",N610*O610*(1-V610))</x:f>
        <x:v>19383.75</x:v>
      </x:c>
      <x:c r="X610" s="7" t="n">
        <x:f>IF(OR(ISBLANK(W610),ISBLANK(R610)),"",W610-R610)</x:f>
        <x:v>7716.32</x:v>
      </x:c>
      <x:c r="Y610" s="8" t="n">
        <x:f>IF(OR(ISBLANK(W610),W610=0),"",X610/W610)</x:f>
        <x:v>0.39808189849745274</x:v>
      </x:c>
      <x:c r="Z610" s="9" t="n">
        <x:f>IF(OR(ISBLANK(B610),ISBLANK(C610)),"",C610-B610)</x:f>
        <x:v>2</x:v>
      </x:c>
      <x:c r="AA610" t="str">
        <x:f>IF(ISBLANK(B610),"",TEXT(B610,"mmm"))</x:f>
        <x:v>Jun</x:v>
      </x:c>
      <x:c r="AB610" s="9" t="n">
        <x:f>IF(ISBLANK(B610),"",YEAR(B610))</x:f>
        <x:v>2024</x:v>
      </x:c>
      <x:c r="AC610" s="10" t="str"/>
      <x:c r="AD610" t="str">
        <x:f>IF(AND(U610="Completed",T610="Paid",ISERROR(SEARCH("INVALID",AC610)),ISERROR(SEARCH("REVIEW",AC610))),"Include","Exclude")</x:f>
        <x:v>Include</x:v>
      </x:c>
      <x:c r="AE610" t="str">
        <x:f>IF(T610="Refunded","Refunded","")</x:f>
      </x:c>
    </x:row>
    <x:row r="611">
      <x:c r="A611" t="str">
        <x:v>ORD-2025-10610</x:v>
      </x:c>
      <x:c r="B611" s="5" t="n">
        <x:v>45665</x:v>
      </x:c>
      <x:c r="C611" s="5" t="n">
        <x:v>45669</x:v>
      </x:c>
      <x:c r="D611" t="str">
        <x:v>CUST-4380</x:v>
      </x:c>
      <x:c r="E611" t="str">
        <x:v>Sneha Kapoor</x:v>
      </x:c>
      <x:c r="F611" t="str">
        <x:v>Home Office</x:v>
      </x:c>
      <x:c r="G611" t="str">
        <x:v>South</x:v>
      </x:c>
      <x:c r="H611" t="str">
        <x:v>Karnataka</x:v>
      </x:c>
      <x:c r="I611" t="str">
        <x:v>Bengaluru</x:v>
      </x:c>
      <x:c r="J611" t="str">
        <x:v>Furniture</x:v>
      </x:c>
      <x:c r="K611" t="str">
        <x:v>Chairs</x:v>
      </x:c>
      <x:c r="L611" t="str">
        <x:v>Pro Chairs 908</x:v>
      </x:c>
      <x:c r="M611" t="str">
        <x:v>Standard Class</x:v>
      </x:c>
      <x:c r="N611" t="n">
        <x:v>7</x:v>
      </x:c>
      <x:c r="O611" s="7" t="n">
        <x:v>4337.48</x:v>
      </x:c>
      <x:c r="P611" s="6" t="n">
        <x:v>0</x:v>
      </x:c>
      <x:c r="Q611" s="7" t="n">
        <x:v>30362.36</x:v>
      </x:c>
      <x:c r="R611" s="7" t="n">
        <x:v>25065.4</x:v>
      </x:c>
      <x:c r="S611" s="7" t="n">
        <x:v>5296.96</x:v>
      </x:c>
      <x:c r="T611" t="str">
        <x:v>Paid</x:v>
      </x:c>
      <x:c r="U611" t="str">
        <x:v>Completed</x:v>
      </x:c>
      <x:c r="V611" s="6" t="n">
        <x:f>IF(ISBLANK(P611),IF(AND(ISNUMBER(N611),N611&gt;0,ISNUMBER(O611),O611&gt;=0,ISNUMBER(Q611),Q611&gt;=0,ISNUMBER(R611),R611&gt;=0,ISNUMBER(S611)),0,""),P611)</x:f>
        <x:v>0</x:v>
      </x:c>
      <x:c r="W611" s="7" t="n">
        <x:f>IF(ISBLANK(V611),"",N611*O611*(1-V611))</x:f>
        <x:v>30362.359999999997</x:v>
      </x:c>
      <x:c r="X611" s="7" t="n">
        <x:f>IF(OR(ISBLANK(W611),ISBLANK(R611)),"",W611-R611)</x:f>
        <x:v>5296.9599999999955</x:v>
      </x:c>
      <x:c r="Y611" s="8" t="n">
        <x:f>IF(OR(ISBLANK(W611),W611=0),"",X611/W611)</x:f>
        <x:v>0.17445811195177174</x:v>
      </x:c>
      <x:c r="Z611" s="9" t="n">
        <x:f>IF(OR(ISBLANK(B611),ISBLANK(C611)),"",C611-B611)</x:f>
        <x:v>4</x:v>
      </x:c>
      <x:c r="AA611" t="str">
        <x:f>IF(ISBLANK(B611),"",TEXT(B611,"mmm"))</x:f>
        <x:v>Jan</x:v>
      </x:c>
      <x:c r="AB611" s="9" t="n">
        <x:f>IF(ISBLANK(B611),"",YEAR(B611))</x:f>
        <x:v>2025</x:v>
      </x:c>
      <x:c r="AC611" s="10" t="str"/>
      <x:c r="AD611" t="str">
        <x:f>IF(AND(U611="Completed",T611="Paid",ISERROR(SEARCH("INVALID",AC611)),ISERROR(SEARCH("REVIEW",AC611))),"Include","Exclude")</x:f>
        <x:v>Include</x:v>
      </x:c>
      <x:c r="AE611" t="str">
        <x:f>IF(T611="Refunded","Refunded","")</x:f>
      </x:c>
    </x:row>
    <x:row r="612">
      <x:c r="A612" t="str">
        <x:v>ORD-2024-10611</x:v>
      </x:c>
      <x:c r="B612" s="5" t="n">
        <x:v>45432</x:v>
      </x:c>
      <x:c r="C612" s="5" t="n">
        <x:v>45432</x:v>
      </x:c>
      <x:c r="D612" t="str">
        <x:v>CUST-2779</x:v>
      </x:c>
      <x:c r="E612" t="str">
        <x:v>Karan Malhotra</x:v>
      </x:c>
      <x:c r="F612" t="str">
        <x:v>Home Office</x:v>
      </x:c>
      <x:c r="G612" t="str">
        <x:v>West</x:v>
      </x:c>
      <x:c r="H612" t="str">
        <x:v>Madhya Pradesh</x:v>
      </x:c>
      <x:c r="I612" t="str">
        <x:v>Indore</x:v>
      </x:c>
      <x:c r="J612" t="str">
        <x:v>Furniture</x:v>
      </x:c>
      <x:c r="K612" t="str">
        <x:v>Chairs</x:v>
      </x:c>
      <x:c r="L612" t="str">
        <x:v>Pro Chairs 712</x:v>
      </x:c>
      <x:c r="M612" t="str">
        <x:v>Standard Class</x:v>
      </x:c>
      <x:c r="N612" t="n">
        <x:v>1</x:v>
      </x:c>
      <x:c r="O612" s="7" t="n">
        <x:v>3032.95</x:v>
      </x:c>
      <x:c r="P612" s="6" t="n">
        <x:v>0.1</x:v>
      </x:c>
      <x:c r="Q612" s="7" t="n">
        <x:v>2729.65</x:v>
      </x:c>
      <x:c r="R612" s="7" t="n">
        <x:v>1715.36</x:v>
      </x:c>
      <x:c r="S612" s="7" t="n">
        <x:v>1014.29</x:v>
      </x:c>
      <x:c r="T612" t="str">
        <x:v>Paid</x:v>
      </x:c>
      <x:c r="U612" t="str">
        <x:v>Completed</x:v>
      </x:c>
      <x:c r="V612" s="6" t="n">
        <x:f>IF(ISBLANK(P612),IF(AND(ISNUMBER(N612),N612&gt;0,ISNUMBER(O612),O612&gt;=0,ISNUMBER(Q612),Q612&gt;=0,ISNUMBER(R612),R612&gt;=0,ISNUMBER(S612)),0,""),P612)</x:f>
        <x:v>0.1</x:v>
      </x:c>
      <x:c r="W612" s="7" t="n">
        <x:f>IF(ISBLANK(V612),"",N612*O612*(1-V612))</x:f>
        <x:v>2729.6549999999997</x:v>
      </x:c>
      <x:c r="X612" s="7" t="n">
        <x:f>IF(OR(ISBLANK(W612),ISBLANK(R612)),"",W612-R612)</x:f>
        <x:v>1014.2949999999998</x:v>
      </x:c>
      <x:c r="Y612" s="8" t="n">
        <x:f>IF(OR(ISBLANK(W612),W612=0),"",X612/W612)</x:f>
        <x:v>0.37158358840219735</x:v>
      </x:c>
      <x:c r="Z612" s="9" t="n">
        <x:f>IF(OR(ISBLANK(B612),ISBLANK(C612)),"",C612-B612)</x:f>
        <x:v>0</x:v>
      </x:c>
      <x:c r="AA612" t="str">
        <x:f>IF(ISBLANK(B612),"",TEXT(B612,"mmm"))</x:f>
        <x:v>May</x:v>
      </x:c>
      <x:c r="AB612" s="9" t="n">
        <x:f>IF(ISBLANK(B612),"",YEAR(B612))</x:f>
        <x:v>2024</x:v>
      </x:c>
      <x:c r="AC612" s="10" t="str"/>
      <x:c r="AD612" t="str">
        <x:f>IF(AND(U612="Completed",T612="Paid",ISERROR(SEARCH("INVALID",AC612)),ISERROR(SEARCH("REVIEW",AC612))),"Include","Exclude")</x:f>
        <x:v>Include</x:v>
      </x:c>
      <x:c r="AE612" t="str">
        <x:f>IF(T612="Refunded","Refunded","")</x:f>
      </x:c>
    </x:row>
    <x:row r="613">
      <x:c r="A613" t="str">
        <x:v>ORD-2025-10612</x:v>
      </x:c>
      <x:c r="B613" s="5" t="n">
        <x:v>45846</x:v>
      </x:c>
      <x:c r="C613" s="5" t="n">
        <x:v>45853</x:v>
      </x:c>
      <x:c r="D613" t="str">
        <x:v>CUST-6108</x:v>
      </x:c>
      <x:c r="E613" t="str">
        <x:v>Ananya Rao</x:v>
      </x:c>
      <x:c r="F613" t="str">
        <x:v>Small Business</x:v>
      </x:c>
      <x:c r="G613" t="str">
        <x:v>North</x:v>
      </x:c>
      <x:c r="H613" t="str">
        <x:v>Rajasthan</x:v>
      </x:c>
      <x:c r="I613" t="str">
        <x:v>Jaipur</x:v>
      </x:c>
      <x:c r="J613" t="str">
        <x:v>Office Supplies</x:v>
      </x:c>
      <x:c r="K613" t="str">
        <x:v>Binders</x:v>
      </x:c>
      <x:c r="L613" t="str">
        <x:v>Max Binders 785</x:v>
      </x:c>
      <x:c r="M613" t="str">
        <x:v>Same Day</x:v>
      </x:c>
      <x:c r="N613" t="n">
        <x:v>8</x:v>
      </x:c>
      <x:c r="O613" s="7" t="n">
        <x:v>655.28</x:v>
      </x:c>
      <x:c r="P613" s="6" t="n">
        <x:v>0.1</x:v>
      </x:c>
      <x:c r="Q613" s="7" t="n">
        <x:v>4718.02</x:v>
      </x:c>
      <x:c r="R613" s="7" t="n">
        <x:v>3908.23</x:v>
      </x:c>
      <x:c r="S613" s="7" t="n">
        <x:v>809.79</x:v>
      </x:c>
      <x:c r="T613" t="str">
        <x:v>Paid</x:v>
      </x:c>
      <x:c r="U613" t="str">
        <x:v>Completed</x:v>
      </x:c>
      <x:c r="V613" s="6" t="n">
        <x:f>IF(ISBLANK(P613),IF(AND(ISNUMBER(N613),N613&gt;0,ISNUMBER(O613),O613&gt;=0,ISNUMBER(Q613),Q613&gt;=0,ISNUMBER(R613),R613&gt;=0,ISNUMBER(S613)),0,""),P613)</x:f>
        <x:v>0.1</x:v>
      </x:c>
      <x:c r="W613" s="7" t="n">
        <x:f>IF(ISBLANK(V613),"",N613*O613*(1-V613))</x:f>
        <x:v>4718.016</x:v>
      </x:c>
      <x:c r="X613" s="7" t="n">
        <x:f>IF(OR(ISBLANK(W613),ISBLANK(R613)),"",W613-R613)</x:f>
        <x:v>809.7859999999996</x:v>
      </x:c>
      <x:c r="Y613" s="8" t="n">
        <x:f>IF(OR(ISBLANK(W613),W613=0),"",X613/W613)</x:f>
        <x:v>0.17163697622051297</x:v>
      </x:c>
      <x:c r="Z613" s="9" t="n">
        <x:f>IF(OR(ISBLANK(B613),ISBLANK(C613)),"",C613-B613)</x:f>
        <x:v>7</x:v>
      </x:c>
      <x:c r="AA613" t="str">
        <x:f>IF(ISBLANK(B613),"",TEXT(B613,"mmm"))</x:f>
        <x:v>Jul</x:v>
      </x:c>
      <x:c r="AB613" s="9" t="n">
        <x:f>IF(ISBLANK(B613),"",YEAR(B613))</x:f>
        <x:v>2025</x:v>
      </x:c>
      <x:c r="AC613" s="10" t="str"/>
      <x:c r="AD613" t="str">
        <x:f>IF(AND(U613="Completed",T613="Paid",ISERROR(SEARCH("INVALID",AC613)),ISERROR(SEARCH("REVIEW",AC613))),"Include","Exclude")</x:f>
        <x:v>Include</x:v>
      </x:c>
      <x:c r="AE613" t="str">
        <x:f>IF(T613="Refunded","Refunded","")</x:f>
      </x:c>
    </x:row>
    <x:row r="614">
      <x:c r="A614" t="str">
        <x:v>ORD-2025-10613</x:v>
      </x:c>
      <x:c r="B614" s="5" t="n">
        <x:v>45753</x:v>
      </x:c>
      <x:c r="C614" s="5" t="n">
        <x:v>45760</x:v>
      </x:c>
      <x:c r="D614" t="str">
        <x:v>CUST-5663</x:v>
      </x:c>
      <x:c r="E614" t="str">
        <x:v>Aditi Sen</x:v>
      </x:c>
      <x:c r="F614" t="str">
        <x:v>Consumer</x:v>
      </x:c>
      <x:c r="G614" t="str">
        <x:v>Unknown</x:v>
      </x:c>
      <x:c r="H614" t="str">
        <x:v>Odisha</x:v>
      </x:c>
      <x:c r="I614" t="str">
        <x:v>Bhubaneswar</x:v>
      </x:c>
      <x:c r="J614" t="str">
        <x:v>Technology</x:v>
      </x:c>
      <x:c r="K614" t="str">
        <x:v>Phones</x:v>
      </x:c>
      <x:c r="L614" t="str">
        <x:v>Elite Phones 239</x:v>
      </x:c>
      <x:c r="M614" t="str">
        <x:v>Standard Class</x:v>
      </x:c>
      <x:c r="N614" t="n">
        <x:v>1</x:v>
      </x:c>
      <x:c r="O614" s="7" t="n">
        <x:v>3844.01</x:v>
      </x:c>
      <x:c r="P614" s="6" t="n">
        <x:v>0</x:v>
      </x:c>
      <x:c r="Q614" s="7" t="n">
        <x:v>3844.01</x:v>
      </x:c>
      <x:c r="R614" s="7" t="n">
        <x:v>2195.79</x:v>
      </x:c>
      <x:c r="S614" s="7" t="n">
        <x:v>1648.22</x:v>
      </x:c>
      <x:c r="T614" t="str">
        <x:v>Paid</x:v>
      </x:c>
      <x:c r="U614" t="str">
        <x:v>Completed</x:v>
      </x:c>
      <x:c r="V614" s="6" t="n">
        <x:f>IF(ISBLANK(P614),IF(AND(ISNUMBER(N614),N614&gt;0,ISNUMBER(O614),O614&gt;=0,ISNUMBER(Q614),Q614&gt;=0,ISNUMBER(R614),R614&gt;=0,ISNUMBER(S614)),0,""),P614)</x:f>
        <x:v>0</x:v>
      </x:c>
      <x:c r="W614" s="7" t="n">
        <x:f>IF(ISBLANK(V614),"",N614*O614*(1-V614))</x:f>
        <x:v>3844.01</x:v>
      </x:c>
      <x:c r="X614" s="7" t="n">
        <x:f>IF(OR(ISBLANK(W614),ISBLANK(R614)),"",W614-R614)</x:f>
        <x:v>1648.2200000000003</x:v>
      </x:c>
      <x:c r="Y614" s="8" t="n">
        <x:f>IF(OR(ISBLANK(W614),W614=0),"",X614/W614)</x:f>
        <x:v>0.42877619985379856</x:v>
      </x:c>
      <x:c r="Z614" s="9" t="n">
        <x:f>IF(OR(ISBLANK(B614),ISBLANK(C614)),"",C614-B614)</x:f>
        <x:v>7</x:v>
      </x:c>
      <x:c r="AA614" t="str">
        <x:f>IF(ISBLANK(B614),"",TEXT(B614,"mmm"))</x:f>
        <x:v>Apr</x:v>
      </x:c>
      <x:c r="AB614" s="9" t="n">
        <x:f>IF(ISBLANK(B614),"",YEAR(B614))</x:f>
        <x:v>2025</x:v>
      </x:c>
      <x:c r="AC614" s="10" t="str">
        <x:v>FLAG: Missing region filled as Unknown</x:v>
      </x:c>
      <x:c r="AD614" t="str">
        <x:f>IF(AND(U614="Completed",T614="Paid",ISERROR(SEARCH("INVALID",AC614)),ISERROR(SEARCH("REVIEW",AC614))),"Include","Exclude")</x:f>
        <x:v>Include</x:v>
      </x:c>
      <x:c r="AE614" t="str">
        <x:f>IF(T614="Refunded","Refunded","")</x:f>
      </x:c>
    </x:row>
    <x:row r="615">
      <x:c r="A615" t="str">
        <x:v>ORD-2024-10614</x:v>
      </x:c>
      <x:c r="B615" s="5" t="n">
        <x:v>45570</x:v>
      </x:c>
      <x:c r="C615" s="5" t="n">
        <x:v>45575</x:v>
      </x:c>
      <x:c r="D615" t="str">
        <x:v>CUST-9311</x:v>
      </x:c>
      <x:c r="E615" t="str">
        <x:v>Diya Patel</x:v>
      </x:c>
      <x:c r="F615" t="str">
        <x:v>Home Office</x:v>
      </x:c>
      <x:c r="G615" t="str">
        <x:v>West</x:v>
      </x:c>
      <x:c r="H615" t="str">
        <x:v>Gujarat</x:v>
      </x:c>
      <x:c r="I615" t="str">
        <x:v>Ahmedabad</x:v>
      </x:c>
      <x:c r="J615" t="str">
        <x:v>Technology</x:v>
      </x:c>
      <x:c r="K615" t="str">
        <x:v>Machines</x:v>
      </x:c>
      <x:c r="L615" t="str">
        <x:v>Basic Machines 413</x:v>
      </x:c>
      <x:c r="M615" t="str">
        <x:v>Same Day</x:v>
      </x:c>
      <x:c r="N615" t="n">
        <x:v>9</x:v>
      </x:c>
      <x:c r="O615" s="7" t="n">
        <x:v>3361.3</x:v>
      </x:c>
      <x:c r="P615" s="6" t="n">
        <x:v>0.25</x:v>
      </x:c>
      <x:c r="Q615" s="7" t="n">
        <x:v>22688.78</x:v>
      </x:c>
      <x:c r="R615" s="7" t="n">
        <x:v>14672.41</x:v>
      </x:c>
      <x:c r="S615" s="7" t="n">
        <x:v>8016.37</x:v>
      </x:c>
      <x:c r="T615" t="str">
        <x:v>Paid</x:v>
      </x:c>
      <x:c r="U615" t="str">
        <x:v>Completed</x:v>
      </x:c>
      <x:c r="V615" s="6" t="n">
        <x:f>IF(ISBLANK(P615),IF(AND(ISNUMBER(N615),N615&gt;0,ISNUMBER(O615),O615&gt;=0,ISNUMBER(Q615),Q615&gt;=0,ISNUMBER(R615),R615&gt;=0,ISNUMBER(S615)),0,""),P615)</x:f>
        <x:v>0.25</x:v>
      </x:c>
      <x:c r="W615" s="7" t="n">
        <x:f>IF(ISBLANK(V615),"",N615*O615*(1-V615))</x:f>
        <x:v>22688.775</x:v>
      </x:c>
      <x:c r="X615" s="7" t="n">
        <x:f>IF(OR(ISBLANK(W615),ISBLANK(R615)),"",W615-R615)</x:f>
        <x:v>8016.365000000002</x:v>
      </x:c>
      <x:c r="Y615" s="8" t="n">
        <x:f>IF(OR(ISBLANK(W615),W615=0),"",X615/W615)</x:f>
        <x:v>0.35331854628555315</x:v>
      </x:c>
      <x:c r="Z615" s="9" t="n">
        <x:f>IF(OR(ISBLANK(B615),ISBLANK(C615)),"",C615-B615)</x:f>
        <x:v>5</x:v>
      </x:c>
      <x:c r="AA615" t="str">
        <x:f>IF(ISBLANK(B615),"",TEXT(B615,"mmm"))</x:f>
        <x:v>Oct</x:v>
      </x:c>
      <x:c r="AB615" s="9" t="n">
        <x:f>IF(ISBLANK(B615),"",YEAR(B615))</x:f>
        <x:v>2024</x:v>
      </x:c>
      <x:c r="AC615" s="10" t="str"/>
      <x:c r="AD615" t="str">
        <x:f>IF(AND(U615="Completed",T615="Paid",ISERROR(SEARCH("INVALID",AC615)),ISERROR(SEARCH("REVIEW",AC615))),"Include","Exclude")</x:f>
        <x:v>Include</x:v>
      </x:c>
      <x:c r="AE615" t="str">
        <x:f>IF(T615="Refunded","Refunded","")</x:f>
      </x:c>
    </x:row>
    <x:row r="616">
      <x:c r="A616" t="str">
        <x:v>ORD-2024-10615</x:v>
      </x:c>
      <x:c r="B616" s="5" t="n">
        <x:v>45333</x:v>
      </x:c>
      <x:c r="C616" s="5" t="n">
        <x:v>45341</x:v>
      </x:c>
      <x:c r="D616" t="str">
        <x:v>CUST-8154</x:v>
      </x:c>
      <x:c r="E616" t="str">
        <x:v>Ananya Rao</x:v>
      </x:c>
      <x:c r="F616" t="str">
        <x:v>Home Office</x:v>
      </x:c>
      <x:c r="G616" t="str">
        <x:v>South</x:v>
      </x:c>
      <x:c r="H616" t="str">
        <x:v>Telangana</x:v>
      </x:c>
      <x:c r="I616" t="str">
        <x:v>Hyderabad</x:v>
      </x:c>
      <x:c r="J616" t="str">
        <x:v>Furniture</x:v>
      </x:c>
      <x:c r="K616" t="str">
        <x:v>Chairs</x:v>
      </x:c>
      <x:c r="L616" t="str">
        <x:v>Elite Chairs 140</x:v>
      </x:c>
      <x:c r="M616" t="str">
        <x:v>Standard Class</x:v>
      </x:c>
      <x:c r="N616" t="n">
        <x:v>8</x:v>
      </x:c>
      <x:c r="O616" s="7" t="n">
        <x:v>3398.32</x:v>
      </x:c>
      <x:c r="P616" s="6" t="n">
        <x:v>0.25</x:v>
      </x:c>
      <x:c r="Q616" s="7" t="n">
        <x:v>20389.92</x:v>
      </x:c>
      <x:c r="R616" s="7" t="n">
        <x:v>16661.08</x:v>
      </x:c>
      <x:c r="S616" s="7" t="n">
        <x:v>3728.84</x:v>
      </x:c>
      <x:c r="T616" t="str">
        <x:v>Refunded</x:v>
      </x:c>
      <x:c r="U616" t="str">
        <x:v>Cancelled</x:v>
      </x:c>
      <x:c r="V616" s="6" t="n">
        <x:f>IF(ISBLANK(P616),IF(AND(ISNUMBER(N616),N616&gt;0,ISNUMBER(O616),O616&gt;=0,ISNUMBER(Q616),Q616&gt;=0,ISNUMBER(R616),R616&gt;=0,ISNUMBER(S616)),0,""),P616)</x:f>
        <x:v>0.25</x:v>
      </x:c>
      <x:c r="W616" s="7" t="n">
        <x:f>IF(ISBLANK(V616),"",N616*O616*(1-V616))</x:f>
        <x:v>20389.920000000002</x:v>
      </x:c>
      <x:c r="X616" s="7" t="n">
        <x:f>IF(OR(ISBLANK(W616),ISBLANK(R616)),"",W616-R616)</x:f>
        <x:v>3728.84</x:v>
      </x:c>
      <x:c r="Y616" s="8" t="n">
        <x:f>IF(OR(ISBLANK(W616),W616=0),"",X616/W616)</x:f>
        <x:v>0.1828766370834216</x:v>
      </x:c>
      <x:c r="Z616" s="9" t="n">
        <x:f>IF(OR(ISBLANK(B616),ISBLANK(C616)),"",C616-B616)</x:f>
        <x:v>8</x:v>
      </x:c>
      <x:c r="AA616" t="str">
        <x:f>IF(ISBLANK(B616),"",TEXT(B616,"mmm"))</x:f>
        <x:v>Feb</x:v>
      </x:c>
      <x:c r="AB616" s="9" t="n">
        <x:f>IF(ISBLANK(B616),"",YEAR(B616))</x:f>
        <x:v>2024</x:v>
      </x:c>
      <x:c r="AC616" s="10" t="str">
        <x:v>EXCLUDE: Cancelled order; REFUND: Summarize separately</x:v>
      </x:c>
      <x:c r="AD616" t="str">
        <x:f>IF(AND(U616="Completed",T616="Paid",ISERROR(SEARCH("INVALID",AC616)),ISERROR(SEARCH("REVIEW",AC616))),"Include","Exclude")</x:f>
        <x:v>Exclude</x:v>
      </x:c>
      <x:c r="AE616" t="str">
        <x:f>IF(T616="Refunded","Refunded","")</x:f>
        <x:v>Refunded</x:v>
      </x:c>
    </x:row>
    <x:row r="617">
      <x:c r="A617" t="str">
        <x:v>ORD-2024-10616</x:v>
      </x:c>
      <x:c r="B617" s="5" t="n">
        <x:v>45569</x:v>
      </x:c>
      <x:c r="C617" s="5" t="n">
        <x:v>45572</x:v>
      </x:c>
      <x:c r="D617" t="str">
        <x:v>CUST-4462</x:v>
      </x:c>
      <x:c r="E617" t="str">
        <x:v>Rahul Verma</x:v>
      </x:c>
      <x:c r="F617" t="str">
        <x:v>Corporate</x:v>
      </x:c>
      <x:c r="G617" t="str">
        <x:v>South</x:v>
      </x:c>
      <x:c r="H617" t="str">
        <x:v>Kerala</x:v>
      </x:c>
      <x:c r="I617" t="str">
        <x:v>Kochi</x:v>
      </x:c>
      <x:c r="J617" t="str">
        <x:v>Office Supplies</x:v>
      </x:c>
      <x:c r="K617" t="str">
        <x:v>Art</x:v>
      </x:c>
      <x:c r="L617" t="str">
        <x:v>Basic Art 771</x:v>
      </x:c>
      <x:c r="M617" t="str">
        <x:v>Second Class</x:v>
      </x:c>
      <x:c r="N617" t="n">
        <x:v>2</x:v>
      </x:c>
      <x:c r="O617" s="7" t="n">
        <x:v>3144.38</x:v>
      </x:c>
      <x:c r="P617" s="6" t="n">
        <x:v>0.1</x:v>
      </x:c>
      <x:c r="Q617" s="7" t="n">
        <x:v>5904.57</x:v>
      </x:c>
      <x:c r="R617" s="7" t="n">
        <x:v>4337.79</x:v>
      </x:c>
      <x:c r="S617" s="7" t="n">
        <x:v>1322.09</x:v>
      </x:c>
      <x:c r="T617" t="str">
        <x:v>Paid</x:v>
      </x:c>
      <x:c r="U617" t="str">
        <x:v>Completed</x:v>
      </x:c>
      <x:c r="V617" s="6" t="n">
        <x:f>IF(ISBLANK(P617),IF(AND(ISNUMBER(N617),N617&gt;0,ISNUMBER(O617),O617&gt;=0,ISNUMBER(Q617),Q617&gt;=0,ISNUMBER(R617),R617&gt;=0,ISNUMBER(S617)),0,""),P617)</x:f>
        <x:v>0.1</x:v>
      </x:c>
      <x:c r="W617" s="7" t="n">
        <x:f>IF(ISBLANK(V617),"",N617*O617*(1-V617))</x:f>
        <x:v>5659.884</x:v>
      </x:c>
      <x:c r="X617" s="7" t="n">
        <x:f>IF(OR(ISBLANK(W617),ISBLANK(R617)),"",W617-R617)</x:f>
        <x:v>1322.094</x:v>
      </x:c>
      <x:c r="Y617" s="8" t="n">
        <x:f>IF(OR(ISBLANK(W617),W617=0),"",X617/W617)</x:f>
        <x:v>0.23359029973052453</x:v>
      </x:c>
      <x:c r="Z617" s="9" t="n">
        <x:f>IF(OR(ISBLANK(B617),ISBLANK(C617)),"",C617-B617)</x:f>
        <x:v>3</x:v>
      </x:c>
      <x:c r="AA617" t="str">
        <x:f>IF(ISBLANK(B617),"",TEXT(B617,"mmm"))</x:f>
        <x:v>Oct</x:v>
      </x:c>
      <x:c r="AB617" s="9" t="n">
        <x:f>IF(ISBLANK(B617),"",YEAR(B617))</x:f>
        <x:v>2024</x:v>
      </x:c>
      <x:c r="AC617" s="10" t="str"/>
      <x:c r="AD617" t="str">
        <x:f>IF(AND(U617="Completed",T617="Paid",ISERROR(SEARCH("INVALID",AC617)),ISERROR(SEARCH("REVIEW",AC617))),"Include","Exclude")</x:f>
        <x:v>Include</x:v>
      </x:c>
      <x:c r="AE617" t="str">
        <x:f>IF(T617="Refunded","Refunded","")</x:f>
      </x:c>
    </x:row>
    <x:row r="618">
      <x:c r="A618" t="str">
        <x:v>ORD-2024-10617</x:v>
      </x:c>
      <x:c r="B618" s="5" t="n">
        <x:v>45520</x:v>
      </x:c>
      <x:c r="C618" s="5" t="n">
        <x:v>45523</x:v>
      </x:c>
      <x:c r="D618" t="str">
        <x:v>CUST-4660</x:v>
      </x:c>
      <x:c r="E618" t="str">
        <x:v>Kabir Singh</x:v>
      </x:c>
      <x:c r="F618" t="str">
        <x:v>Consumer</x:v>
      </x:c>
      <x:c r="G618" t="str">
        <x:v>South</x:v>
      </x:c>
      <x:c r="H618" t="str">
        <x:v>Telangana</x:v>
      </x:c>
      <x:c r="I618" t="str">
        <x:v>Hyderabad</x:v>
      </x:c>
      <x:c r="J618" t="str">
        <x:v>Office Supplies</x:v>
      </x:c>
      <x:c r="K618" t="str">
        <x:v>Paper</x:v>
      </x:c>
      <x:c r="L618" t="str">
        <x:v>Prime Paper 664</x:v>
      </x:c>
      <x:c r="M618" t="str">
        <x:v>Standard Class</x:v>
      </x:c>
      <x:c r="N618" t="n">
        <x:v>6</x:v>
      </x:c>
      <x:c r="O618" s="7" t="n">
        <x:v>3925.55</x:v>
      </x:c>
      <x:c r="P618" s="6" t="n">
        <x:v>0.2</x:v>
      </x:c>
      <x:c r="Q618" s="7" t="n">
        <x:v>18842.64</x:v>
      </x:c>
      <x:c r="R618" s="7" t="n">
        <x:v>11840.58</x:v>
      </x:c>
      <x:c r="S618" s="7" t="n">
        <x:v>7002.06</x:v>
      </x:c>
      <x:c r="T618" t="str">
        <x:v>Paid</x:v>
      </x:c>
      <x:c r="U618" t="str">
        <x:v>Completed</x:v>
      </x:c>
      <x:c r="V618" s="6" t="n">
        <x:f>IF(ISBLANK(P618),IF(AND(ISNUMBER(N618),N618&gt;0,ISNUMBER(O618),O618&gt;=0,ISNUMBER(Q618),Q618&gt;=0,ISNUMBER(R618),R618&gt;=0,ISNUMBER(S618)),0,""),P618)</x:f>
        <x:v>0.2</x:v>
      </x:c>
      <x:c r="W618" s="7" t="n">
        <x:f>IF(ISBLANK(V618),"",N618*O618*(1-V618))</x:f>
        <x:v>18842.640000000003</x:v>
      </x:c>
      <x:c r="X618" s="7" t="n">
        <x:f>IF(OR(ISBLANK(W618),ISBLANK(R618)),"",W618-R618)</x:f>
        <x:v>7002.060000000003</x:v>
      </x:c>
      <x:c r="Y618" s="8" t="n">
        <x:f>IF(OR(ISBLANK(W618),W618=0),"",X618/W618)</x:f>
        <x:v>0.37160716332743193</x:v>
      </x:c>
      <x:c r="Z618" s="9" t="n">
        <x:f>IF(OR(ISBLANK(B618),ISBLANK(C618)),"",C618-B618)</x:f>
        <x:v>3</x:v>
      </x:c>
      <x:c r="AA618" t="str">
        <x:f>IF(ISBLANK(B618),"",TEXT(B618,"mmm"))</x:f>
        <x:v>Aug</x:v>
      </x:c>
      <x:c r="AB618" s="9" t="n">
        <x:f>IF(ISBLANK(B618),"",YEAR(B618))</x:f>
        <x:v>2024</x:v>
      </x:c>
      <x:c r="AC618" s="10" t="str"/>
      <x:c r="AD618" t="str">
        <x:f>IF(AND(U618="Completed",T618="Paid",ISERROR(SEARCH("INVALID",AC618)),ISERROR(SEARCH("REVIEW",AC618))),"Include","Exclude")</x:f>
        <x:v>Include</x:v>
      </x:c>
      <x:c r="AE618" t="str">
        <x:f>IF(T618="Refunded","Refunded","")</x:f>
      </x:c>
    </x:row>
    <x:row r="619">
      <x:c r="A619" t="str">
        <x:v>ORD-2024-10618</x:v>
      </x:c>
      <x:c r="B619" s="5" t="n">
        <x:v>45564</x:v>
      </x:c>
      <x:c r="C619" s="5" t="n">
        <x:v>45565</x:v>
      </x:c>
      <x:c r="D619" t="str">
        <x:v>CUST-9002</x:v>
      </x:c>
      <x:c r="E619" t="str">
        <x:v>Mira Das</x:v>
      </x:c>
      <x:c r="F619" t="str">
        <x:v>Home Office</x:v>
      </x:c>
      <x:c r="G619" t="str">
        <x:v>South</x:v>
      </x:c>
      <x:c r="H619" t="str">
        <x:v>Telangana</x:v>
      </x:c>
      <x:c r="I619" t="str">
        <x:v>Hyderabad</x:v>
      </x:c>
      <x:c r="J619" t="str">
        <x:v>Technology</x:v>
      </x:c>
      <x:c r="K619" t="str">
        <x:v>Phones</x:v>
      </x:c>
      <x:c r="L619" t="str">
        <x:v>Pro Phones 226</x:v>
      </x:c>
      <x:c r="M619" t="str">
        <x:v>Standard Class</x:v>
      </x:c>
      <x:c r="N619" t="n">
        <x:v>9</x:v>
      </x:c>
      <x:c r="O619" s="7" t="n">
        <x:v>2741.91</x:v>
      </x:c>
      <x:c r="P619" s="6" t="n">
        <x:v>0</x:v>
      </x:c>
      <x:c r="Q619" s="7" t="n">
        <x:v>24677.19</x:v>
      </x:c>
      <x:c r="R619" s="7" t="n">
        <x:v>20350.85</x:v>
      </x:c>
      <x:c r="S619" s="7" t="n">
        <x:v>4326.34</x:v>
      </x:c>
      <x:c r="T619" t="str">
        <x:v>Paid</x:v>
      </x:c>
      <x:c r="U619" t="str">
        <x:v>Completed</x:v>
      </x:c>
      <x:c r="V619" s="6" t="n">
        <x:f>IF(ISBLANK(P619),IF(AND(ISNUMBER(N619),N619&gt;0,ISNUMBER(O619),O619&gt;=0,ISNUMBER(Q619),Q619&gt;=0,ISNUMBER(R619),R619&gt;=0,ISNUMBER(S619)),0,""),P619)</x:f>
        <x:v>0</x:v>
      </x:c>
      <x:c r="W619" s="7" t="n">
        <x:f>IF(ISBLANK(V619),"",N619*O619*(1-V619))</x:f>
        <x:v>24677.19</x:v>
      </x:c>
      <x:c r="X619" s="7" t="n">
        <x:f>IF(OR(ISBLANK(W619),ISBLANK(R619)),"",W619-R619)</x:f>
        <x:v>4326.34</x:v>
      </x:c>
      <x:c r="Y619" s="8" t="n">
        <x:f>IF(OR(ISBLANK(W619),W619=0),"",X619/W619)</x:f>
        <x:v>0.17531736798233513</x:v>
      </x:c>
      <x:c r="Z619" s="9" t="n">
        <x:f>IF(OR(ISBLANK(B619),ISBLANK(C619)),"",C619-B619)</x:f>
        <x:v>1</x:v>
      </x:c>
      <x:c r="AA619" t="str">
        <x:f>IF(ISBLANK(B619),"",TEXT(B619,"mmm"))</x:f>
        <x:v>Sep</x:v>
      </x:c>
      <x:c r="AB619" s="9" t="n">
        <x:f>IF(ISBLANK(B619),"",YEAR(B619))</x:f>
        <x:v>2024</x:v>
      </x:c>
      <x:c r="AC619" s="10" t="str"/>
      <x:c r="AD619" t="str">
        <x:f>IF(AND(U619="Completed",T619="Paid",ISERROR(SEARCH("INVALID",AC619)),ISERROR(SEARCH("REVIEW",AC619))),"Include","Exclude")</x:f>
        <x:v>Include</x:v>
      </x:c>
      <x:c r="AE619" t="str">
        <x:f>IF(T619="Refunded","Refunded","")</x:f>
      </x:c>
    </x:row>
    <x:row r="620">
      <x:c r="A620" t="str">
        <x:v>ORD-2024-10619</x:v>
      </x:c>
      <x:c r="B620" s="5" t="n">
        <x:v>45496</x:v>
      </x:c>
      <x:c r="C620" s="5" t="n">
        <x:v>45503</x:v>
      </x:c>
      <x:c r="D620" t="str">
        <x:v>CUST-1057</x:v>
      </x:c>
      <x:c r="E620" t="str">
        <x:v>Kabir Singh</x:v>
      </x:c>
      <x:c r="F620" t="str">
        <x:v>Corporate</x:v>
      </x:c>
      <x:c r="G620" t="str">
        <x:v>North</x:v>
      </x:c>
      <x:c r="H620" t="str">
        <x:v>Rajasthan</x:v>
      </x:c>
      <x:c r="I620" t="str">
        <x:v>Jaipur</x:v>
      </x:c>
      <x:c r="J620" t="str">
        <x:v>Furniture</x:v>
      </x:c>
      <x:c r="K620" t="str">
        <x:v>Tables</x:v>
      </x:c>
      <x:c r="L620" t="str">
        <x:v>Basic Tables 684</x:v>
      </x:c>
      <x:c r="M620" t="str">
        <x:v>Same Day</x:v>
      </x:c>
      <x:c r="N620" t="n">
        <x:v>9</x:v>
      </x:c>
      <x:c r="O620" s="7" t="n">
        <x:v>1870.11</x:v>
      </x:c>
      <x:c r="P620" s="6" t="n">
        <x:v>0.25</x:v>
      </x:c>
      <x:c r="Q620" s="7" t="n">
        <x:v>12623.24</x:v>
      </x:c>
      <x:c r="R620" s="7" t="n">
        <x:v>10540.8</x:v>
      </x:c>
      <x:c r="S620" s="7" t="n">
        <x:v>2082.44</x:v>
      </x:c>
      <x:c r="T620" t="str">
        <x:v>Failed</x:v>
      </x:c>
      <x:c r="U620" t="str">
        <x:v>Cancelled</x:v>
      </x:c>
      <x:c r="V620" s="6" t="n">
        <x:f>IF(ISBLANK(P620),IF(AND(ISNUMBER(N620),N620&gt;0,ISNUMBER(O620),O620&gt;=0,ISNUMBER(Q620),Q620&gt;=0,ISNUMBER(R620),R620&gt;=0,ISNUMBER(S620)),0,""),P620)</x:f>
        <x:v>0.25</x:v>
      </x:c>
      <x:c r="W620" s="7" t="n">
        <x:f>IF(ISBLANK(V620),"",N620*O620*(1-V620))</x:f>
        <x:v>12623.242499999998</x:v>
      </x:c>
      <x:c r="X620" s="7" t="n">
        <x:f>IF(OR(ISBLANK(W620),ISBLANK(R620)),"",W620-R620)</x:f>
        <x:v>2082.442499999999</x:v>
      </x:c>
      <x:c r="Y620" s="8" t="n">
        <x:f>IF(OR(ISBLANK(W620),W620=0),"",X620/W620)</x:f>
        <x:v>0.16496890557239943</x:v>
      </x:c>
      <x:c r="Z620" s="9" t="n">
        <x:f>IF(OR(ISBLANK(B620),ISBLANK(C620)),"",C620-B620)</x:f>
        <x:v>7</x:v>
      </x:c>
      <x:c r="AA620" t="str">
        <x:f>IF(ISBLANK(B620),"",TEXT(B620,"mmm"))</x:f>
        <x:v>Jul</x:v>
      </x:c>
      <x:c r="AB620" s="9" t="n">
        <x:f>IF(ISBLANK(B620),"",YEAR(B620))</x:f>
        <x:v>2024</x:v>
      </x:c>
      <x:c r="AC620" s="10" t="str">
        <x:v>EXCLUDE: Cancelled order; EXCLUDE: Failed payment</x:v>
      </x:c>
      <x:c r="AD620" t="str">
        <x:f>IF(AND(U620="Completed",T620="Paid",ISERROR(SEARCH("INVALID",AC620)),ISERROR(SEARCH("REVIEW",AC620))),"Include","Exclude")</x:f>
        <x:v>Exclude</x:v>
      </x:c>
      <x:c r="AE620" t="str">
        <x:f>IF(T620="Refunded","Refunded","")</x:f>
      </x:c>
    </x:row>
    <x:row r="621">
      <x:c r="A621" t="str">
        <x:v>ORD-2024-10620</x:v>
      </x:c>
      <x:c r="B621" s="5" t="n">
        <x:v>45618</x:v>
      </x:c>
      <x:c r="C621" s="5" t="n">
        <x:v>45623</x:v>
      </x:c>
      <x:c r="D621" t="str">
        <x:v>CUST-9596</x:v>
      </x:c>
      <x:c r="E621" t="str">
        <x:v>Priya Menon</x:v>
      </x:c>
      <x:c r="F621" t="str">
        <x:v>Corporate</x:v>
      </x:c>
      <x:c r="G621" t="str">
        <x:v>South</x:v>
      </x:c>
      <x:c r="H621" t="str">
        <x:v>Tamil Nadu</x:v>
      </x:c>
      <x:c r="I621" t="str">
        <x:v>Chennai</x:v>
      </x:c>
      <x:c r="J621" t="str">
        <x:v>Office Supplies</x:v>
      </x:c>
      <x:c r="K621" t="str">
        <x:v>Binders</x:v>
      </x:c>
      <x:c r="L621" t="str">
        <x:v>Prime Binders 938</x:v>
      </x:c>
      <x:c r="M621" t="str">
        <x:v>First Class</x:v>
      </x:c>
      <x:c r="N621" t="n">
        <x:v>1</x:v>
      </x:c>
      <x:c r="O621" s="7" t="n">
        <x:v>4251.26</x:v>
      </x:c>
      <x:c r="P621" s="6" t="n">
        <x:v>0.2</x:v>
      </x:c>
      <x:c r="Q621" s="7" t="n">
        <x:v>3401.01</x:v>
      </x:c>
      <x:c r="R621" s="7" t="n">
        <x:v>2917.54</x:v>
      </x:c>
      <x:c r="S621" s="7" t="n">
        <x:v>483.47</x:v>
      </x:c>
      <x:c r="T621" t="str">
        <x:v>Refunded</x:v>
      </x:c>
      <x:c r="U621" t="str">
        <x:v>Returned</x:v>
      </x:c>
      <x:c r="V621" s="6" t="n">
        <x:f>IF(ISBLANK(P621),IF(AND(ISNUMBER(N621),N621&gt;0,ISNUMBER(O621),O621&gt;=0,ISNUMBER(Q621),Q621&gt;=0,ISNUMBER(R621),R621&gt;=0,ISNUMBER(S621)),0,""),P621)</x:f>
        <x:v>0.2</x:v>
      </x:c>
      <x:c r="W621" s="7" t="n">
        <x:f>IF(ISBLANK(V621),"",N621*O621*(1-V621))</x:f>
        <x:v>3401.0080000000003</x:v>
      </x:c>
      <x:c r="X621" s="7" t="n">
        <x:f>IF(OR(ISBLANK(W621),ISBLANK(R621)),"",W621-R621)</x:f>
        <x:v>483.4680000000003</x:v>
      </x:c>
      <x:c r="Y621" s="8" t="n">
        <x:f>IF(OR(ISBLANK(W621),W621=0),"",X621/W621)</x:f>
        <x:v>0.14215432601158254</x:v>
      </x:c>
      <x:c r="Z621" s="9" t="n">
        <x:f>IF(OR(ISBLANK(B621),ISBLANK(C621)),"",C621-B621)</x:f>
        <x:v>5</x:v>
      </x:c>
      <x:c r="AA621" t="str">
        <x:f>IF(ISBLANK(B621),"",TEXT(B621,"mmm"))</x:f>
        <x:v>Nov</x:v>
      </x:c>
      <x:c r="AB621" s="9" t="n">
        <x:f>IF(ISBLANK(B621),"",YEAR(B621))</x:f>
        <x:v>2024</x:v>
      </x:c>
      <x:c r="AC621" s="10" t="str">
        <x:v>REFUND: Summarize separately</x:v>
      </x:c>
      <x:c r="AD621" t="str">
        <x:f>IF(AND(U621="Completed",T621="Paid",ISERROR(SEARCH("INVALID",AC621)),ISERROR(SEARCH("REVIEW",AC621))),"Include","Exclude")</x:f>
        <x:v>Exclude</x:v>
      </x:c>
      <x:c r="AE621" t="str">
        <x:f>IF(T621="Refunded","Refunded","")</x:f>
        <x:v>Refunded</x:v>
      </x:c>
    </x:row>
    <x:row r="622">
      <x:c r="A622" t="str">
        <x:v>ORD-2024-10621</x:v>
      </x:c>
      <x:c r="B622" s="5" t="n">
        <x:v>45522</x:v>
      </x:c>
      <x:c r="C622" s="5" t="n">
        <x:v>45525</x:v>
      </x:c>
      <x:c r="D622" t="str">
        <x:v>CUST-6947</x:v>
      </x:c>
      <x:c r="E622" t="str">
        <x:v>Vikram Iyer</x:v>
      </x:c>
      <x:c r="F622" t="str">
        <x:v>Consumer</x:v>
      </x:c>
      <x:c r="G622" t="str">
        <x:v>North</x:v>
      </x:c>
      <x:c r="H622" t="str">
        <x:v>Uttar Pradesh</x:v>
      </x:c>
      <x:c r="I622" t="str">
        <x:v>Noida</x:v>
      </x:c>
      <x:c r="J622" t="str">
        <x:v>Technology</x:v>
      </x:c>
      <x:c r="K622" t="str">
        <x:v>Machines</x:v>
      </x:c>
      <x:c r="L622" t="str">
        <x:v>Classic Machines 337</x:v>
      </x:c>
      <x:c r="M622" t="str">
        <x:v>Standard Class</x:v>
      </x:c>
      <x:c r="N622" t="n">
        <x:v>9</x:v>
      </x:c>
      <x:c r="O622" s="7" t="n">
        <x:v>734.34</x:v>
      </x:c>
      <x:c r="P622" s="6" t="n">
        <x:v>0</x:v>
      </x:c>
      <x:c r="Q622" s="7" t="n">
        <x:v>6609.06</x:v>
      </x:c>
      <x:c r="R622" s="7" t="n">
        <x:v>4946.78</x:v>
      </x:c>
      <x:c r="S622" s="7" t="n">
        <x:v>1662.28</x:v>
      </x:c>
      <x:c r="T622" t="str">
        <x:v>Paid</x:v>
      </x:c>
      <x:c r="U622" t="str">
        <x:v>Completed</x:v>
      </x:c>
      <x:c r="V622" s="6" t="n">
        <x:f>IF(ISBLANK(P622),IF(AND(ISNUMBER(N622),N622&gt;0,ISNUMBER(O622),O622&gt;=0,ISNUMBER(Q622),Q622&gt;=0,ISNUMBER(R622),R622&gt;=0,ISNUMBER(S622)),0,""),P622)</x:f>
        <x:v>0</x:v>
      </x:c>
      <x:c r="W622" s="7" t="n">
        <x:f>IF(ISBLANK(V622),"",N622*O622*(1-V622))</x:f>
        <x:v>6609.06</x:v>
      </x:c>
      <x:c r="X622" s="7" t="n">
        <x:f>IF(OR(ISBLANK(W622),ISBLANK(R622)),"",W622-R622)</x:f>
        <x:v>1662.2800000000007</x:v>
      </x:c>
      <x:c r="Y622" s="8" t="n">
        <x:f>IF(OR(ISBLANK(W622),W622=0),"",X622/W622)</x:f>
        <x:v>0.2515153440882668</x:v>
      </x:c>
      <x:c r="Z622" s="9" t="n">
        <x:f>IF(OR(ISBLANK(B622),ISBLANK(C622)),"",C622-B622)</x:f>
        <x:v>3</x:v>
      </x:c>
      <x:c r="AA622" t="str">
        <x:f>IF(ISBLANK(B622),"",TEXT(B622,"mmm"))</x:f>
        <x:v>Aug</x:v>
      </x:c>
      <x:c r="AB622" s="9" t="n">
        <x:f>IF(ISBLANK(B622),"",YEAR(B622))</x:f>
        <x:v>2024</x:v>
      </x:c>
      <x:c r="AC622" s="10" t="str"/>
      <x:c r="AD622" t="str">
        <x:f>IF(AND(U622="Completed",T622="Paid",ISERROR(SEARCH("INVALID",AC622)),ISERROR(SEARCH("REVIEW",AC622))),"Include","Exclude")</x:f>
        <x:v>Include</x:v>
      </x:c>
      <x:c r="AE622" t="str">
        <x:f>IF(T622="Refunded","Refunded","")</x:f>
      </x:c>
    </x:row>
    <x:row r="623">
      <x:c r="A623" t="str">
        <x:v>ORD-2024-10622</x:v>
      </x:c>
      <x:c r="B623" s="5" t="n">
        <x:v>45624</x:v>
      </x:c>
      <x:c r="C623" s="5" t="n">
        <x:v>45632</x:v>
      </x:c>
      <x:c r="D623" t="str">
        <x:v>CUST-7236</x:v>
      </x:c>
      <x:c r="E623" t="str">
        <x:v>Aditi Sen</x:v>
      </x:c>
      <x:c r="F623" t="str">
        <x:v>Consumer</x:v>
      </x:c>
      <x:c r="G623" t="str">
        <x:v>West</x:v>
      </x:c>
      <x:c r="H623" t="str">
        <x:v>Maharashtra</x:v>
      </x:c>
      <x:c r="I623" t="str">
        <x:v>Mumbai</x:v>
      </x:c>
      <x:c r="J623" t="str">
        <x:v>Furniture</x:v>
      </x:c>
      <x:c r="K623" t="str">
        <x:v>Chairs</x:v>
      </x:c>
      <x:c r="L623" t="str">
        <x:v>Max Chairs 748</x:v>
      </x:c>
      <x:c r="M623" t="str">
        <x:v>Same Day</x:v>
      </x:c>
      <x:c r="N623" t="n">
        <x:v>5</x:v>
      </x:c>
      <x:c r="O623" s="7" t="n">
        <x:v>1092.84</x:v>
      </x:c>
      <x:c r="P623" s="6"/>
      <x:c r="Q623" s="7" t="n">
        <x:v>5464.2</x:v>
      </x:c>
      <x:c r="R623" s="7" t="n">
        <x:v>3318.09</x:v>
      </x:c>
      <x:c r="S623" s="7" t="n">
        <x:v>2146.11</x:v>
      </x:c>
      <x:c r="T623" t="str">
        <x:v>Paid</x:v>
      </x:c>
      <x:c r="U623" t="str">
        <x:v>Completed</x:v>
      </x:c>
      <x:c r="V623" s="6" t="n">
        <x:f>IF(ISBLANK(P623),IF(AND(ISNUMBER(N623),N623&gt;0,ISNUMBER(O623),O623&gt;=0,ISNUMBER(Q623),Q623&gt;=0,ISNUMBER(R623),R623&gt;=0,ISNUMBER(S623)),0,""),P623)</x:f>
        <x:v>0</x:v>
      </x:c>
      <x:c r="W623" s="7" t="n">
        <x:f>IF(ISBLANK(V623),"",N623*O623*(1-V623))</x:f>
        <x:v>5464.2</x:v>
      </x:c>
      <x:c r="X623" s="7" t="n">
        <x:f>IF(OR(ISBLANK(W623),ISBLANK(R623)),"",W623-R623)</x:f>
        <x:v>2146.1099999999997</x:v>
      </x:c>
      <x:c r="Y623" s="8" t="n">
        <x:f>IF(OR(ISBLANK(W623),W623=0),"",X623/W623)</x:f>
        <x:v>0.3927583177775337</x:v>
      </x:c>
      <x:c r="Z623" s="9" t="n">
        <x:f>IF(OR(ISBLANK(B623),ISBLANK(C623)),"",C623-B623)</x:f>
        <x:v>8</x:v>
      </x:c>
      <x:c r="AA623" t="str">
        <x:f>IF(ISBLANK(B623),"",TEXT(B623,"mmm"))</x:f>
        <x:v>Nov</x:v>
      </x:c>
      <x:c r="AB623" s="9" t="n">
        <x:f>IF(ISBLANK(B623),"",YEAR(B623))</x:f>
        <x:v>2024</x:v>
      </x:c>
      <x:c r="AC623" s="10" t="str">
        <x:v>FLAG: Missing discount treated as 0</x:v>
      </x:c>
      <x:c r="AD623" t="str">
        <x:f>IF(AND(U623="Completed",T623="Paid",ISERROR(SEARCH("INVALID",AC623)),ISERROR(SEARCH("REVIEW",AC623))),"Include","Exclude")</x:f>
        <x:v>Include</x:v>
      </x:c>
      <x:c r="AE623" t="str">
        <x:f>IF(T623="Refunded","Refunded","")</x:f>
      </x:c>
    </x:row>
    <x:row r="624">
      <x:c r="A624" t="str">
        <x:v>ORD-2025-10623</x:v>
      </x:c>
      <x:c r="B624" s="5" t="n">
        <x:v>45686</x:v>
      </x:c>
      <x:c r="C624" s="5" t="n">
        <x:v>45694</x:v>
      </x:c>
      <x:c r="D624" t="str">
        <x:v>CUST-1127</x:v>
      </x:c>
      <x:c r="E624" t="str">
        <x:v>Vikram Iyer</x:v>
      </x:c>
      <x:c r="F624" t="str">
        <x:v>Consumer</x:v>
      </x:c>
      <x:c r="G624" t="str">
        <x:v>East</x:v>
      </x:c>
      <x:c r="H624" t="str">
        <x:v>Bihar</x:v>
      </x:c>
      <x:c r="I624" t="str">
        <x:v>Patna</x:v>
      </x:c>
      <x:c r="J624" t="str">
        <x:v>Office Supplies</x:v>
      </x:c>
      <x:c r="K624" t="str">
        <x:v>Storage</x:v>
      </x:c>
      <x:c r="L624" t="str">
        <x:v>Basic Storage 934</x:v>
      </x:c>
      <x:c r="M624" t="str">
        <x:v>Standard Class</x:v>
      </x:c>
      <x:c r="N624" t="n">
        <x:v>4</x:v>
      </x:c>
      <x:c r="O624" s="7" t="n">
        <x:v>2759.01</x:v>
      </x:c>
      <x:c r="P624" s="6" t="n">
        <x:v>0.05</x:v>
      </x:c>
      <x:c r="Q624" s="7" t="n">
        <x:v>10484.24</x:v>
      </x:c>
      <x:c r="R624" s="7" t="n">
        <x:v>6680.15</x:v>
      </x:c>
      <x:c r="S624" s="7" t="n">
        <x:v>3804.09</x:v>
      </x:c>
      <x:c r="T624" t="str">
        <x:v>Paid</x:v>
      </x:c>
      <x:c r="U624" t="str">
        <x:v>Completed</x:v>
      </x:c>
      <x:c r="V624" s="6" t="n">
        <x:f>IF(ISBLANK(P624),IF(AND(ISNUMBER(N624),N624&gt;0,ISNUMBER(O624),O624&gt;=0,ISNUMBER(Q624),Q624&gt;=0,ISNUMBER(R624),R624&gt;=0,ISNUMBER(S624)),0,""),P624)</x:f>
        <x:v>0.05</x:v>
      </x:c>
      <x:c r="W624" s="7" t="n">
        <x:f>IF(ISBLANK(V624),"",N624*O624*(1-V624))</x:f>
        <x:v>10484.238000000001</x:v>
      </x:c>
      <x:c r="X624" s="7" t="n">
        <x:f>IF(OR(ISBLANK(W624),ISBLANK(R624)),"",W624-R624)</x:f>
        <x:v>3804.0880000000016</x:v>
      </x:c>
      <x:c r="Y624" s="8" t="n">
        <x:f>IF(OR(ISBLANK(W624),W624=0),"",X624/W624)</x:f>
        <x:v>0.36283876806306775</x:v>
      </x:c>
      <x:c r="Z624" s="9" t="n">
        <x:f>IF(OR(ISBLANK(B624),ISBLANK(C624)),"",C624-B624)</x:f>
        <x:v>8</x:v>
      </x:c>
      <x:c r="AA624" t="str">
        <x:f>IF(ISBLANK(B624),"",TEXT(B624,"mmm"))</x:f>
        <x:v>Jan</x:v>
      </x:c>
      <x:c r="AB624" s="9" t="n">
        <x:f>IF(ISBLANK(B624),"",YEAR(B624))</x:f>
        <x:v>2025</x:v>
      </x:c>
      <x:c r="AC624" s="10" t="str"/>
      <x:c r="AD624" t="str">
        <x:f>IF(AND(U624="Completed",T624="Paid",ISERROR(SEARCH("INVALID",AC624)),ISERROR(SEARCH("REVIEW",AC624))),"Include","Exclude")</x:f>
        <x:v>Include</x:v>
      </x:c>
      <x:c r="AE624" t="str">
        <x:f>IF(T624="Refunded","Refunded","")</x:f>
      </x:c>
    </x:row>
    <x:row r="625">
      <x:c r="A625" t="str">
        <x:v>ORD-2024-10624</x:v>
      </x:c>
      <x:c r="B625" s="5" t="n">
        <x:v>45512</x:v>
      </x:c>
      <x:c r="C625" s="5" t="n">
        <x:v>45518</x:v>
      </x:c>
      <x:c r="D625" t="str">
        <x:v>CUST-6262</x:v>
      </x:c>
      <x:c r="E625" t="str">
        <x:v>Vikram Iyer</x:v>
      </x:c>
      <x:c r="F625" t="str">
        <x:v>Home Office</x:v>
      </x:c>
      <x:c r="G625" t="str">
        <x:v>North</x:v>
      </x:c>
      <x:c r="H625" t="str">
        <x:v>Punjab</x:v>
      </x:c>
      <x:c r="I625" t="str">
        <x:v>Ludhiana</x:v>
      </x:c>
      <x:c r="J625" t="str">
        <x:v>Office Supplies</x:v>
      </x:c>
      <x:c r="K625" t="str">
        <x:v>Storage</x:v>
      </x:c>
      <x:c r="L625" t="str">
        <x:v>Pro Storage 509</x:v>
      </x:c>
      <x:c r="M625" t="str">
        <x:v>Second Class</x:v>
      </x:c>
      <x:c r="N625" t="n">
        <x:v>8</x:v>
      </x:c>
      <x:c r="O625" s="7" t="n">
        <x:v>1359.19</x:v>
      </x:c>
      <x:c r="P625" s="6" t="n">
        <x:v>0.05</x:v>
      </x:c>
      <x:c r="Q625" s="7" t="n">
        <x:v>10329.84</x:v>
      </x:c>
      <x:c r="R625" s="7" t="n">
        <x:v>7512.22</x:v>
      </x:c>
      <x:c r="S625" s="7" t="n">
        <x:v>2817.62</x:v>
      </x:c>
      <x:c r="T625" t="str">
        <x:v>Paid</x:v>
      </x:c>
      <x:c r="U625" t="str">
        <x:v>Completed</x:v>
      </x:c>
      <x:c r="V625" s="6" t="n">
        <x:f>IF(ISBLANK(P625),IF(AND(ISNUMBER(N625),N625&gt;0,ISNUMBER(O625),O625&gt;=0,ISNUMBER(Q625),Q625&gt;=0,ISNUMBER(R625),R625&gt;=0,ISNUMBER(S625)),0,""),P625)</x:f>
        <x:v>0.05</x:v>
      </x:c>
      <x:c r="W625" s="7" t="n">
        <x:f>IF(ISBLANK(V625),"",N625*O625*(1-V625))</x:f>
        <x:v>10329.844</x:v>
      </x:c>
      <x:c r="X625" s="7" t="n">
        <x:f>IF(OR(ISBLANK(W625),ISBLANK(R625)),"",W625-R625)</x:f>
        <x:v>2817.623999999999</x:v>
      </x:c>
      <x:c r="Y625" s="8" t="n">
        <x:f>IF(OR(ISBLANK(W625),W625=0),"",X625/W625)</x:f>
        <x:v>0.2727653970379416</x:v>
      </x:c>
      <x:c r="Z625" s="9" t="n">
        <x:f>IF(OR(ISBLANK(B625),ISBLANK(C625)),"",C625-B625)</x:f>
        <x:v>6</x:v>
      </x:c>
      <x:c r="AA625" t="str">
        <x:f>IF(ISBLANK(B625),"",TEXT(B625,"mmm"))</x:f>
        <x:v>Aug</x:v>
      </x:c>
      <x:c r="AB625" s="9" t="n">
        <x:f>IF(ISBLANK(B625),"",YEAR(B625))</x:f>
        <x:v>2024</x:v>
      </x:c>
      <x:c r="AC625" s="10" t="str"/>
      <x:c r="AD625" t="str">
        <x:f>IF(AND(U625="Completed",T625="Paid",ISERROR(SEARCH("INVALID",AC625)),ISERROR(SEARCH("REVIEW",AC625))),"Include","Exclude")</x:f>
        <x:v>Include</x:v>
      </x:c>
      <x:c r="AE625" t="str">
        <x:f>IF(T625="Refunded","Refunded","")</x:f>
      </x:c>
    </x:row>
    <x:row r="626">
      <x:c r="A626" t="str">
        <x:v>ORD-2024-10625</x:v>
      </x:c>
      <x:c r="B626" s="5" t="n">
        <x:v>45321</x:v>
      </x:c>
      <x:c r="C626" s="5" t="n">
        <x:v>45323</x:v>
      </x:c>
      <x:c r="D626" t="str">
        <x:v>CUST-5070</x:v>
      </x:c>
      <x:c r="E626" t="str">
        <x:v>Neha Gupta</x:v>
      </x:c>
      <x:c r="F626" t="str">
        <x:v>Home Office</x:v>
      </x:c>
      <x:c r="G626" t="str">
        <x:v>East</x:v>
      </x:c>
      <x:c r="H626" t="str">
        <x:v>Assam</x:v>
      </x:c>
      <x:c r="I626" t="str">
        <x:v>Guwahati</x:v>
      </x:c>
      <x:c r="J626" t="str">
        <x:v>Furniture</x:v>
      </x:c>
      <x:c r="K626" t="str">
        <x:v>Chairs</x:v>
      </x:c>
      <x:c r="L626" t="str">
        <x:v>Prime Chairs 765</x:v>
      </x:c>
      <x:c r="M626" t="str">
        <x:v>First Class</x:v>
      </x:c>
      <x:c r="N626" t="n">
        <x:v>2</x:v>
      </x:c>
      <x:c r="O626" s="7" t="n">
        <x:v>4451.03</x:v>
      </x:c>
      <x:c r="P626" s="6" t="n">
        <x:v>0.05</x:v>
      </x:c>
      <x:c r="Q626" s="7" t="n">
        <x:v>8456.96</x:v>
      </x:c>
      <x:c r="R626" s="7" t="n">
        <x:v>5462.85</x:v>
      </x:c>
      <x:c r="S626" s="7" t="n">
        <x:v>2994.11</x:v>
      </x:c>
      <x:c r="T626" t="str">
        <x:v>Paid</x:v>
      </x:c>
      <x:c r="U626" t="str">
        <x:v>Completed</x:v>
      </x:c>
      <x:c r="V626" s="6" t="n">
        <x:f>IF(ISBLANK(P626),IF(AND(ISNUMBER(N626),N626&gt;0,ISNUMBER(O626),O626&gt;=0,ISNUMBER(Q626),Q626&gt;=0,ISNUMBER(R626),R626&gt;=0,ISNUMBER(S626)),0,""),P626)</x:f>
        <x:v>0.05</x:v>
      </x:c>
      <x:c r="W626" s="7" t="n">
        <x:f>IF(ISBLANK(V626),"",N626*O626*(1-V626))</x:f>
        <x:v>8456.956999999999</x:v>
      </x:c>
      <x:c r="X626" s="7" t="n">
        <x:f>IF(OR(ISBLANK(W626),ISBLANK(R626)),"",W626-R626)</x:f>
        <x:v>2994.106999999998</x:v>
      </x:c>
      <x:c r="Y626" s="8" t="n">
        <x:f>IF(OR(ISBLANK(W626),W626=0),"",X626/W626)</x:f>
        <x:v>0.354040702820175</x:v>
      </x:c>
      <x:c r="Z626" s="9" t="n">
        <x:f>IF(OR(ISBLANK(B626),ISBLANK(C626)),"",C626-B626)</x:f>
        <x:v>2</x:v>
      </x:c>
      <x:c r="AA626" t="str">
        <x:f>IF(ISBLANK(B626),"",TEXT(B626,"mmm"))</x:f>
        <x:v>Jan</x:v>
      </x:c>
      <x:c r="AB626" s="9" t="n">
        <x:f>IF(ISBLANK(B626),"",YEAR(B626))</x:f>
        <x:v>2024</x:v>
      </x:c>
      <x:c r="AC626" s="10" t="str"/>
      <x:c r="AD626" t="str">
        <x:f>IF(AND(U626="Completed",T626="Paid",ISERROR(SEARCH("INVALID",AC626)),ISERROR(SEARCH("REVIEW",AC626))),"Include","Exclude")</x:f>
        <x:v>Include</x:v>
      </x:c>
      <x:c r="AE626" t="str">
        <x:f>IF(T626="Refunded","Refunded","")</x:f>
      </x:c>
    </x:row>
    <x:row r="627">
      <x:c r="A627" t="str">
        <x:v>ORD-2024-10626</x:v>
      </x:c>
      <x:c r="B627" s="5" t="n">
        <x:v>45641</x:v>
      </x:c>
      <x:c r="C627" s="5" t="n">
        <x:v>45647</x:v>
      </x:c>
      <x:c r="D627" t="str">
        <x:v>CUST-7946</x:v>
      </x:c>
      <x:c r="E627" t="str">
        <x:v>Diya Patel</x:v>
      </x:c>
      <x:c r="F627" t="str">
        <x:v>Corporate</x:v>
      </x:c>
      <x:c r="G627" t="str">
        <x:v>West</x:v>
      </x:c>
      <x:c r="H627" t="str">
        <x:v>Rajasthan</x:v>
      </x:c>
      <x:c r="I627" t="str">
        <x:v>Udaipur</x:v>
      </x:c>
      <x:c r="J627" t="str">
        <x:v>Furniture</x:v>
      </x:c>
      <x:c r="K627" t="str">
        <x:v>Chairs</x:v>
      </x:c>
      <x:c r="L627" t="str">
        <x:v>Elite Chairs 358</x:v>
      </x:c>
      <x:c r="M627" t="str">
        <x:v>Same Day</x:v>
      </x:c>
      <x:c r="N627" t="n">
        <x:v>3</x:v>
      </x:c>
      <x:c r="O627" s="7" t="n">
        <x:v>527.67</x:v>
      </x:c>
      <x:c r="P627" s="6" t="n">
        <x:v>0.2</x:v>
      </x:c>
      <x:c r="Q627" s="7" t="n">
        <x:v>1266.41</x:v>
      </x:c>
      <x:c r="R627" s="7" t="n">
        <x:v>983.92</x:v>
      </x:c>
      <x:c r="S627" s="7" t="n">
        <x:v>282.49</x:v>
      </x:c>
      <x:c r="T627" t="str">
        <x:v>Paid</x:v>
      </x:c>
      <x:c r="U627" t="str">
        <x:v>Completed</x:v>
      </x:c>
      <x:c r="V627" s="6" t="n">
        <x:f>IF(ISBLANK(P627),IF(AND(ISNUMBER(N627),N627&gt;0,ISNUMBER(O627),O627&gt;=0,ISNUMBER(Q627),Q627&gt;=0,ISNUMBER(R627),R627&gt;=0,ISNUMBER(S627)),0,""),P627)</x:f>
        <x:v>0.2</x:v>
      </x:c>
      <x:c r="W627" s="7" t="n">
        <x:f>IF(ISBLANK(V627),"",N627*O627*(1-V627))</x:f>
        <x:v>1266.408</x:v>
      </x:c>
      <x:c r="X627" s="7" t="n">
        <x:f>IF(OR(ISBLANK(W627),ISBLANK(R627)),"",W627-R627)</x:f>
        <x:v>282.48799999999994</x:v>
      </x:c>
      <x:c r="Y627" s="8" t="n">
        <x:f>IF(OR(ISBLANK(W627),W627=0),"",X627/W627)</x:f>
        <x:v>0.2230623937941011</x:v>
      </x:c>
      <x:c r="Z627" s="9" t="n">
        <x:f>IF(OR(ISBLANK(B627),ISBLANK(C627)),"",C627-B627)</x:f>
        <x:v>6</x:v>
      </x:c>
      <x:c r="AA627" t="str">
        <x:f>IF(ISBLANK(B627),"",TEXT(B627,"mmm"))</x:f>
        <x:v>Dec</x:v>
      </x:c>
      <x:c r="AB627" s="9" t="n">
        <x:f>IF(ISBLANK(B627),"",YEAR(B627))</x:f>
        <x:v>2024</x:v>
      </x:c>
      <x:c r="AC627" s="10" t="str"/>
      <x:c r="AD627" t="str">
        <x:f>IF(AND(U627="Completed",T627="Paid",ISERROR(SEARCH("INVALID",AC627)),ISERROR(SEARCH("REVIEW",AC627))),"Include","Exclude")</x:f>
        <x:v>Include</x:v>
      </x:c>
      <x:c r="AE627" t="str">
        <x:f>IF(T627="Refunded","Refunded","")</x:f>
      </x:c>
    </x:row>
    <x:row r="628">
      <x:c r="A628" t="str">
        <x:v>ORD-2025-10627</x:v>
      </x:c>
      <x:c r="B628" s="5" t="n">
        <x:v>45812</x:v>
      </x:c>
      <x:c r="C628" s="5" t="n">
        <x:v>45815</x:v>
      </x:c>
      <x:c r="D628" t="str">
        <x:v>CUST-1793</x:v>
      </x:c>
      <x:c r="E628" t="str">
        <x:v>Sneha Kapoor</x:v>
      </x:c>
      <x:c r="F628" t="str">
        <x:v>Home Office</x:v>
      </x:c>
      <x:c r="G628" t="str">
        <x:v>East</x:v>
      </x:c>
      <x:c r="H628" t="str">
        <x:v>Assam</x:v>
      </x:c>
      <x:c r="I628" t="str">
        <x:v>Guwahati</x:v>
      </x:c>
      <x:c r="J628" t="str">
        <x:v>Technology</x:v>
      </x:c>
      <x:c r="K628" t="str">
        <x:v>Machines</x:v>
      </x:c>
      <x:c r="L628" t="str">
        <x:v>Elite Machines 971</x:v>
      </x:c>
      <x:c r="M628" t="str">
        <x:v>Standard Class</x:v>
      </x:c>
      <x:c r="N628" t="n">
        <x:v>8</x:v>
      </x:c>
      <x:c r="O628" s="7" t="n">
        <x:v>1434.13</x:v>
      </x:c>
      <x:c r="P628" s="6" t="n">
        <x:v>0</x:v>
      </x:c>
      <x:c r="Q628" s="7" t="n">
        <x:v>11473.04</x:v>
      </x:c>
      <x:c r="R628" s="7" t="n">
        <x:v>8931.33</x:v>
      </x:c>
      <x:c r="S628" s="7" t="n">
        <x:v>2541.71</x:v>
      </x:c>
      <x:c r="T628" t="str">
        <x:v>Pending</x:v>
      </x:c>
      <x:c r="U628" t="str">
        <x:v>Returned</x:v>
      </x:c>
      <x:c r="V628" s="6" t="n">
        <x:f>IF(ISBLANK(P628),IF(AND(ISNUMBER(N628),N628&gt;0,ISNUMBER(O628),O628&gt;=0,ISNUMBER(Q628),Q628&gt;=0,ISNUMBER(R628),R628&gt;=0,ISNUMBER(S628)),0,""),P628)</x:f>
        <x:v>0</x:v>
      </x:c>
      <x:c r="W628" s="7" t="n">
        <x:f>IF(ISBLANK(V628),"",N628*O628*(1-V628))</x:f>
        <x:v>11473.04</x:v>
      </x:c>
      <x:c r="X628" s="7" t="n">
        <x:f>IF(OR(ISBLANK(W628),ISBLANK(R628)),"",W628-R628)</x:f>
        <x:v>2541.710000000001</x:v>
      </x:c>
      <x:c r="Y628" s="8" t="n">
        <x:f>IF(OR(ISBLANK(W628),W628=0),"",X628/W628)</x:f>
        <x:v>0.22153762211236086</x:v>
      </x:c>
      <x:c r="Z628" s="9" t="n">
        <x:f>IF(OR(ISBLANK(B628),ISBLANK(C628)),"",C628-B628)</x:f>
        <x:v>3</x:v>
      </x:c>
      <x:c r="AA628" t="str">
        <x:f>IF(ISBLANK(B628),"",TEXT(B628,"mmm"))</x:f>
        <x:v>Jun</x:v>
      </x:c>
      <x:c r="AB628" s="9" t="n">
        <x:f>IF(ISBLANK(B628),"",YEAR(B628))</x:f>
        <x:v>2025</x:v>
      </x:c>
      <x:c r="AC628" s="10" t="str"/>
      <x:c r="AD628" t="str">
        <x:f>IF(AND(U628="Completed",T628="Paid",ISERROR(SEARCH("INVALID",AC628)),ISERROR(SEARCH("REVIEW",AC628))),"Include","Exclude")</x:f>
        <x:v>Exclude</x:v>
      </x:c>
      <x:c r="AE628" t="str">
        <x:f>IF(T628="Refunded","Refunded","")</x:f>
      </x:c>
    </x:row>
    <x:row r="629">
      <x:c r="A629" t="str">
        <x:v>ORD-2025-10628</x:v>
      </x:c>
      <x:c r="B629" s="5" t="n">
        <x:v>45701</x:v>
      </x:c>
      <x:c r="C629" s="5" t="n">
        <x:v>45709</x:v>
      </x:c>
      <x:c r="D629" t="str">
        <x:v>CUST-8839</x:v>
      </x:c>
      <x:c r="E629" t="str">
        <x:v>Karan Malhotra</x:v>
      </x:c>
      <x:c r="F629" t="str">
        <x:v>Small Business</x:v>
      </x:c>
      <x:c r="G629" t="str">
        <x:v>South</x:v>
      </x:c>
      <x:c r="H629" t="str">
        <x:v>Kerala</x:v>
      </x:c>
      <x:c r="I629" t="str">
        <x:v>Kochi</x:v>
      </x:c>
      <x:c r="J629" t="str">
        <x:v>Technology</x:v>
      </x:c>
      <x:c r="K629" t="str">
        <x:v>Phones</x:v>
      </x:c>
      <x:c r="L629" t="str">
        <x:v>Max Phones 825</x:v>
      </x:c>
      <x:c r="M629" t="str">
        <x:v>Second Class</x:v>
      </x:c>
      <x:c r="N629" t="n">
        <x:v>2</x:v>
      </x:c>
      <x:c r="O629" s="7" t="n">
        <x:v>2360.02</x:v>
      </x:c>
      <x:c r="P629" s="6" t="n">
        <x:v>0.15</x:v>
      </x:c>
      <x:c r="Q629" s="7" t="n">
        <x:v>4012.03</x:v>
      </x:c>
      <x:c r="R629" s="7" t="n">
        <x:v>3142.92</x:v>
      </x:c>
      <x:c r="S629" s="7" t="n">
        <x:v>869.11</x:v>
      </x:c>
      <x:c r="T629" t="str">
        <x:v>Pending</x:v>
      </x:c>
      <x:c r="U629" t="str">
        <x:v>Cancelled</x:v>
      </x:c>
      <x:c r="V629" s="6" t="n">
        <x:f>IF(ISBLANK(P629),IF(AND(ISNUMBER(N629),N629&gt;0,ISNUMBER(O629),O629&gt;=0,ISNUMBER(Q629),Q629&gt;=0,ISNUMBER(R629),R629&gt;=0,ISNUMBER(S629)),0,""),P629)</x:f>
        <x:v>0.15</x:v>
      </x:c>
      <x:c r="W629" s="7" t="n">
        <x:f>IF(ISBLANK(V629),"",N629*O629*(1-V629))</x:f>
        <x:v>4012.0339999999997</x:v>
      </x:c>
      <x:c r="X629" s="7" t="n">
        <x:f>IF(OR(ISBLANK(W629),ISBLANK(R629)),"",W629-R629)</x:f>
        <x:v>869.1139999999996</x:v>
      </x:c>
      <x:c r="Y629" s="8" t="n">
        <x:f>IF(OR(ISBLANK(W629),W629=0),"",X629/W629)</x:f>
        <x:v>0.21662677833737193</x:v>
      </x:c>
      <x:c r="Z629" s="9" t="n">
        <x:f>IF(OR(ISBLANK(B629),ISBLANK(C629)),"",C629-B629)</x:f>
        <x:v>8</x:v>
      </x:c>
      <x:c r="AA629" t="str">
        <x:f>IF(ISBLANK(B629),"",TEXT(B629,"mmm"))</x:f>
        <x:v>Feb</x:v>
      </x:c>
      <x:c r="AB629" s="9" t="n">
        <x:f>IF(ISBLANK(B629),"",YEAR(B629))</x:f>
        <x:v>2025</x:v>
      </x:c>
      <x:c r="AC629" s="10" t="str">
        <x:v>EXCLUDE: Cancelled order</x:v>
      </x:c>
      <x:c r="AD629" t="str">
        <x:f>IF(AND(U629="Completed",T629="Paid",ISERROR(SEARCH("INVALID",AC629)),ISERROR(SEARCH("REVIEW",AC629))),"Include","Exclude")</x:f>
        <x:v>Exclude</x:v>
      </x:c>
      <x:c r="AE629" t="str">
        <x:f>IF(T629="Refunded","Refunded","")</x:f>
      </x:c>
    </x:row>
    <x:row r="630">
      <x:c r="A630" t="str">
        <x:v>ORD-2025-10629</x:v>
      </x:c>
      <x:c r="B630" s="5" t="n">
        <x:v>45935</x:v>
      </x:c>
      <x:c r="C630" s="5" t="n">
        <x:v>45942</x:v>
      </x:c>
      <x:c r="D630" t="str">
        <x:v>CUST-6725</x:v>
      </x:c>
      <x:c r="E630" t="str">
        <x:v>Ananya Rao</x:v>
      </x:c>
      <x:c r="F630" t="str">
        <x:v>Home Office</x:v>
      </x:c>
      <x:c r="G630" t="str">
        <x:v>East</x:v>
      </x:c>
      <x:c r="H630" t="str">
        <x:v>Jharkhand</x:v>
      </x:c>
      <x:c r="I630" t="str">
        <x:v>Ranchi</x:v>
      </x:c>
      <x:c r="J630" t="str">
        <x:v>Technology</x:v>
      </x:c>
      <x:c r="K630" t="str">
        <x:v>Accessories</x:v>
      </x:c>
      <x:c r="L630" t="str">
        <x:v>Eco Accessories 933</x:v>
      </x:c>
      <x:c r="M630" t="str">
        <x:v>Same Day</x:v>
      </x:c>
      <x:c r="N630" t="n">
        <x:v>7</x:v>
      </x:c>
      <x:c r="O630" s="7" t="n">
        <x:v>806.67</x:v>
      </x:c>
      <x:c r="P630" s="6" t="n">
        <x:v>0.05</x:v>
      </x:c>
      <x:c r="Q630" s="7" t="n">
        <x:v>5364.36</x:v>
      </x:c>
      <x:c r="R630" s="7" t="n">
        <x:v>4391.29</x:v>
      </x:c>
      <x:c r="S630" s="7" t="n">
        <x:v>973.07</x:v>
      </x:c>
      <x:c r="T630" t="str">
        <x:v>Paid</x:v>
      </x:c>
      <x:c r="U630" t="str">
        <x:v>Completed</x:v>
      </x:c>
      <x:c r="V630" s="6" t="n">
        <x:f>IF(ISBLANK(P630),IF(AND(ISNUMBER(N630),N630&gt;0,ISNUMBER(O630),O630&gt;=0,ISNUMBER(Q630),Q630&gt;=0,ISNUMBER(R630),R630&gt;=0,ISNUMBER(S630)),0,""),P630)</x:f>
        <x:v>0.05</x:v>
      </x:c>
      <x:c r="W630" s="7" t="n">
        <x:f>IF(ISBLANK(V630),"",N630*O630*(1-V630))</x:f>
        <x:v>5364.3555</x:v>
      </x:c>
      <x:c r="X630" s="7" t="n">
        <x:f>IF(OR(ISBLANK(W630),ISBLANK(R630)),"",W630-R630)</x:f>
        <x:v>973.0654999999997</x:v>
      </x:c>
      <x:c r="Y630" s="8" t="n">
        <x:f>IF(OR(ISBLANK(W630),W630=0),"",X630/W630)</x:f>
        <x:v>0.18139467080434915</x:v>
      </x:c>
      <x:c r="Z630" s="9" t="n">
        <x:f>IF(OR(ISBLANK(B630),ISBLANK(C630)),"",C630-B630)</x:f>
        <x:v>7</x:v>
      </x:c>
      <x:c r="AA630" t="str">
        <x:f>IF(ISBLANK(B630),"",TEXT(B630,"mmm"))</x:f>
        <x:v>Oct</x:v>
      </x:c>
      <x:c r="AB630" s="9" t="n">
        <x:f>IF(ISBLANK(B630),"",YEAR(B630))</x:f>
        <x:v>2025</x:v>
      </x:c>
      <x:c r="AC630" s="10" t="str"/>
      <x:c r="AD630" t="str">
        <x:f>IF(AND(U630="Completed",T630="Paid",ISERROR(SEARCH("INVALID",AC630)),ISERROR(SEARCH("REVIEW",AC630))),"Include","Exclude")</x:f>
        <x:v>Include</x:v>
      </x:c>
      <x:c r="AE630" t="str">
        <x:f>IF(T630="Refunded","Refunded","")</x:f>
      </x:c>
    </x:row>
    <x:row r="631">
      <x:c r="A631" t="str">
        <x:v>ORD-2025-10630</x:v>
      </x:c>
      <x:c r="B631" s="5" t="n">
        <x:v>45910</x:v>
      </x:c>
      <x:c r="C631" s="5" t="n">
        <x:v>45914</x:v>
      </x:c>
      <x:c r="D631" t="str">
        <x:v>CUST-3793</x:v>
      </x:c>
      <x:c r="E631" t="str">
        <x:v>Arjun Bose</x:v>
      </x:c>
      <x:c r="F631" t="str">
        <x:v>Home Office</x:v>
      </x:c>
      <x:c r="G631" t="str">
        <x:v>West</x:v>
      </x:c>
      <x:c r="H631" t="str">
        <x:v>Gujarat</x:v>
      </x:c>
      <x:c r="I631" t="str">
        <x:v>Ahmedabad</x:v>
      </x:c>
      <x:c r="J631" t="str">
        <x:v>Furniture</x:v>
      </x:c>
      <x:c r="K631" t="str">
        <x:v>Tables</x:v>
      </x:c>
      <x:c r="L631" t="str">
        <x:v>Max Tables 908</x:v>
      </x:c>
      <x:c r="M631" t="str">
        <x:v>Same Day</x:v>
      </x:c>
      <x:c r="N631" t="n">
        <x:v>3</x:v>
      </x:c>
      <x:c r="O631" s="7" t="n">
        <x:v>4198.46</x:v>
      </x:c>
      <x:c r="P631" s="6" t="n">
        <x:v>0.15</x:v>
      </x:c>
      <x:c r="Q631" s="7" t="n">
        <x:v>10706.07</x:v>
      </x:c>
      <x:c r="R631" s="7" t="n">
        <x:v>5927.1</x:v>
      </x:c>
      <x:c r="S631" s="7" t="n">
        <x:v>4778.97</x:v>
      </x:c>
      <x:c r="T631" t="str">
        <x:v>Paid</x:v>
      </x:c>
      <x:c r="U631" t="str">
        <x:v>Completed</x:v>
      </x:c>
      <x:c r="V631" s="6" t="n">
        <x:f>IF(ISBLANK(P631),IF(AND(ISNUMBER(N631),N631&gt;0,ISNUMBER(O631),O631&gt;=0,ISNUMBER(Q631),Q631&gt;=0,ISNUMBER(R631),R631&gt;=0,ISNUMBER(S631)),0,""),P631)</x:f>
        <x:v>0.15</x:v>
      </x:c>
      <x:c r="W631" s="7" t="n">
        <x:f>IF(ISBLANK(V631),"",N631*O631*(1-V631))</x:f>
        <x:v>10706.073</x:v>
      </x:c>
      <x:c r="X631" s="7" t="n">
        <x:f>IF(OR(ISBLANK(W631),ISBLANK(R631)),"",W631-R631)</x:f>
        <x:v>4778.973</x:v>
      </x:c>
      <x:c r="Y631" s="8" t="n">
        <x:f>IF(OR(ISBLANK(W631),W631=0),"",X631/W631)</x:f>
        <x:v>0.44637963892082555</x:v>
      </x:c>
      <x:c r="Z631" s="9" t="n">
        <x:f>IF(OR(ISBLANK(B631),ISBLANK(C631)),"",C631-B631)</x:f>
        <x:v>4</x:v>
      </x:c>
      <x:c r="AA631" t="str">
        <x:f>IF(ISBLANK(B631),"",TEXT(B631,"mmm"))</x:f>
        <x:v>Sep</x:v>
      </x:c>
      <x:c r="AB631" s="9" t="n">
        <x:f>IF(ISBLANK(B631),"",YEAR(B631))</x:f>
        <x:v>2025</x:v>
      </x:c>
      <x:c r="AC631" s="10" t="str"/>
      <x:c r="AD631" t="str">
        <x:f>IF(AND(U631="Completed",T631="Paid",ISERROR(SEARCH("INVALID",AC631)),ISERROR(SEARCH("REVIEW",AC631))),"Include","Exclude")</x:f>
        <x:v>Include</x:v>
      </x:c>
      <x:c r="AE631" t="str">
        <x:f>IF(T631="Refunded","Refunded","")</x:f>
      </x:c>
    </x:row>
    <x:row r="632">
      <x:c r="A632" t="str">
        <x:v>ORD-2024-10631</x:v>
      </x:c>
      <x:c r="B632" s="5" t="n">
        <x:v>45391</x:v>
      </x:c>
      <x:c r="C632" s="5" t="n">
        <x:v>45392</x:v>
      </x:c>
      <x:c r="D632" t="str">
        <x:v>CUST-6075</x:v>
      </x:c>
      <x:c r="E632" t="str">
        <x:v>Priya Menon</x:v>
      </x:c>
      <x:c r="F632" t="str">
        <x:v>Corporate</x:v>
      </x:c>
      <x:c r="G632" t="str">
        <x:v>East</x:v>
      </x:c>
      <x:c r="H632" t="str">
        <x:v>Assam</x:v>
      </x:c>
      <x:c r="I632" t="str">
        <x:v>Guwahati</x:v>
      </x:c>
      <x:c r="J632" t="str">
        <x:v>Office Supplies</x:v>
      </x:c>
      <x:c r="K632" t="str">
        <x:v>Paper</x:v>
      </x:c>
      <x:c r="L632" t="str">
        <x:v>Elite Paper 239</x:v>
      </x:c>
      <x:c r="M632" t="str">
        <x:v>Standard Class</x:v>
      </x:c>
      <x:c r="N632" t="n">
        <x:v>4</x:v>
      </x:c>
      <x:c r="O632" s="7" t="n">
        <x:v>3047.05</x:v>
      </x:c>
      <x:c r="P632" s="6" t="n">
        <x:v>0.1</x:v>
      </x:c>
      <x:c r="Q632" s="7" t="n">
        <x:v>10969.38</x:v>
      </x:c>
      <x:c r="R632" s="7" t="n">
        <x:v>9254.46</x:v>
      </x:c>
      <x:c r="S632" s="7" t="n">
        <x:v>1714.92</x:v>
      </x:c>
      <x:c r="T632" t="str">
        <x:v>Paid</x:v>
      </x:c>
      <x:c r="U632" t="str">
        <x:v>Completed</x:v>
      </x:c>
      <x:c r="V632" s="6" t="n">
        <x:f>IF(ISBLANK(P632),IF(AND(ISNUMBER(N632),N632&gt;0,ISNUMBER(O632),O632&gt;=0,ISNUMBER(Q632),Q632&gt;=0,ISNUMBER(R632),R632&gt;=0,ISNUMBER(S632)),0,""),P632)</x:f>
        <x:v>0.1</x:v>
      </x:c>
      <x:c r="W632" s="7" t="n">
        <x:f>IF(ISBLANK(V632),"",N632*O632*(1-V632))</x:f>
        <x:v>10969.380000000001</x:v>
      </x:c>
      <x:c r="X632" s="7" t="n">
        <x:f>IF(OR(ISBLANK(W632),ISBLANK(R632)),"",W632-R632)</x:f>
        <x:v>1714.920000000002</x:v>
      </x:c>
      <x:c r="Y632" s="8" t="n">
        <x:f>IF(OR(ISBLANK(W632),W632=0),"",X632/W632)</x:f>
        <x:v>0.15633700354988173</x:v>
      </x:c>
      <x:c r="Z632" s="9" t="n">
        <x:f>IF(OR(ISBLANK(B632),ISBLANK(C632)),"",C632-B632)</x:f>
        <x:v>1</x:v>
      </x:c>
      <x:c r="AA632" t="str">
        <x:f>IF(ISBLANK(B632),"",TEXT(B632,"mmm"))</x:f>
        <x:v>Apr</x:v>
      </x:c>
      <x:c r="AB632" s="9" t="n">
        <x:f>IF(ISBLANK(B632),"",YEAR(B632))</x:f>
        <x:v>2024</x:v>
      </x:c>
      <x:c r="AC632" s="10" t="str"/>
      <x:c r="AD632" t="str">
        <x:f>IF(AND(U632="Completed",T632="Paid",ISERROR(SEARCH("INVALID",AC632)),ISERROR(SEARCH("REVIEW",AC632))),"Include","Exclude")</x:f>
        <x:v>Include</x:v>
      </x:c>
      <x:c r="AE632" t="str">
        <x:f>IF(T632="Refunded","Refunded","")</x:f>
      </x:c>
    </x:row>
    <x:row r="633">
      <x:c r="A633" t="str">
        <x:v>ORD-2024-10632</x:v>
      </x:c>
      <x:c r="B633" s="5" t="n">
        <x:v>45392</x:v>
      </x:c>
      <x:c r="C633" s="5" t="n">
        <x:v>45397</x:v>
      </x:c>
      <x:c r="D633" t="str">
        <x:v>CUST-6381</x:v>
      </x:c>
      <x:c r="E633" t="str">
        <x:v>Aarav Sharma</x:v>
      </x:c>
      <x:c r="F633" t="str">
        <x:v>Home Office</x:v>
      </x:c>
      <x:c r="G633" t="str">
        <x:v>West</x:v>
      </x:c>
      <x:c r="H633" t="str">
        <x:v>Rajasthan</x:v>
      </x:c>
      <x:c r="I633" t="str">
        <x:v>Udaipur</x:v>
      </x:c>
      <x:c r="J633" t="str">
        <x:v>Furniture</x:v>
      </x:c>
      <x:c r="K633" t="str">
        <x:v>Chairs</x:v>
      </x:c>
      <x:c r="L633" t="str">
        <x:v>Eco Chairs 452</x:v>
      </x:c>
      <x:c r="M633" t="str">
        <x:v>Standard Class</x:v>
      </x:c>
      <x:c r="N633" t="n">
        <x:v>8</x:v>
      </x:c>
      <x:c r="O633" s="7" t="n">
        <x:v>4362.48</x:v>
      </x:c>
      <x:c r="P633" s="6" t="n">
        <x:v>0.1</x:v>
      </x:c>
      <x:c r="Q633" s="7" t="n">
        <x:v>31409.86</x:v>
      </x:c>
      <x:c r="R633" s="7" t="n">
        <x:v>22523.54</x:v>
      </x:c>
      <x:c r="S633" s="7" t="n">
        <x:v>8886.32</x:v>
      </x:c>
      <x:c r="T633" t="str">
        <x:v>Paid</x:v>
      </x:c>
      <x:c r="U633" t="str">
        <x:v>Completed</x:v>
      </x:c>
      <x:c r="V633" s="6" t="n">
        <x:f>IF(ISBLANK(P633),IF(AND(ISNUMBER(N633),N633&gt;0,ISNUMBER(O633),O633&gt;=0,ISNUMBER(Q633),Q633&gt;=0,ISNUMBER(R633),R633&gt;=0,ISNUMBER(S633)),0,""),P633)</x:f>
        <x:v>0.1</x:v>
      </x:c>
      <x:c r="W633" s="7" t="n">
        <x:f>IF(ISBLANK(V633),"",N633*O633*(1-V633))</x:f>
        <x:v>31409.855999999996</x:v>
      </x:c>
      <x:c r="X633" s="7" t="n">
        <x:f>IF(OR(ISBLANK(W633),ISBLANK(R633)),"",W633-R633)</x:f>
        <x:v>8886.315999999995</x:v>
      </x:c>
      <x:c r="Y633" s="8" t="n">
        <x:f>IF(OR(ISBLANK(W633),W633=0),"",X633/W633)</x:f>
        <x:v>0.2829148914277097</x:v>
      </x:c>
      <x:c r="Z633" s="9" t="n">
        <x:f>IF(OR(ISBLANK(B633),ISBLANK(C633)),"",C633-B633)</x:f>
        <x:v>5</x:v>
      </x:c>
      <x:c r="AA633" t="str">
        <x:f>IF(ISBLANK(B633),"",TEXT(B633,"mmm"))</x:f>
        <x:v>Apr</x:v>
      </x:c>
      <x:c r="AB633" s="9" t="n">
        <x:f>IF(ISBLANK(B633),"",YEAR(B633))</x:f>
        <x:v>2024</x:v>
      </x:c>
      <x:c r="AC633" s="10" t="str"/>
      <x:c r="AD633" t="str">
        <x:f>IF(AND(U633="Completed",T633="Paid",ISERROR(SEARCH("INVALID",AC633)),ISERROR(SEARCH("REVIEW",AC633))),"Include","Exclude")</x:f>
        <x:v>Include</x:v>
      </x:c>
      <x:c r="AE633" t="str">
        <x:f>IF(T633="Refunded","Refunded","")</x:f>
      </x:c>
    </x:row>
    <x:row r="634">
      <x:c r="A634" t="str">
        <x:v>ORD-2025-10633</x:v>
      </x:c>
      <x:c r="B634" s="5" t="n">
        <x:v>45762</x:v>
      </x:c>
      <x:c r="C634" s="5" t="n">
        <x:v>45763</x:v>
      </x:c>
      <x:c r="D634" t="str">
        <x:v>CUST-4593</x:v>
      </x:c>
      <x:c r="E634" t="str">
        <x:v>Sneha Kapoor</x:v>
      </x:c>
      <x:c r="F634" t="str">
        <x:v>Small Business</x:v>
      </x:c>
      <x:c r="G634" t="str">
        <x:v>South</x:v>
      </x:c>
      <x:c r="H634" t="str">
        <x:v>Karnataka</x:v>
      </x:c>
      <x:c r="I634" t="str">
        <x:v>Bengaluru</x:v>
      </x:c>
      <x:c r="J634" t="str">
        <x:v>Furniture</x:v>
      </x:c>
      <x:c r="K634" t="str">
        <x:v>Furnishings</x:v>
      </x:c>
      <x:c r="L634" t="str">
        <x:v>Smart Furnishings 721</x:v>
      </x:c>
      <x:c r="M634" t="str">
        <x:v>First Class</x:v>
      </x:c>
      <x:c r="N634" t="n">
        <x:v>5</x:v>
      </x:c>
      <x:c r="O634" s="7" t="n">
        <x:v>2850.53</x:v>
      </x:c>
      <x:c r="P634" s="6" t="n">
        <x:v>0</x:v>
      </x:c>
      <x:c r="Q634" s="7" t="n">
        <x:v>14252.65</x:v>
      </x:c>
      <x:c r="R634" s="7" t="n">
        <x:v>11558.31</x:v>
      </x:c>
      <x:c r="S634" s="7" t="n">
        <x:v>2694.34</x:v>
      </x:c>
      <x:c r="T634" t="str">
        <x:v>Paid</x:v>
      </x:c>
      <x:c r="U634" t="str">
        <x:v>Completed</x:v>
      </x:c>
      <x:c r="V634" s="6" t="n">
        <x:f>IF(ISBLANK(P634),IF(AND(ISNUMBER(N634),N634&gt;0,ISNUMBER(O634),O634&gt;=0,ISNUMBER(Q634),Q634&gt;=0,ISNUMBER(R634),R634&gt;=0,ISNUMBER(S634)),0,""),P634)</x:f>
        <x:v>0</x:v>
      </x:c>
      <x:c r="W634" s="7" t="n">
        <x:f>IF(ISBLANK(V634),"",N634*O634*(1-V634))</x:f>
        <x:v>14252.650000000001</x:v>
      </x:c>
      <x:c r="X634" s="7" t="n">
        <x:f>IF(OR(ISBLANK(W634),ISBLANK(R634)),"",W634-R634)</x:f>
        <x:v>2694.340000000002</x:v>
      </x:c>
      <x:c r="Y634" s="8" t="n">
        <x:f>IF(OR(ISBLANK(W634),W634=0),"",X634/W634)</x:f>
        <x:v>0.18904133617257154</x:v>
      </x:c>
      <x:c r="Z634" s="9" t="n">
        <x:f>IF(OR(ISBLANK(B634),ISBLANK(C634)),"",C634-B634)</x:f>
        <x:v>1</x:v>
      </x:c>
      <x:c r="AA634" t="str">
        <x:f>IF(ISBLANK(B634),"",TEXT(B634,"mmm"))</x:f>
        <x:v>Apr</x:v>
      </x:c>
      <x:c r="AB634" s="9" t="n">
        <x:f>IF(ISBLANK(B634),"",YEAR(B634))</x:f>
        <x:v>2025</x:v>
      </x:c>
      <x:c r="AC634" s="10" t="str"/>
      <x:c r="AD634" t="str">
        <x:f>IF(AND(U634="Completed",T634="Paid",ISERROR(SEARCH("INVALID",AC634)),ISERROR(SEARCH("REVIEW",AC634))),"Include","Exclude")</x:f>
        <x:v>Include</x:v>
      </x:c>
      <x:c r="AE634" t="str">
        <x:f>IF(T634="Refunded","Refunded","")</x:f>
      </x:c>
    </x:row>
    <x:row r="635">
      <x:c r="A635" t="str">
        <x:v>ORD-2025-10634</x:v>
      </x:c>
      <x:c r="B635" s="5" t="n">
        <x:v>45765</x:v>
      </x:c>
      <x:c r="C635" s="5" t="n">
        <x:v>45767</x:v>
      </x:c>
      <x:c r="D635" t="str">
        <x:v>CUST-5043</x:v>
      </x:c>
      <x:c r="E635" t="str">
        <x:v>Aarav Sharma</x:v>
      </x:c>
      <x:c r="F635" t="str">
        <x:v>Small Business</x:v>
      </x:c>
      <x:c r="G635" t="str">
        <x:v>South</x:v>
      </x:c>
      <x:c r="H635" t="str">
        <x:v>Tamil Nadu</x:v>
      </x:c>
      <x:c r="I635" t="str">
        <x:v>Chennai</x:v>
      </x:c>
      <x:c r="J635" t="str">
        <x:v>Technology</x:v>
      </x:c>
      <x:c r="K635" t="str">
        <x:v>Accessories</x:v>
      </x:c>
      <x:c r="L635" t="str">
        <x:v>Basic Accessories 729</x:v>
      </x:c>
      <x:c r="M635" t="str">
        <x:v>Second Class</x:v>
      </x:c>
      <x:c r="N635" t="n">
        <x:v>1</x:v>
      </x:c>
      <x:c r="O635" s="7" t="n">
        <x:v>1626.08</x:v>
      </x:c>
      <x:c r="P635" s="6" t="n">
        <x:v>0.15</x:v>
      </x:c>
      <x:c r="Q635" s="7" t="n">
        <x:v>1382.17</x:v>
      </x:c>
      <x:c r="R635" s="7" t="n">
        <x:v>810.03</x:v>
      </x:c>
      <x:c r="S635" s="7" t="n">
        <x:v>572.14</x:v>
      </x:c>
      <x:c r="T635" t="str">
        <x:v>Paid</x:v>
      </x:c>
      <x:c r="U635" t="str">
        <x:v>Completed</x:v>
      </x:c>
      <x:c r="V635" s="6" t="n">
        <x:f>IF(ISBLANK(P635),IF(AND(ISNUMBER(N635),N635&gt;0,ISNUMBER(O635),O635&gt;=0,ISNUMBER(Q635),Q635&gt;=0,ISNUMBER(R635),R635&gt;=0,ISNUMBER(S635)),0,""),P635)</x:f>
        <x:v>0.15</x:v>
      </x:c>
      <x:c r="W635" s="7" t="n">
        <x:f>IF(ISBLANK(V635),"",N635*O635*(1-V635))</x:f>
        <x:v>1382.168</x:v>
      </x:c>
      <x:c r="X635" s="7" t="n">
        <x:f>IF(OR(ISBLANK(W635),ISBLANK(R635)),"",W635-R635)</x:f>
        <x:v>572.1379999999999</x:v>
      </x:c>
      <x:c r="Y635" s="8" t="n">
        <x:f>IF(OR(ISBLANK(W635),W635=0),"",X635/W635)</x:f>
        <x:v>0.4139424440444287</x:v>
      </x:c>
      <x:c r="Z635" s="9" t="n">
        <x:f>IF(OR(ISBLANK(B635),ISBLANK(C635)),"",C635-B635)</x:f>
        <x:v>2</x:v>
      </x:c>
      <x:c r="AA635" t="str">
        <x:f>IF(ISBLANK(B635),"",TEXT(B635,"mmm"))</x:f>
        <x:v>Apr</x:v>
      </x:c>
      <x:c r="AB635" s="9" t="n">
        <x:f>IF(ISBLANK(B635),"",YEAR(B635))</x:f>
        <x:v>2025</x:v>
      </x:c>
      <x:c r="AC635" s="10" t="str"/>
      <x:c r="AD635" t="str">
        <x:f>IF(AND(U635="Completed",T635="Paid",ISERROR(SEARCH("INVALID",AC635)),ISERROR(SEARCH("REVIEW",AC635))),"Include","Exclude")</x:f>
        <x:v>Include</x:v>
      </x:c>
      <x:c r="AE635" t="str">
        <x:f>IF(T635="Refunded","Refunded","")</x:f>
      </x:c>
    </x:row>
    <x:row r="636">
      <x:c r="A636" t="str">
        <x:v>ORD-2025-10635</x:v>
      </x:c>
      <x:c r="B636" s="5" t="n">
        <x:v>45668</x:v>
      </x:c>
      <x:c r="C636" s="5" t="n">
        <x:v>45669</x:v>
      </x:c>
      <x:c r="D636" t="str">
        <x:v>CUST-4722</x:v>
      </x:c>
      <x:c r="E636" t="str">
        <x:v>Aditi Sen</x:v>
      </x:c>
      <x:c r="F636" t="str">
        <x:v>Consumer</x:v>
      </x:c>
      <x:c r="G636" t="str">
        <x:v>South</x:v>
      </x:c>
      <x:c r="H636" t="str">
        <x:v>Telangana</x:v>
      </x:c>
      <x:c r="I636" t="str">
        <x:v>Hyderabad</x:v>
      </x:c>
      <x:c r="J636" t="str">
        <x:v>Furniture</x:v>
      </x:c>
      <x:c r="K636" t="str">
        <x:v>Chairs</x:v>
      </x:c>
      <x:c r="L636" t="str">
        <x:v>Classic Chairs 220</x:v>
      </x:c>
      <x:c r="M636" t="str">
        <x:v>Second Class</x:v>
      </x:c>
      <x:c r="N636" t="n">
        <x:v>4</x:v>
      </x:c>
      <x:c r="O636" s="7" t="n">
        <x:v>2427.15</x:v>
      </x:c>
      <x:c r="P636" s="6" t="n">
        <x:v>0.05</x:v>
      </x:c>
      <x:c r="Q636" s="7" t="n">
        <x:v>9223.17</x:v>
      </x:c>
      <x:c r="R636" s="7" t="n">
        <x:v>5103.7</x:v>
      </x:c>
      <x:c r="S636" s="7" t="n">
        <x:v>4119.47</x:v>
      </x:c>
      <x:c r="T636" t="str">
        <x:v>Paid</x:v>
      </x:c>
      <x:c r="U636" t="str">
        <x:v>Completed</x:v>
      </x:c>
      <x:c r="V636" s="6" t="n">
        <x:f>IF(ISBLANK(P636),IF(AND(ISNUMBER(N636),N636&gt;0,ISNUMBER(O636),O636&gt;=0,ISNUMBER(Q636),Q636&gt;=0,ISNUMBER(R636),R636&gt;=0,ISNUMBER(S636)),0,""),P636)</x:f>
        <x:v>0.05</x:v>
      </x:c>
      <x:c r="W636" s="7" t="n">
        <x:f>IF(ISBLANK(V636),"",N636*O636*(1-V636))</x:f>
        <x:v>9223.17</x:v>
      </x:c>
      <x:c r="X636" s="7" t="n">
        <x:f>IF(OR(ISBLANK(W636),ISBLANK(R636)),"",W636-R636)</x:f>
        <x:v>4119.47</x:v>
      </x:c>
      <x:c r="Y636" s="8" t="n">
        <x:f>IF(OR(ISBLANK(W636),W636=0),"",X636/W636)</x:f>
        <x:v>0.44664361602355807</x:v>
      </x:c>
      <x:c r="Z636" s="9" t="n">
        <x:f>IF(OR(ISBLANK(B636),ISBLANK(C636)),"",C636-B636)</x:f>
        <x:v>1</x:v>
      </x:c>
      <x:c r="AA636" t="str">
        <x:f>IF(ISBLANK(B636),"",TEXT(B636,"mmm"))</x:f>
        <x:v>Jan</x:v>
      </x:c>
      <x:c r="AB636" s="9" t="n">
        <x:f>IF(ISBLANK(B636),"",YEAR(B636))</x:f>
        <x:v>2025</x:v>
      </x:c>
      <x:c r="AC636" s="10" t="str"/>
      <x:c r="AD636" t="str">
        <x:f>IF(AND(U636="Completed",T636="Paid",ISERROR(SEARCH("INVALID",AC636)),ISERROR(SEARCH("REVIEW",AC636))),"Include","Exclude")</x:f>
        <x:v>Include</x:v>
      </x:c>
      <x:c r="AE636" t="str">
        <x:f>IF(T636="Refunded","Refunded","")</x:f>
      </x:c>
    </x:row>
    <x:row r="637">
      <x:c r="A637" t="str">
        <x:v>ORD-2024-10636</x:v>
      </x:c>
      <x:c r="B637" s="5" t="n">
        <x:v>45432</x:v>
      </x:c>
      <x:c r="C637" s="5" t="n">
        <x:v>45437</x:v>
      </x:c>
      <x:c r="D637" t="str">
        <x:v>CUST-7931</x:v>
      </x:c>
      <x:c r="E637" t="str">
        <x:v>Mira Das</x:v>
      </x:c>
      <x:c r="F637" t="str">
        <x:v>Corporate</x:v>
      </x:c>
      <x:c r="G637" t="str">
        <x:v>South</x:v>
      </x:c>
      <x:c r="H637" t="str">
        <x:v>Andhra Pradesh</x:v>
      </x:c>
      <x:c r="I637" t="str">
        <x:v>Vijayawada</x:v>
      </x:c>
      <x:c r="J637" t="str">
        <x:v>Furniture</x:v>
      </x:c>
      <x:c r="K637" t="str">
        <x:v>Chairs</x:v>
      </x:c>
      <x:c r="L637" t="str">
        <x:v>Max Chairs 305</x:v>
      </x:c>
      <x:c r="M637" t="str">
        <x:v>Same Day</x:v>
      </x:c>
      <x:c r="N637" t="n">
        <x:v>7</x:v>
      </x:c>
      <x:c r="O637" s="7" t="n">
        <x:v>3122.85</x:v>
      </x:c>
      <x:c r="P637" s="6" t="n">
        <x:v>0.25</x:v>
      </x:c>
      <x:c r="Q637" s="7" t="n">
        <x:v>16394.96</x:v>
      </x:c>
      <x:c r="R637" s="7" t="n">
        <x:v>10404.17</x:v>
      </x:c>
      <x:c r="S637" s="7" t="n">
        <x:v>5990.79</x:v>
      </x:c>
      <x:c r="T637" t="str">
        <x:v>Paid</x:v>
      </x:c>
      <x:c r="U637" t="str">
        <x:v>Completed</x:v>
      </x:c>
      <x:c r="V637" s="6" t="n">
        <x:f>IF(ISBLANK(P637),IF(AND(ISNUMBER(N637),N637&gt;0,ISNUMBER(O637),O637&gt;=0,ISNUMBER(Q637),Q637&gt;=0,ISNUMBER(R637),R637&gt;=0,ISNUMBER(S637)),0,""),P637)</x:f>
        <x:v>0.25</x:v>
      </x:c>
      <x:c r="W637" s="7" t="n">
        <x:f>IF(ISBLANK(V637),"",N637*O637*(1-V637))</x:f>
        <x:v>16394.9625</x:v>
      </x:c>
      <x:c r="X637" s="7" t="n">
        <x:f>IF(OR(ISBLANK(W637),ISBLANK(R637)),"",W637-R637)</x:f>
        <x:v>5990.792500000001</x:v>
      </x:c>
      <x:c r="Y637" s="8" t="n">
        <x:f>IF(OR(ISBLANK(W637),W637=0),"",X637/W637)</x:f>
        <x:v>0.36540446493854445</x:v>
      </x:c>
      <x:c r="Z637" s="9" t="n">
        <x:f>IF(OR(ISBLANK(B637),ISBLANK(C637)),"",C637-B637)</x:f>
        <x:v>5</x:v>
      </x:c>
      <x:c r="AA637" t="str">
        <x:f>IF(ISBLANK(B637),"",TEXT(B637,"mmm"))</x:f>
        <x:v>May</x:v>
      </x:c>
      <x:c r="AB637" s="9" t="n">
        <x:f>IF(ISBLANK(B637),"",YEAR(B637))</x:f>
        <x:v>2024</x:v>
      </x:c>
      <x:c r="AC637" s="10" t="str"/>
      <x:c r="AD637" t="str">
        <x:f>IF(AND(U637="Completed",T637="Paid",ISERROR(SEARCH("INVALID",AC637)),ISERROR(SEARCH("REVIEW",AC637))),"Include","Exclude")</x:f>
        <x:v>Include</x:v>
      </x:c>
      <x:c r="AE637" t="str">
        <x:f>IF(T637="Refunded","Refunded","")</x:f>
      </x:c>
    </x:row>
    <x:row r="638">
      <x:c r="A638" t="str">
        <x:v>ORD-2024-10637</x:v>
      </x:c>
      <x:c r="B638" s="5" t="n">
        <x:v>45567</x:v>
      </x:c>
      <x:c r="C638" s="5" t="n">
        <x:v>45574</x:v>
      </x:c>
      <x:c r="D638" t="str">
        <x:v>CUST-7221</x:v>
      </x:c>
      <x:c r="E638" t="str">
        <x:v>Ananya Rao</x:v>
      </x:c>
      <x:c r="F638" t="str">
        <x:v>Consumer</x:v>
      </x:c>
      <x:c r="G638" t="str">
        <x:v>South</x:v>
      </x:c>
      <x:c r="H638" t="str">
        <x:v>Tamil Nadu</x:v>
      </x:c>
      <x:c r="I638" t="str">
        <x:v>Chennai</x:v>
      </x:c>
      <x:c r="J638" t="str">
        <x:v>Office Supplies</x:v>
      </x:c>
      <x:c r="K638" t="str">
        <x:v>Paper</x:v>
      </x:c>
      <x:c r="L638" t="str">
        <x:v>Smart Paper 872</x:v>
      </x:c>
      <x:c r="M638" t="str">
        <x:v>Standard Class</x:v>
      </x:c>
      <x:c r="N638" t="n">
        <x:v>8</x:v>
      </x:c>
      <x:c r="O638" s="7" t="n">
        <x:v>1910.31</x:v>
      </x:c>
      <x:c r="P638" s="6" t="n">
        <x:v>0.15</x:v>
      </x:c>
      <x:c r="Q638" s="7" t="n">
        <x:v>12990.11</x:v>
      </x:c>
      <x:c r="R638" s="7" t="n">
        <x:v>10200.8</x:v>
      </x:c>
      <x:c r="S638" s="7" t="n">
        <x:v>2789.31</x:v>
      </x:c>
      <x:c r="T638" t="str">
        <x:v>Paid</x:v>
      </x:c>
      <x:c r="U638" t="str">
        <x:v>Completed</x:v>
      </x:c>
      <x:c r="V638" s="6" t="n">
        <x:f>IF(ISBLANK(P638),IF(AND(ISNUMBER(N638),N638&gt;0,ISNUMBER(O638),O638&gt;=0,ISNUMBER(Q638),Q638&gt;=0,ISNUMBER(R638),R638&gt;=0,ISNUMBER(S638)),0,""),P638)</x:f>
        <x:v>0.15</x:v>
      </x:c>
      <x:c r="W638" s="7" t="n">
        <x:f>IF(ISBLANK(V638),"",N638*O638*(1-V638))</x:f>
        <x:v>12990.108</x:v>
      </x:c>
      <x:c r="X638" s="7" t="n">
        <x:f>IF(OR(ISBLANK(W638),ISBLANK(R638)),"",W638-R638)</x:f>
        <x:v>2789.308000000001</x:v>
      </x:c>
      <x:c r="Y638" s="8" t="n">
        <x:f>IF(OR(ISBLANK(W638),W638=0),"",X638/W638)</x:f>
        <x:v>0.2147255434673831</x:v>
      </x:c>
      <x:c r="Z638" s="9" t="n">
        <x:f>IF(OR(ISBLANK(B638),ISBLANK(C638)),"",C638-B638)</x:f>
        <x:v>7</x:v>
      </x:c>
      <x:c r="AA638" t="str">
        <x:f>IF(ISBLANK(B638),"",TEXT(B638,"mmm"))</x:f>
        <x:v>Oct</x:v>
      </x:c>
      <x:c r="AB638" s="9" t="n">
        <x:f>IF(ISBLANK(B638),"",YEAR(B638))</x:f>
        <x:v>2024</x:v>
      </x:c>
      <x:c r="AC638" s="10" t="str"/>
      <x:c r="AD638" t="str">
        <x:f>IF(AND(U638="Completed",T638="Paid",ISERROR(SEARCH("INVALID",AC638)),ISERROR(SEARCH("REVIEW",AC638))),"Include","Exclude")</x:f>
        <x:v>Include</x:v>
      </x:c>
      <x:c r="AE638" t="str">
        <x:f>IF(T638="Refunded","Refunded","")</x:f>
      </x:c>
    </x:row>
    <x:row r="639">
      <x:c r="A639" t="str">
        <x:v>ORD-2024-10638</x:v>
      </x:c>
      <x:c r="B639" s="5" t="n">
        <x:v>45438</x:v>
      </x:c>
      <x:c r="C639" s="5" t="n">
        <x:v>45438</x:v>
      </x:c>
      <x:c r="D639" t="str">
        <x:v>CUST-2594</x:v>
      </x:c>
      <x:c r="E639" t="str">
        <x:v>Rahul Verma</x:v>
      </x:c>
      <x:c r="F639" t="str">
        <x:v>Small Business</x:v>
      </x:c>
      <x:c r="G639" t="str">
        <x:v>West</x:v>
      </x:c>
      <x:c r="H639" t="str">
        <x:v>Goa</x:v>
      </x:c>
      <x:c r="I639" t="str">
        <x:v>Panaji</x:v>
      </x:c>
      <x:c r="J639" t="str">
        <x:v>Technology</x:v>
      </x:c>
      <x:c r="K639" t="str">
        <x:v>Copiers</x:v>
      </x:c>
      <x:c r="L639" t="str">
        <x:v>Max Copiers 994</x:v>
      </x:c>
      <x:c r="M639" t="str">
        <x:v>First Class</x:v>
      </x:c>
      <x:c r="N639" t="n">
        <x:v>2</x:v>
      </x:c>
      <x:c r="O639" s="7" t="n">
        <x:v>3192.47</x:v>
      </x:c>
      <x:c r="P639" s="6" t="n">
        <x:v>0.2</x:v>
      </x:c>
      <x:c r="Q639" s="7" t="n">
        <x:v>5107.95</x:v>
      </x:c>
      <x:c r="R639" s="7" t="n">
        <x:v>3133.08</x:v>
      </x:c>
      <x:c r="S639" s="7" t="n">
        <x:v>1974.87</x:v>
      </x:c>
      <x:c r="T639" t="str">
        <x:v>Paid</x:v>
      </x:c>
      <x:c r="U639" t="str">
        <x:v>Completed</x:v>
      </x:c>
      <x:c r="V639" s="6" t="n">
        <x:f>IF(ISBLANK(P639),IF(AND(ISNUMBER(N639),N639&gt;0,ISNUMBER(O639),O639&gt;=0,ISNUMBER(Q639),Q639&gt;=0,ISNUMBER(R639),R639&gt;=0,ISNUMBER(S639)),0,""),P639)</x:f>
        <x:v>0.2</x:v>
      </x:c>
      <x:c r="W639" s="7" t="n">
        <x:f>IF(ISBLANK(V639),"",N639*O639*(1-V639))</x:f>
        <x:v>5107.952</x:v>
      </x:c>
      <x:c r="X639" s="7" t="n">
        <x:f>IF(OR(ISBLANK(W639),ISBLANK(R639)),"",W639-R639)</x:f>
        <x:v>1974.8720000000003</x:v>
      </x:c>
      <x:c r="Y639" s="8" t="n">
        <x:f>IF(OR(ISBLANK(W639),W639=0),"",X639/W639)</x:f>
        <x:v>0.386626969086632</x:v>
      </x:c>
      <x:c r="Z639" s="9" t="n">
        <x:f>IF(OR(ISBLANK(B639),ISBLANK(C639)),"",C639-B639)</x:f>
        <x:v>0</x:v>
      </x:c>
      <x:c r="AA639" t="str">
        <x:f>IF(ISBLANK(B639),"",TEXT(B639,"mmm"))</x:f>
        <x:v>May</x:v>
      </x:c>
      <x:c r="AB639" s="9" t="n">
        <x:f>IF(ISBLANK(B639),"",YEAR(B639))</x:f>
        <x:v>2024</x:v>
      </x:c>
      <x:c r="AC639" s="10" t="str"/>
      <x:c r="AD639" t="str">
        <x:f>IF(AND(U639="Completed",T639="Paid",ISERROR(SEARCH("INVALID",AC639)),ISERROR(SEARCH("REVIEW",AC639))),"Include","Exclude")</x:f>
        <x:v>Include</x:v>
      </x:c>
      <x:c r="AE639" t="str">
        <x:f>IF(T639="Refunded","Refunded","")</x:f>
      </x:c>
    </x:row>
    <x:row r="640">
      <x:c r="A640" t="str">
        <x:v>ORD-2024-10639</x:v>
      </x:c>
      <x:c r="B640" s="5" t="n">
        <x:v>45317</x:v>
      </x:c>
      <x:c r="C640" s="5" t="n">
        <x:v>45322</x:v>
      </x:c>
      <x:c r="D640" t="str">
        <x:v>CUST-2111</x:v>
      </x:c>
      <x:c r="E640" t="str">
        <x:v>Karan Malhotra</x:v>
      </x:c>
      <x:c r="F640" t="str">
        <x:v>Corporate</x:v>
      </x:c>
      <x:c r="G640" t="str">
        <x:v>South</x:v>
      </x:c>
      <x:c r="H640" t="str">
        <x:v>Kerala</x:v>
      </x:c>
      <x:c r="I640" t="str">
        <x:v>Kochi</x:v>
      </x:c>
      <x:c r="J640" t="str">
        <x:v>Office Supplies</x:v>
      </x:c>
      <x:c r="K640" t="str">
        <x:v>Storage</x:v>
      </x:c>
      <x:c r="L640" t="str">
        <x:v>Pro Storage 744</x:v>
      </x:c>
      <x:c r="M640" t="str">
        <x:v>Second Class</x:v>
      </x:c>
      <x:c r="N640" t="n">
        <x:v>3</x:v>
      </x:c>
      <x:c r="O640" s="7" t="n">
        <x:v>3224.32</x:v>
      </x:c>
      <x:c r="P640" s="6" t="n">
        <x:v>0.2</x:v>
      </x:c>
      <x:c r="Q640" s="7" t="n">
        <x:v>7738.37</x:v>
      </x:c>
      <x:c r="R640" s="7" t="n">
        <x:v>4626.85</x:v>
      </x:c>
      <x:c r="S640" s="7" t="n">
        <x:v>3111.52</x:v>
      </x:c>
      <x:c r="T640" t="str">
        <x:v>Failed</x:v>
      </x:c>
      <x:c r="U640" t="str">
        <x:v>Returned</x:v>
      </x:c>
      <x:c r="V640" s="6" t="n">
        <x:f>IF(ISBLANK(P640),IF(AND(ISNUMBER(N640),N640&gt;0,ISNUMBER(O640),O640&gt;=0,ISNUMBER(Q640),Q640&gt;=0,ISNUMBER(R640),R640&gt;=0,ISNUMBER(S640)),0,""),P640)</x:f>
        <x:v>0.2</x:v>
      </x:c>
      <x:c r="W640" s="7" t="n">
        <x:f>IF(ISBLANK(V640),"",N640*O640*(1-V640))</x:f>
        <x:v>7738.368000000001</x:v>
      </x:c>
      <x:c r="X640" s="7" t="n">
        <x:f>IF(OR(ISBLANK(W640),ISBLANK(R640)),"",W640-R640)</x:f>
        <x:v>3111.518000000001</x:v>
      </x:c>
      <x:c r="Y640" s="8" t="n">
        <x:f>IF(OR(ISBLANK(W640),W640=0),"",X640/W640)</x:f>
        <x:v>0.40208969126306743</x:v>
      </x:c>
      <x:c r="Z640" s="9" t="n">
        <x:f>IF(OR(ISBLANK(B640),ISBLANK(C640)),"",C640-B640)</x:f>
        <x:v>5</x:v>
      </x:c>
      <x:c r="AA640" t="str">
        <x:f>IF(ISBLANK(B640),"",TEXT(B640,"mmm"))</x:f>
        <x:v>Jan</x:v>
      </x:c>
      <x:c r="AB640" s="9" t="n">
        <x:f>IF(ISBLANK(B640),"",YEAR(B640))</x:f>
        <x:v>2024</x:v>
      </x:c>
      <x:c r="AC640" s="10" t="str">
        <x:v>EXCLUDE: Failed payment</x:v>
      </x:c>
      <x:c r="AD640" t="str">
        <x:f>IF(AND(U640="Completed",T640="Paid",ISERROR(SEARCH("INVALID",AC640)),ISERROR(SEARCH("REVIEW",AC640))),"Include","Exclude")</x:f>
        <x:v>Exclude</x:v>
      </x:c>
      <x:c r="AE640" t="str">
        <x:f>IF(T640="Refunded","Refunded","")</x:f>
      </x:c>
    </x:row>
    <x:row r="641">
      <x:c r="A641" t="str">
        <x:v>ORD-2024-10640</x:v>
      </x:c>
      <x:c r="B641" s="5" t="n">
        <x:v>45653</x:v>
      </x:c>
      <x:c r="C641" s="5" t="n">
        <x:v>45657</x:v>
      </x:c>
      <x:c r="D641" t="str">
        <x:v>CUST-6829</x:v>
      </x:c>
      <x:c r="E641" t="str">
        <x:v>Isha Nair</x:v>
      </x:c>
      <x:c r="F641" t="str">
        <x:v>Small Business</x:v>
      </x:c>
      <x:c r="G641" t="str">
        <x:v>East</x:v>
      </x:c>
      <x:c r="H641" t="str">
        <x:v>Odisha</x:v>
      </x:c>
      <x:c r="I641" t="str">
        <x:v>Bhubaneswar</x:v>
      </x:c>
      <x:c r="J641" t="str">
        <x:v>Furniture</x:v>
      </x:c>
      <x:c r="K641" t="str">
        <x:v>Chairs</x:v>
      </x:c>
      <x:c r="L641" t="str">
        <x:v>Elite Chairs 744</x:v>
      </x:c>
      <x:c r="M641" t="str">
        <x:v>Second Class</x:v>
      </x:c>
      <x:c r="N641" t="n">
        <x:v>1</x:v>
      </x:c>
      <x:c r="O641" s="7" t="n">
        <x:v>1594.7</x:v>
      </x:c>
      <x:c r="P641" s="6" t="n">
        <x:v>0.05</x:v>
      </x:c>
      <x:c r="Q641" s="7" t="n">
        <x:v>1514.96</x:v>
      </x:c>
      <x:c r="R641" s="7" t="n">
        <x:v>1046.17</x:v>
      </x:c>
      <x:c r="S641" s="7" t="n">
        <x:v>468.79</x:v>
      </x:c>
      <x:c r="T641" t="str">
        <x:v>Paid</x:v>
      </x:c>
      <x:c r="U641" t="str">
        <x:v>Completed</x:v>
      </x:c>
      <x:c r="V641" s="6" t="n">
        <x:f>IF(ISBLANK(P641),IF(AND(ISNUMBER(N641),N641&gt;0,ISNUMBER(O641),O641&gt;=0,ISNUMBER(Q641),Q641&gt;=0,ISNUMBER(R641),R641&gt;=0,ISNUMBER(S641)),0,""),P641)</x:f>
        <x:v>0.05</x:v>
      </x:c>
      <x:c r="W641" s="7" t="n">
        <x:f>IF(ISBLANK(V641),"",N641*O641*(1-V641))</x:f>
        <x:v>1514.965</x:v>
      </x:c>
      <x:c r="X641" s="7" t="n">
        <x:f>IF(OR(ISBLANK(W641),ISBLANK(R641)),"",W641-R641)</x:f>
        <x:v>468.79499999999985</x:v>
      </x:c>
      <x:c r="Y641" s="8" t="n">
        <x:f>IF(OR(ISBLANK(W641),W641=0),"",X641/W641)</x:f>
        <x:v>0.3094427924077453</x:v>
      </x:c>
      <x:c r="Z641" s="9" t="n">
        <x:f>IF(OR(ISBLANK(B641),ISBLANK(C641)),"",C641-B641)</x:f>
        <x:v>4</x:v>
      </x:c>
      <x:c r="AA641" t="str">
        <x:f>IF(ISBLANK(B641),"",TEXT(B641,"mmm"))</x:f>
        <x:v>Dec</x:v>
      </x:c>
      <x:c r="AB641" s="9" t="n">
        <x:f>IF(ISBLANK(B641),"",YEAR(B641))</x:f>
        <x:v>2024</x:v>
      </x:c>
      <x:c r="AC641" s="10" t="str"/>
      <x:c r="AD641" t="str">
        <x:f>IF(AND(U641="Completed",T641="Paid",ISERROR(SEARCH("INVALID",AC641)),ISERROR(SEARCH("REVIEW",AC641))),"Include","Exclude")</x:f>
        <x:v>Include</x:v>
      </x:c>
      <x:c r="AE641" t="str">
        <x:f>IF(T641="Refunded","Refunded","")</x:f>
      </x:c>
    </x:row>
    <x:row r="642">
      <x:c r="A642" t="str">
        <x:v>ORD-2025-10641</x:v>
      </x:c>
      <x:c r="B642" s="5" t="n">
        <x:v>45671</x:v>
      </x:c>
      <x:c r="C642" s="5" t="n">
        <x:v>45674</x:v>
      </x:c>
      <x:c r="D642" t="str">
        <x:v>CUST-5061</x:v>
      </x:c>
      <x:c r="E642" t="str">
        <x:v>Vikram Iyer</x:v>
      </x:c>
      <x:c r="F642" t="str">
        <x:v>Consumer</x:v>
      </x:c>
      <x:c r="G642" t="str">
        <x:v>West</x:v>
      </x:c>
      <x:c r="H642" t="str">
        <x:v>Goa</x:v>
      </x:c>
      <x:c r="I642" t="str">
        <x:v>Panaji</x:v>
      </x:c>
      <x:c r="J642" t="str">
        <x:v>Office Supplies</x:v>
      </x:c>
      <x:c r="K642" t="str">
        <x:v>Storage</x:v>
      </x:c>
      <x:c r="L642" t="str">
        <x:v>Basic Storage 973</x:v>
      </x:c>
      <x:c r="M642" t="str">
        <x:v>First Class</x:v>
      </x:c>
      <x:c r="N642" t="n">
        <x:v>1</x:v>
      </x:c>
      <x:c r="O642" s="7" t="n">
        <x:v>1584.12</x:v>
      </x:c>
      <x:c r="P642" s="6" t="n">
        <x:v>0.2</x:v>
      </x:c>
      <x:c r="Q642" s="7" t="n">
        <x:v>1267.3</x:v>
      </x:c>
      <x:c r="R642" s="7" t="n">
        <x:v>923.53</x:v>
      </x:c>
      <x:c r="S642" s="7" t="n">
        <x:v>343.77</x:v>
      </x:c>
      <x:c r="T642" t="str">
        <x:v>Paid</x:v>
      </x:c>
      <x:c r="U642" t="str">
        <x:v>Completed</x:v>
      </x:c>
      <x:c r="V642" s="6" t="n">
        <x:f>IF(ISBLANK(P642),IF(AND(ISNUMBER(N642),N642&gt;0,ISNUMBER(O642),O642&gt;=0,ISNUMBER(Q642),Q642&gt;=0,ISNUMBER(R642),R642&gt;=0,ISNUMBER(S642)),0,""),P642)</x:f>
        <x:v>0.2</x:v>
      </x:c>
      <x:c r="W642" s="7" t="n">
        <x:f>IF(ISBLANK(V642),"",N642*O642*(1-V642))</x:f>
        <x:v>1267.296</x:v>
      </x:c>
      <x:c r="X642" s="7" t="n">
        <x:f>IF(OR(ISBLANK(W642),ISBLANK(R642)),"",W642-R642)</x:f>
        <x:v>343.7660000000001</x:v>
      </x:c>
      <x:c r="Y642" s="8" t="n">
        <x:f>IF(OR(ISBLANK(W642),W642=0),"",X642/W642)</x:f>
        <x:v>0.2712594374163574</x:v>
      </x:c>
      <x:c r="Z642" s="9" t="n">
        <x:f>IF(OR(ISBLANK(B642),ISBLANK(C642)),"",C642-B642)</x:f>
        <x:v>3</x:v>
      </x:c>
      <x:c r="AA642" t="str">
        <x:f>IF(ISBLANK(B642),"",TEXT(B642,"mmm"))</x:f>
        <x:v>Jan</x:v>
      </x:c>
      <x:c r="AB642" s="9" t="n">
        <x:f>IF(ISBLANK(B642),"",YEAR(B642))</x:f>
        <x:v>2025</x:v>
      </x:c>
      <x:c r="AC642" s="10" t="str"/>
      <x:c r="AD642" t="str">
        <x:f>IF(AND(U642="Completed",T642="Paid",ISERROR(SEARCH("INVALID",AC642)),ISERROR(SEARCH("REVIEW",AC642))),"Include","Exclude")</x:f>
        <x:v>Include</x:v>
      </x:c>
      <x:c r="AE642" t="str">
        <x:f>IF(T642="Refunded","Refunded","")</x:f>
      </x:c>
    </x:row>
    <x:row r="643">
      <x:c r="A643" t="str">
        <x:v>ORD-2025-10642</x:v>
      </x:c>
      <x:c r="B643" s="5" t="n">
        <x:v>45756</x:v>
      </x:c>
      <x:c r="C643" s="5" t="n">
        <x:v>45761</x:v>
      </x:c>
      <x:c r="D643" t="str">
        <x:v>CUST-7915</x:v>
      </x:c>
      <x:c r="E643" t="str">
        <x:v>Karan Malhotra</x:v>
      </x:c>
      <x:c r="F643" t="str">
        <x:v>Consumer</x:v>
      </x:c>
      <x:c r="G643" t="str">
        <x:v>North</x:v>
      </x:c>
      <x:c r="H643" t="str">
        <x:v>Delhi</x:v>
      </x:c>
      <x:c r="I643" t="str">
        <x:v>New Delhi</x:v>
      </x:c>
      <x:c r="J643" t="str">
        <x:v>Furniture</x:v>
      </x:c>
      <x:c r="K643" t="str">
        <x:v>Furnishings</x:v>
      </x:c>
      <x:c r="L643" t="str">
        <x:v>Smart Furnishings 783</x:v>
      </x:c>
      <x:c r="M643" t="str">
        <x:v>Same Day</x:v>
      </x:c>
      <x:c r="N643" t="n">
        <x:v>2</x:v>
      </x:c>
      <x:c r="O643" s="7" t="n">
        <x:v>3202.87</x:v>
      </x:c>
      <x:c r="P643" s="6" t="n">
        <x:v>0</x:v>
      </x:c>
      <x:c r="Q643" s="7" t="n">
        <x:v>6405.74</x:v>
      </x:c>
      <x:c r="R643" s="7" t="n">
        <x:v>3561.87</x:v>
      </x:c>
      <x:c r="S643" s="7" t="n">
        <x:v>2843.87</x:v>
      </x:c>
      <x:c r="T643" t="str">
        <x:v>Paid</x:v>
      </x:c>
      <x:c r="U643" t="str">
        <x:v>Completed</x:v>
      </x:c>
      <x:c r="V643" s="6" t="n">
        <x:f>IF(ISBLANK(P643),IF(AND(ISNUMBER(N643),N643&gt;0,ISNUMBER(O643),O643&gt;=0,ISNUMBER(Q643),Q643&gt;=0,ISNUMBER(R643),R643&gt;=0,ISNUMBER(S643)),0,""),P643)</x:f>
        <x:v>0</x:v>
      </x:c>
      <x:c r="W643" s="7" t="n">
        <x:f>IF(ISBLANK(V643),"",N643*O643*(1-V643))</x:f>
        <x:v>6405.74</x:v>
      </x:c>
      <x:c r="X643" s="7" t="n">
        <x:f>IF(OR(ISBLANK(W643),ISBLANK(R643)),"",W643-R643)</x:f>
        <x:v>2843.87</x:v>
      </x:c>
      <x:c r="Y643" s="8" t="n">
        <x:f>IF(OR(ISBLANK(W643),W643=0),"",X643/W643)</x:f>
        <x:v>0.4439565140015049</x:v>
      </x:c>
      <x:c r="Z643" s="9" t="n">
        <x:f>IF(OR(ISBLANK(B643),ISBLANK(C643)),"",C643-B643)</x:f>
        <x:v>5</x:v>
      </x:c>
      <x:c r="AA643" t="str">
        <x:f>IF(ISBLANK(B643),"",TEXT(B643,"mmm"))</x:f>
        <x:v>Apr</x:v>
      </x:c>
      <x:c r="AB643" s="9" t="n">
        <x:f>IF(ISBLANK(B643),"",YEAR(B643))</x:f>
        <x:v>2025</x:v>
      </x:c>
      <x:c r="AC643" s="10" t="str"/>
      <x:c r="AD643" t="str">
        <x:f>IF(AND(U643="Completed",T643="Paid",ISERROR(SEARCH("INVALID",AC643)),ISERROR(SEARCH("REVIEW",AC643))),"Include","Exclude")</x:f>
        <x:v>Include</x:v>
      </x:c>
      <x:c r="AE643" t="str">
        <x:f>IF(T643="Refunded","Refunded","")</x:f>
      </x:c>
    </x:row>
    <x:row r="644">
      <x:c r="A644" t="str">
        <x:v>ORD-2024-10643</x:v>
      </x:c>
      <x:c r="B644" s="5" t="n">
        <x:v>45533</x:v>
      </x:c>
      <x:c r="C644" s="5" t="n">
        <x:v>45535</x:v>
      </x:c>
      <x:c r="D644" t="str">
        <x:v>CUST-1940</x:v>
      </x:c>
      <x:c r="E644" t="str">
        <x:v>Isha Nair</x:v>
      </x:c>
      <x:c r="F644" t="str">
        <x:v>Home Office</x:v>
      </x:c>
      <x:c r="G644" t="str">
        <x:v>East</x:v>
      </x:c>
      <x:c r="H644" t="str">
        <x:v>Assam</x:v>
      </x:c>
      <x:c r="I644" t="str">
        <x:v>Guwahati</x:v>
      </x:c>
      <x:c r="J644" t="str">
        <x:v>Office Supplies</x:v>
      </x:c>
      <x:c r="K644" t="str">
        <x:v>Binders</x:v>
      </x:c>
      <x:c r="L644" t="str">
        <x:v>Prime Binders 287</x:v>
      </x:c>
      <x:c r="M644" t="str">
        <x:v>Second Class</x:v>
      </x:c>
      <x:c r="N644" t="n">
        <x:v>9</x:v>
      </x:c>
      <x:c r="O644" s="7" t="n">
        <x:v>1275.21</x:v>
      </x:c>
      <x:c r="P644" s="6" t="n">
        <x:v>0.25</x:v>
      </x:c>
      <x:c r="Q644" s="7" t="n">
        <x:v>8607.67</x:v>
      </x:c>
      <x:c r="R644" s="7" t="n">
        <x:v>5337.64</x:v>
      </x:c>
      <x:c r="S644" s="7" t="n">
        <x:v>3270.03</x:v>
      </x:c>
      <x:c r="T644" t="str">
        <x:v>Failed</x:v>
      </x:c>
      <x:c r="U644" t="str">
        <x:v>Returned</x:v>
      </x:c>
      <x:c r="V644" s="6" t="n">
        <x:f>IF(ISBLANK(P644),IF(AND(ISNUMBER(N644),N644&gt;0,ISNUMBER(O644),O644&gt;=0,ISNUMBER(Q644),Q644&gt;=0,ISNUMBER(R644),R644&gt;=0,ISNUMBER(S644)),0,""),P644)</x:f>
        <x:v>0.25</x:v>
      </x:c>
      <x:c r="W644" s="7" t="n">
        <x:f>IF(ISBLANK(V644),"",N644*O644*(1-V644))</x:f>
        <x:v>8607.6675</x:v>
      </x:c>
      <x:c r="X644" s="7" t="n">
        <x:f>IF(OR(ISBLANK(W644),ISBLANK(R644)),"",W644-R644)</x:f>
        <x:v>3270.0274999999992</x:v>
      </x:c>
      <x:c r="Y644" s="8" t="n">
        <x:f>IF(OR(ISBLANK(W644),W644=0),"",X644/W644)</x:f>
        <x:v>0.3798970510884626</x:v>
      </x:c>
      <x:c r="Z644" s="9" t="n">
        <x:f>IF(OR(ISBLANK(B644),ISBLANK(C644)),"",C644-B644)</x:f>
        <x:v>2</x:v>
      </x:c>
      <x:c r="AA644" t="str">
        <x:f>IF(ISBLANK(B644),"",TEXT(B644,"mmm"))</x:f>
        <x:v>Aug</x:v>
      </x:c>
      <x:c r="AB644" s="9" t="n">
        <x:f>IF(ISBLANK(B644),"",YEAR(B644))</x:f>
        <x:v>2024</x:v>
      </x:c>
      <x:c r="AC644" s="10" t="str">
        <x:v>EXCLUDE: Failed payment</x:v>
      </x:c>
      <x:c r="AD644" t="str">
        <x:f>IF(AND(U644="Completed",T644="Paid",ISERROR(SEARCH("INVALID",AC644)),ISERROR(SEARCH("REVIEW",AC644))),"Include","Exclude")</x:f>
        <x:v>Exclude</x:v>
      </x:c>
      <x:c r="AE644" t="str">
        <x:f>IF(T644="Refunded","Refunded","")</x:f>
      </x:c>
    </x:row>
    <x:row r="645">
      <x:c r="A645" t="str">
        <x:v>ORD-2024-10644</x:v>
      </x:c>
      <x:c r="B645" s="5" t="n">
        <x:v>45327</x:v>
      </x:c>
      <x:c r="C645" s="5" t="n">
        <x:v>45335</x:v>
      </x:c>
      <x:c r="D645" t="str">
        <x:v>CUST-1986</x:v>
      </x:c>
      <x:c r="E645" t="str">
        <x:v>Aarav Sharma</x:v>
      </x:c>
      <x:c r="F645" t="str">
        <x:v>Home Office</x:v>
      </x:c>
      <x:c r="G645" t="str">
        <x:v>North</x:v>
      </x:c>
      <x:c r="H645" t="str">
        <x:v>Uttar Pradesh</x:v>
      </x:c>
      <x:c r="I645" t="str">
        <x:v>Noida</x:v>
      </x:c>
      <x:c r="J645" t="str">
        <x:v>Office Supplies</x:v>
      </x:c>
      <x:c r="K645" t="str">
        <x:v>Labels</x:v>
      </x:c>
      <x:c r="L645" t="str">
        <x:v>Elite Labels 654</x:v>
      </x:c>
      <x:c r="M645" t="str">
        <x:v>Standard Class</x:v>
      </x:c>
      <x:c r="N645" t="n">
        <x:v>8</x:v>
      </x:c>
      <x:c r="O645" s="7" t="n">
        <x:v>3871.18</x:v>
      </x:c>
      <x:c r="P645" s="6" t="n">
        <x:v>0.15</x:v>
      </x:c>
      <x:c r="Q645" s="7" t="n">
        <x:v>26324.02</x:v>
      </x:c>
      <x:c r="R645" s="7" t="n">
        <x:v>16277.96</x:v>
      </x:c>
      <x:c r="S645" s="7" t="n">
        <x:v>10046.06</x:v>
      </x:c>
      <x:c r="T645" t="str">
        <x:v>Failed</x:v>
      </x:c>
      <x:c r="U645" t="str">
        <x:v>Returned</x:v>
      </x:c>
      <x:c r="V645" s="6" t="n">
        <x:f>IF(ISBLANK(P645),IF(AND(ISNUMBER(N645),N645&gt;0,ISNUMBER(O645),O645&gt;=0,ISNUMBER(Q645),Q645&gt;=0,ISNUMBER(R645),R645&gt;=0,ISNUMBER(S645)),0,""),P645)</x:f>
        <x:v>0.15</x:v>
      </x:c>
      <x:c r="W645" s="7" t="n">
        <x:f>IF(ISBLANK(V645),"",N645*O645*(1-V645))</x:f>
        <x:v>26324.023999999998</x:v>
      </x:c>
      <x:c r="X645" s="7" t="n">
        <x:f>IF(OR(ISBLANK(W645),ISBLANK(R645)),"",W645-R645)</x:f>
        <x:v>10046.063999999998</x:v>
      </x:c>
      <x:c r="Y645" s="8" t="n">
        <x:f>IF(OR(ISBLANK(W645),W645=0),"",X645/W645)</x:f>
        <x:v>0.3816310150758106</x:v>
      </x:c>
      <x:c r="Z645" s="9" t="n">
        <x:f>IF(OR(ISBLANK(B645),ISBLANK(C645)),"",C645-B645)</x:f>
        <x:v>8</x:v>
      </x:c>
      <x:c r="AA645" t="str">
        <x:f>IF(ISBLANK(B645),"",TEXT(B645,"mmm"))</x:f>
        <x:v>Feb</x:v>
      </x:c>
      <x:c r="AB645" s="9" t="n">
        <x:f>IF(ISBLANK(B645),"",YEAR(B645))</x:f>
        <x:v>2024</x:v>
      </x:c>
      <x:c r="AC645" s="10" t="str">
        <x:v>EXCLUDE: Failed payment</x:v>
      </x:c>
      <x:c r="AD645" t="str">
        <x:f>IF(AND(U645="Completed",T645="Paid",ISERROR(SEARCH("INVALID",AC645)),ISERROR(SEARCH("REVIEW",AC645))),"Include","Exclude")</x:f>
        <x:v>Exclude</x:v>
      </x:c>
      <x:c r="AE645" t="str">
        <x:f>IF(T645="Refunded","Refunded","")</x:f>
      </x:c>
    </x:row>
    <x:row r="646">
      <x:c r="A646" t="str">
        <x:v>ORD-2025-10645</x:v>
      </x:c>
      <x:c r="B646" s="5" t="n">
        <x:v>45757</x:v>
      </x:c>
      <x:c r="C646" s="5" t="n">
        <x:v>45764</x:v>
      </x:c>
      <x:c r="D646" t="str">
        <x:v>CUST-5549</x:v>
      </x:c>
      <x:c r="E646" t="str">
        <x:v>Vikram Iyer</x:v>
      </x:c>
      <x:c r="F646" t="str">
        <x:v>Consumer</x:v>
      </x:c>
      <x:c r="G646" t="str">
        <x:v>East</x:v>
      </x:c>
      <x:c r="H646" t="str">
        <x:v>West Bengal</x:v>
      </x:c>
      <x:c r="I646" t="str">
        <x:v>Kolkata</x:v>
      </x:c>
      <x:c r="J646" t="str">
        <x:v>Furniture</x:v>
      </x:c>
      <x:c r="K646" t="str">
        <x:v>Chairs</x:v>
      </x:c>
      <x:c r="L646" t="str">
        <x:v>Pro Chairs 812</x:v>
      </x:c>
      <x:c r="M646" t="str">
        <x:v>Standard Class</x:v>
      </x:c>
      <x:c r="N646" t="n">
        <x:v>4</x:v>
      </x:c>
      <x:c r="O646" s="7" t="n">
        <x:v>3750.02</x:v>
      </x:c>
      <x:c r="P646" s="6" t="n">
        <x:v>0.05</x:v>
      </x:c>
      <x:c r="Q646" s="7" t="n">
        <x:v>14250.08</x:v>
      </x:c>
      <x:c r="R646" s="7" t="n">
        <x:v>10914.92</x:v>
      </x:c>
      <x:c r="S646" s="7" t="n">
        <x:v>3335.16</x:v>
      </x:c>
      <x:c r="T646" t="str">
        <x:v>Paid</x:v>
      </x:c>
      <x:c r="U646" t="str">
        <x:v>Completed</x:v>
      </x:c>
      <x:c r="V646" s="6" t="n">
        <x:f>IF(ISBLANK(P646),IF(AND(ISNUMBER(N646),N646&gt;0,ISNUMBER(O646),O646&gt;=0,ISNUMBER(Q646),Q646&gt;=0,ISNUMBER(R646),R646&gt;=0,ISNUMBER(S646)),0,""),P646)</x:f>
        <x:v>0.05</x:v>
      </x:c>
      <x:c r="W646" s="7" t="n">
        <x:f>IF(ISBLANK(V646),"",N646*O646*(1-V646))</x:f>
        <x:v>14250.076</x:v>
      </x:c>
      <x:c r="X646" s="7" t="n">
        <x:f>IF(OR(ISBLANK(W646),ISBLANK(R646)),"",W646-R646)</x:f>
        <x:v>3335.155999999999</x:v>
      </x:c>
      <x:c r="Y646" s="8" t="n">
        <x:f>IF(OR(ISBLANK(W646),W646=0),"",X646/W646)</x:f>
        <x:v>0.23404478684885605</x:v>
      </x:c>
      <x:c r="Z646" s="9" t="n">
        <x:f>IF(OR(ISBLANK(B646),ISBLANK(C646)),"",C646-B646)</x:f>
        <x:v>7</x:v>
      </x:c>
      <x:c r="AA646" t="str">
        <x:f>IF(ISBLANK(B646),"",TEXT(B646,"mmm"))</x:f>
        <x:v>Apr</x:v>
      </x:c>
      <x:c r="AB646" s="9" t="n">
        <x:f>IF(ISBLANK(B646),"",YEAR(B646))</x:f>
        <x:v>2025</x:v>
      </x:c>
      <x:c r="AC646" s="10" t="str"/>
      <x:c r="AD646" t="str">
        <x:f>IF(AND(U646="Completed",T646="Paid",ISERROR(SEARCH("INVALID",AC646)),ISERROR(SEARCH("REVIEW",AC646))),"Include","Exclude")</x:f>
        <x:v>Include</x:v>
      </x:c>
      <x:c r="AE646" t="str">
        <x:f>IF(T646="Refunded","Refunded","")</x:f>
      </x:c>
    </x:row>
    <x:row r="647">
      <x:c r="A647" t="str">
        <x:v>ORD-2024-10646</x:v>
      </x:c>
      <x:c r="B647" s="5" t="n">
        <x:v>45295</x:v>
      </x:c>
      <x:c r="C647" s="5" t="n">
        <x:v>45300</x:v>
      </x:c>
      <x:c r="D647" t="str">
        <x:v>CUST-2314</x:v>
      </x:c>
      <x:c r="E647" t="str">
        <x:v>Kabir Singh</x:v>
      </x:c>
      <x:c r="F647" t="str">
        <x:v>Consumer</x:v>
      </x:c>
      <x:c r="G647" t="str">
        <x:v>East</x:v>
      </x:c>
      <x:c r="H647" t="str">
        <x:v>Bihar</x:v>
      </x:c>
      <x:c r="I647" t="str">
        <x:v>Patna</x:v>
      </x:c>
      <x:c r="J647" t="str">
        <x:v>Furniture</x:v>
      </x:c>
      <x:c r="K647" t="str">
        <x:v>Chairs</x:v>
      </x:c>
      <x:c r="L647" t="str">
        <x:v>Basic Chairs 480</x:v>
      </x:c>
      <x:c r="M647" t="str">
        <x:v>Second Class</x:v>
      </x:c>
      <x:c r="N647" t="n">
        <x:v>6</x:v>
      </x:c>
      <x:c r="O647" s="7" t="n">
        <x:v>2423.61</x:v>
      </x:c>
      <x:c r="P647" s="6" t="n">
        <x:v>0.1</x:v>
      </x:c>
      <x:c r="Q647" s="7" t="n">
        <x:v>13087.49</x:v>
      </x:c>
      <x:c r="R647" s="7" t="n">
        <x:v>7608.89</x:v>
      </x:c>
      <x:c r="S647" s="7" t="n">
        <x:v>5133.22</x:v>
      </x:c>
      <x:c r="T647" t="str">
        <x:v>Paid</x:v>
      </x:c>
      <x:c r="U647" t="str">
        <x:v>Completed</x:v>
      </x:c>
      <x:c r="V647" s="6" t="n">
        <x:f>IF(ISBLANK(P647),IF(AND(ISNUMBER(N647),N647&gt;0,ISNUMBER(O647),O647&gt;=0,ISNUMBER(Q647),Q647&gt;=0,ISNUMBER(R647),R647&gt;=0,ISNUMBER(S647)),0,""),P647)</x:f>
        <x:v>0.1</x:v>
      </x:c>
      <x:c r="W647" s="7" t="n">
        <x:f>IF(ISBLANK(V647),"",N647*O647*(1-V647))</x:f>
        <x:v>13087.494</x:v>
      </x:c>
      <x:c r="X647" s="7" t="n">
        <x:f>IF(OR(ISBLANK(W647),ISBLANK(R647)),"",W647-R647)</x:f>
        <x:v>5478.604</x:v>
      </x:c>
      <x:c r="Y647" s="8" t="n">
        <x:f>IF(OR(ISBLANK(W647),W647=0),"",X647/W647)</x:f>
        <x:v>0.41861367806548755</x:v>
      </x:c>
      <x:c r="Z647" s="9" t="n">
        <x:f>IF(OR(ISBLANK(B647),ISBLANK(C647)),"",C647-B647)</x:f>
        <x:v>5</x:v>
      </x:c>
      <x:c r="AA647" t="str">
        <x:f>IF(ISBLANK(B647),"",TEXT(B647,"mmm"))</x:f>
        <x:v>Jan</x:v>
      </x:c>
      <x:c r="AB647" s="9" t="n">
        <x:f>IF(ISBLANK(B647),"",YEAR(B647))</x:f>
        <x:v>2024</x:v>
      </x:c>
      <x:c r="AC647" s="10" t="str"/>
      <x:c r="AD647" t="str">
        <x:f>IF(AND(U647="Completed",T647="Paid",ISERROR(SEARCH("INVALID",AC647)),ISERROR(SEARCH("REVIEW",AC647))),"Include","Exclude")</x:f>
        <x:v>Include</x:v>
      </x:c>
      <x:c r="AE647" t="str">
        <x:f>IF(T647="Refunded","Refunded","")</x:f>
      </x:c>
    </x:row>
    <x:row r="648">
      <x:c r="A648" t="str">
        <x:v>ORD-2024-10647</x:v>
      </x:c>
      <x:c r="B648" s="5" t="n">
        <x:v>45553</x:v>
      </x:c>
      <x:c r="C648" s="5" t="n">
        <x:v>45559</x:v>
      </x:c>
      <x:c r="D648" t="str">
        <x:v>CUST-6360</x:v>
      </x:c>
      <x:c r="E648" t="str">
        <x:v>Vikram Iyer</x:v>
      </x:c>
      <x:c r="F648" t="str">
        <x:v>Small Business</x:v>
      </x:c>
      <x:c r="G648" t="str">
        <x:v>East</x:v>
      </x:c>
      <x:c r="H648" t="str">
        <x:v>Jharkhand</x:v>
      </x:c>
      <x:c r="I648" t="str">
        <x:v>Ranchi</x:v>
      </x:c>
      <x:c r="J648" t="str">
        <x:v>Technology</x:v>
      </x:c>
      <x:c r="K648" t="str">
        <x:v>Machines</x:v>
      </x:c>
      <x:c r="L648" t="str">
        <x:v>Elite Machines 955</x:v>
      </x:c>
      <x:c r="M648" t="str">
        <x:v>First Class</x:v>
      </x:c>
      <x:c r="N648" t="n">
        <x:v>3</x:v>
      </x:c>
      <x:c r="O648" s="7" t="n">
        <x:v>729.14</x:v>
      </x:c>
      <x:c r="P648" s="6" t="n">
        <x:v>0.25</x:v>
      </x:c>
      <x:c r="Q648" s="7" t="n">
        <x:v>1640.57</x:v>
      </x:c>
      <x:c r="R648" s="7" t="n">
        <x:v>1136.98</x:v>
      </x:c>
      <x:c r="S648" s="7" t="n">
        <x:v>503.59</x:v>
      </x:c>
      <x:c r="T648" t="str">
        <x:v>Paid</x:v>
      </x:c>
      <x:c r="U648" t="str">
        <x:v>Completed</x:v>
      </x:c>
      <x:c r="V648" s="6" t="n">
        <x:f>IF(ISBLANK(P648),IF(AND(ISNUMBER(N648),N648&gt;0,ISNUMBER(O648),O648&gt;=0,ISNUMBER(Q648),Q648&gt;=0,ISNUMBER(R648),R648&gt;=0,ISNUMBER(S648)),0,""),P648)</x:f>
        <x:v>0.25</x:v>
      </x:c>
      <x:c r="W648" s="7" t="n">
        <x:f>IF(ISBLANK(V648),"",N648*O648*(1-V648))</x:f>
        <x:v>1640.565</x:v>
      </x:c>
      <x:c r="X648" s="7" t="n">
        <x:f>IF(OR(ISBLANK(W648),ISBLANK(R648)),"",W648-R648)</x:f>
        <x:v>503.58500000000004</x:v>
      </x:c>
      <x:c r="Y648" s="8" t="n">
        <x:f>IF(OR(ISBLANK(W648),W648=0),"",X648/W648)</x:f>
        <x:v>0.30695827352162214</x:v>
      </x:c>
      <x:c r="Z648" s="9" t="n">
        <x:f>IF(OR(ISBLANK(B648),ISBLANK(C648)),"",C648-B648)</x:f>
        <x:v>6</x:v>
      </x:c>
      <x:c r="AA648" t="str">
        <x:f>IF(ISBLANK(B648),"",TEXT(B648,"mmm"))</x:f>
        <x:v>Sep</x:v>
      </x:c>
      <x:c r="AB648" s="9" t="n">
        <x:f>IF(ISBLANK(B648),"",YEAR(B648))</x:f>
        <x:v>2024</x:v>
      </x:c>
      <x:c r="AC648" s="10" t="str"/>
      <x:c r="AD648" t="str">
        <x:f>IF(AND(U648="Completed",T648="Paid",ISERROR(SEARCH("INVALID",AC648)),ISERROR(SEARCH("REVIEW",AC648))),"Include","Exclude")</x:f>
        <x:v>Include</x:v>
      </x:c>
      <x:c r="AE648" t="str">
        <x:f>IF(T648="Refunded","Refunded","")</x:f>
      </x:c>
    </x:row>
    <x:row r="649">
      <x:c r="A649" t="str">
        <x:v>ORD-2025-10648</x:v>
      </x:c>
      <x:c r="B649" s="5" t="n">
        <x:v>45658</x:v>
      </x:c>
      <x:c r="C649" s="5" t="n">
        <x:v>45666</x:v>
      </x:c>
      <x:c r="D649" t="str">
        <x:v>CUST-9942</x:v>
      </x:c>
      <x:c r="E649" t="str">
        <x:v>Rohan Mehta</x:v>
      </x:c>
      <x:c r="F649" t="str">
        <x:v>Small Business</x:v>
      </x:c>
      <x:c r="G649" t="str">
        <x:v>North</x:v>
      </x:c>
      <x:c r="H649" t="str">
        <x:v>Punjab</x:v>
      </x:c>
      <x:c r="I649" t="str">
        <x:v>Ludhiana</x:v>
      </x:c>
      <x:c r="J649" t="str">
        <x:v>Office Supplies</x:v>
      </x:c>
      <x:c r="K649" t="str">
        <x:v>Art</x:v>
      </x:c>
      <x:c r="L649" t="str">
        <x:v>Prime Art 461</x:v>
      </x:c>
      <x:c r="M649" t="str">
        <x:v>First Class</x:v>
      </x:c>
      <x:c r="N649" t="n">
        <x:v>8</x:v>
      </x:c>
      <x:c r="O649" s="7" t="n">
        <x:v>2123.81</x:v>
      </x:c>
      <x:c r="P649" s="6" t="n">
        <x:v>0.15</x:v>
      </x:c>
      <x:c r="Q649" s="7" t="n">
        <x:v>14441.91</x:v>
      </x:c>
      <x:c r="R649" s="7" t="n">
        <x:v>10872.89</x:v>
      </x:c>
      <x:c r="S649" s="7" t="n">
        <x:v>3569.02</x:v>
      </x:c>
      <x:c r="T649" t="str">
        <x:v>Paid</x:v>
      </x:c>
      <x:c r="U649" t="str">
        <x:v>Completed</x:v>
      </x:c>
      <x:c r="V649" s="6" t="n">
        <x:f>IF(ISBLANK(P649),IF(AND(ISNUMBER(N649),N649&gt;0,ISNUMBER(O649),O649&gt;=0,ISNUMBER(Q649),Q649&gt;=0,ISNUMBER(R649),R649&gt;=0,ISNUMBER(S649)),0,""),P649)</x:f>
        <x:v>0.15</x:v>
      </x:c>
      <x:c r="W649" s="7" t="n">
        <x:f>IF(ISBLANK(V649),"",N649*O649*(1-V649))</x:f>
        <x:v>14441.908</x:v>
      </x:c>
      <x:c r="X649" s="7" t="n">
        <x:f>IF(OR(ISBLANK(W649),ISBLANK(R649)),"",W649-R649)</x:f>
        <x:v>3569.018</x:v>
      </x:c>
      <x:c r="Y649" s="8" t="n">
        <x:f>IF(OR(ISBLANK(W649),W649=0),"",X649/W649)</x:f>
        <x:v>0.2471292574360673</x:v>
      </x:c>
      <x:c r="Z649" s="9" t="n">
        <x:f>IF(OR(ISBLANK(B649),ISBLANK(C649)),"",C649-B649)</x:f>
        <x:v>8</x:v>
      </x:c>
      <x:c r="AA649" t="str">
        <x:f>IF(ISBLANK(B649),"",TEXT(B649,"mmm"))</x:f>
        <x:v>Jan</x:v>
      </x:c>
      <x:c r="AB649" s="9" t="n">
        <x:f>IF(ISBLANK(B649),"",YEAR(B649))</x:f>
        <x:v>2025</x:v>
      </x:c>
      <x:c r="AC649" s="10" t="str"/>
      <x:c r="AD649" t="str">
        <x:f>IF(AND(U649="Completed",T649="Paid",ISERROR(SEARCH("INVALID",AC649)),ISERROR(SEARCH("REVIEW",AC649))),"Include","Exclude")</x:f>
        <x:v>Include</x:v>
      </x:c>
      <x:c r="AE649" t="str">
        <x:f>IF(T649="Refunded","Refunded","")</x:f>
      </x:c>
    </x:row>
    <x:row r="650">
      <x:c r="A650" t="str">
        <x:v>ORD-2024-10649</x:v>
      </x:c>
      <x:c r="B650" s="5" t="n">
        <x:v>45403</x:v>
      </x:c>
      <x:c r="C650" s="5" t="n">
        <x:v>45406</x:v>
      </x:c>
      <x:c r="D650" t="str">
        <x:v>CUST-1808</x:v>
      </x:c>
      <x:c r="E650" t="str">
        <x:v>Neha Gupta</x:v>
      </x:c>
      <x:c r="F650" t="str">
        <x:v>Small Business</x:v>
      </x:c>
      <x:c r="G650" t="str">
        <x:v>South</x:v>
      </x:c>
      <x:c r="H650" t="str">
        <x:v>Andhra Pradesh</x:v>
      </x:c>
      <x:c r="I650" t="str">
        <x:v>Vijayawada</x:v>
      </x:c>
      <x:c r="J650" t="str">
        <x:v>Office Supplies</x:v>
      </x:c>
      <x:c r="K650" t="str">
        <x:v>Art</x:v>
      </x:c>
      <x:c r="L650" t="str">
        <x:v>Prime Art 301</x:v>
      </x:c>
      <x:c r="M650" t="str">
        <x:v>Same Day</x:v>
      </x:c>
      <x:c r="N650" t="n">
        <x:v>9</x:v>
      </x:c>
      <x:c r="O650" s="7" t="n">
        <x:v>703.59</x:v>
      </x:c>
      <x:c r="P650" s="6" t="n">
        <x:v>0.2</x:v>
      </x:c>
      <x:c r="Q650" s="7" t="n">
        <x:v>5065.85</x:v>
      </x:c>
      <x:c r="R650" s="7" t="n">
        <x:v>3517.23</x:v>
      </x:c>
      <x:c r="S650" s="7" t="n">
        <x:v>1548.62</x:v>
      </x:c>
      <x:c r="T650" t="str">
        <x:v>Failed</x:v>
      </x:c>
      <x:c r="U650" t="str">
        <x:v>Returned</x:v>
      </x:c>
      <x:c r="V650" s="6" t="n">
        <x:f>IF(ISBLANK(P650),IF(AND(ISNUMBER(N650),N650&gt;0,ISNUMBER(O650),O650&gt;=0,ISNUMBER(Q650),Q650&gt;=0,ISNUMBER(R650),R650&gt;=0,ISNUMBER(S650)),0,""),P650)</x:f>
        <x:v>0.2</x:v>
      </x:c>
      <x:c r="W650" s="7" t="n">
        <x:f>IF(ISBLANK(V650),"",N650*O650*(1-V650))</x:f>
        <x:v>5065.848000000001</x:v>
      </x:c>
      <x:c r="X650" s="7" t="n">
        <x:f>IF(OR(ISBLANK(W650),ISBLANK(R650)),"",W650-R650)</x:f>
        <x:v>1548.6180000000008</x:v>
      </x:c>
      <x:c r="Y650" s="8" t="n">
        <x:f>IF(OR(ISBLANK(W650),W650=0),"",X650/W650)</x:f>
        <x:v>0.30569768378364304</x:v>
      </x:c>
      <x:c r="Z650" s="9" t="n">
        <x:f>IF(OR(ISBLANK(B650),ISBLANK(C650)),"",C650-B650)</x:f>
        <x:v>3</x:v>
      </x:c>
      <x:c r="AA650" t="str">
        <x:f>IF(ISBLANK(B650),"",TEXT(B650,"mmm"))</x:f>
        <x:v>Apr</x:v>
      </x:c>
      <x:c r="AB650" s="9" t="n">
        <x:f>IF(ISBLANK(B650),"",YEAR(B650))</x:f>
        <x:v>2024</x:v>
      </x:c>
      <x:c r="AC650" s="10" t="str">
        <x:v>EXCLUDE: Failed payment</x:v>
      </x:c>
      <x:c r="AD650" t="str">
        <x:f>IF(AND(U650="Completed",T650="Paid",ISERROR(SEARCH("INVALID",AC650)),ISERROR(SEARCH("REVIEW",AC650))),"Include","Exclude")</x:f>
        <x:v>Exclude</x:v>
      </x:c>
      <x:c r="AE650" t="str">
        <x:f>IF(T650="Refunded","Refunded","")</x:f>
      </x:c>
    </x:row>
    <x:row r="651">
      <x:c r="A651" t="str">
        <x:v>ORD-2025-10650</x:v>
      </x:c>
      <x:c r="B651" s="5" t="n">
        <x:v>45880</x:v>
      </x:c>
      <x:c r="C651" s="5" t="n">
        <x:v>45888</x:v>
      </x:c>
      <x:c r="D651" t="str">
        <x:v>CUST-7277</x:v>
      </x:c>
      <x:c r="E651" t="str">
        <x:v>Kabir Singh</x:v>
      </x:c>
      <x:c r="F651" t="str">
        <x:v>Small Business</x:v>
      </x:c>
      <x:c r="G651" t="str">
        <x:v>South</x:v>
      </x:c>
      <x:c r="H651" t="str">
        <x:v>Kerala</x:v>
      </x:c>
      <x:c r="I651" t="str">
        <x:v>Kochi</x:v>
      </x:c>
      <x:c r="J651" t="str">
        <x:v>Technology</x:v>
      </x:c>
      <x:c r="K651" t="str">
        <x:v>Accessories</x:v>
      </x:c>
      <x:c r="L651" t="str">
        <x:v>Classic Accessories 354</x:v>
      </x:c>
      <x:c r="M651" t="str">
        <x:v>Standard Class</x:v>
      </x:c>
      <x:c r="N651" t="n">
        <x:v>4</x:v>
      </x:c>
      <x:c r="O651" s="7" t="n">
        <x:v>2258.96</x:v>
      </x:c>
      <x:c r="P651" s="6" t="n">
        <x:v>0.25</x:v>
      </x:c>
      <x:c r="Q651" s="7" t="n">
        <x:v>6776.88</x:v>
      </x:c>
      <x:c r="R651" s="7" t="n">
        <x:v>3836.24</x:v>
      </x:c>
      <x:c r="S651" s="7" t="n">
        <x:v>2940.64</x:v>
      </x:c>
      <x:c r="T651" t="str">
        <x:v>Paid</x:v>
      </x:c>
      <x:c r="U651" t="str">
        <x:v>Completed</x:v>
      </x:c>
      <x:c r="V651" s="6" t="n">
        <x:f>IF(ISBLANK(P651),IF(AND(ISNUMBER(N651),N651&gt;0,ISNUMBER(O651),O651&gt;=0,ISNUMBER(Q651),Q651&gt;=0,ISNUMBER(R651),R651&gt;=0,ISNUMBER(S651)),0,""),P651)</x:f>
        <x:v>0.25</x:v>
      </x:c>
      <x:c r="W651" s="7" t="n">
        <x:f>IF(ISBLANK(V651),"",N651*O651*(1-V651))</x:f>
        <x:v>6776.88</x:v>
      </x:c>
      <x:c r="X651" s="7" t="n">
        <x:f>IF(OR(ISBLANK(W651),ISBLANK(R651)),"",W651-R651)</x:f>
        <x:v>2940.6400000000003</x:v>
      </x:c>
      <x:c r="Y651" s="8" t="n">
        <x:f>IF(OR(ISBLANK(W651),W651=0),"",X651/W651)</x:f>
        <x:v>0.43392239496641527</x:v>
      </x:c>
      <x:c r="Z651" s="9" t="n">
        <x:f>IF(OR(ISBLANK(B651),ISBLANK(C651)),"",C651-B651)</x:f>
        <x:v>8</x:v>
      </x:c>
      <x:c r="AA651" t="str">
        <x:f>IF(ISBLANK(B651),"",TEXT(B651,"mmm"))</x:f>
        <x:v>Aug</x:v>
      </x:c>
      <x:c r="AB651" s="9" t="n">
        <x:f>IF(ISBLANK(B651),"",YEAR(B651))</x:f>
        <x:v>2025</x:v>
      </x:c>
      <x:c r="AC651" s="10" t="str"/>
      <x:c r="AD651" t="str">
        <x:f>IF(AND(U651="Completed",T651="Paid",ISERROR(SEARCH("INVALID",AC651)),ISERROR(SEARCH("REVIEW",AC651))),"Include","Exclude")</x:f>
        <x:v>Include</x:v>
      </x:c>
      <x:c r="AE651" t="str">
        <x:f>IF(T651="Refunded","Refunded","")</x:f>
      </x:c>
    </x:row>
    <x:row r="652">
      <x:c r="A652" t="str">
        <x:v>ORD-2024-10651</x:v>
      </x:c>
      <x:c r="B652" s="5" t="n">
        <x:v>45395</x:v>
      </x:c>
      <x:c r="C652" s="5" t="n">
        <x:v>45403</x:v>
      </x:c>
      <x:c r="D652" t="str">
        <x:v>CUST-7744</x:v>
      </x:c>
      <x:c r="E652" t="str">
        <x:v>Aarav Sharma</x:v>
      </x:c>
      <x:c r="F652" t="str">
        <x:v>Home Office</x:v>
      </x:c>
      <x:c r="G652" t="str">
        <x:v>East</x:v>
      </x:c>
      <x:c r="H652" t="str">
        <x:v>Bihar</x:v>
      </x:c>
      <x:c r="I652" t="str">
        <x:v>Patna</x:v>
      </x:c>
      <x:c r="J652" t="str">
        <x:v>Technology</x:v>
      </x:c>
      <x:c r="K652" t="str">
        <x:v>Accessories</x:v>
      </x:c>
      <x:c r="L652" t="str">
        <x:v>Basic Accessories 210</x:v>
      </x:c>
      <x:c r="M652" t="str">
        <x:v>Same Day</x:v>
      </x:c>
      <x:c r="N652" t="n">
        <x:v>7</x:v>
      </x:c>
      <x:c r="O652" s="7" t="n">
        <x:v>2648.76</x:v>
      </x:c>
      <x:c r="P652" s="6" t="n">
        <x:v>0.15</x:v>
      </x:c>
      <x:c r="Q652" s="7" t="n">
        <x:v>15760.12</x:v>
      </x:c>
      <x:c r="R652" s="7" t="n">
        <x:v>9931.53</x:v>
      </x:c>
      <x:c r="S652" s="7" t="n">
        <x:v>5828.59</x:v>
      </x:c>
      <x:c r="T652" t="str">
        <x:v>Failed</x:v>
      </x:c>
      <x:c r="U652" t="str">
        <x:v>Returned</x:v>
      </x:c>
      <x:c r="V652" s="6" t="n">
        <x:f>IF(ISBLANK(P652),IF(AND(ISNUMBER(N652),N652&gt;0,ISNUMBER(O652),O652&gt;=0,ISNUMBER(Q652),Q652&gt;=0,ISNUMBER(R652),R652&gt;=0,ISNUMBER(S652)),0,""),P652)</x:f>
        <x:v>0.15</x:v>
      </x:c>
      <x:c r="W652" s="7" t="n">
        <x:f>IF(ISBLANK(V652),"",N652*O652*(1-V652))</x:f>
        <x:v>15760.122</x:v>
      </x:c>
      <x:c r="X652" s="7" t="n">
        <x:f>IF(OR(ISBLANK(W652),ISBLANK(R652)),"",W652-R652)</x:f>
        <x:v>5828.591999999999</x:v>
      </x:c>
      <x:c r="Y652" s="8" t="n">
        <x:f>IF(OR(ISBLANK(W652),W652=0),"",X652/W652)</x:f>
        <x:v>0.36983165485647884</x:v>
      </x:c>
      <x:c r="Z652" s="9" t="n">
        <x:f>IF(OR(ISBLANK(B652),ISBLANK(C652)),"",C652-B652)</x:f>
        <x:v>8</x:v>
      </x:c>
      <x:c r="AA652" t="str">
        <x:f>IF(ISBLANK(B652),"",TEXT(B652,"mmm"))</x:f>
        <x:v>Apr</x:v>
      </x:c>
      <x:c r="AB652" s="9" t="n">
        <x:f>IF(ISBLANK(B652),"",YEAR(B652))</x:f>
        <x:v>2024</x:v>
      </x:c>
      <x:c r="AC652" s="10" t="str">
        <x:v>EXCLUDE: Failed payment</x:v>
      </x:c>
      <x:c r="AD652" t="str">
        <x:f>IF(AND(U652="Completed",T652="Paid",ISERROR(SEARCH("INVALID",AC652)),ISERROR(SEARCH("REVIEW",AC652))),"Include","Exclude")</x:f>
        <x:v>Exclude</x:v>
      </x:c>
      <x:c r="AE652" t="str">
        <x:f>IF(T652="Refunded","Refunded","")</x:f>
      </x:c>
    </x:row>
    <x:row r="653">
      <x:c r="A653" t="str">
        <x:v>ORD-2025-10652</x:v>
      </x:c>
      <x:c r="B653" s="5" t="n">
        <x:v>45875</x:v>
      </x:c>
      <x:c r="C653" s="5" t="n">
        <x:v>45878</x:v>
      </x:c>
      <x:c r="D653" t="str">
        <x:v>CUST-2660</x:v>
      </x:c>
      <x:c r="E653" t="str">
        <x:v>Mira Das</x:v>
      </x:c>
      <x:c r="F653" t="str">
        <x:v>Small Business</x:v>
      </x:c>
      <x:c r="G653" t="str">
        <x:v>South</x:v>
      </x:c>
      <x:c r="H653" t="str">
        <x:v>Andhra Pradesh</x:v>
      </x:c>
      <x:c r="I653" t="str">
        <x:v>Vijayawada</x:v>
      </x:c>
      <x:c r="J653" t="str">
        <x:v>Office Supplies</x:v>
      </x:c>
      <x:c r="K653" t="str">
        <x:v>Paper</x:v>
      </x:c>
      <x:c r="L653" t="str">
        <x:v>Smart Paper 364</x:v>
      </x:c>
      <x:c r="M653" t="str">
        <x:v>Second Class</x:v>
      </x:c>
      <x:c r="N653" t="n">
        <x:v>3</x:v>
      </x:c>
      <x:c r="O653" s="7" t="n">
        <x:v>598.55</x:v>
      </x:c>
      <x:c r="P653" s="6" t="n">
        <x:v>0</x:v>
      </x:c>
      <x:c r="Q653" s="7" t="n">
        <x:v>1795.65</x:v>
      </x:c>
      <x:c r="R653" s="7" t="n">
        <x:v>996.72</x:v>
      </x:c>
      <x:c r="S653" s="7" t="n">
        <x:v>798.93</x:v>
      </x:c>
      <x:c r="T653" t="str">
        <x:v>Paid</x:v>
      </x:c>
      <x:c r="U653" t="str">
        <x:v>Completed</x:v>
      </x:c>
      <x:c r="V653" s="6" t="n">
        <x:f>IF(ISBLANK(P653),IF(AND(ISNUMBER(N653),N653&gt;0,ISNUMBER(O653),O653&gt;=0,ISNUMBER(Q653),Q653&gt;=0,ISNUMBER(R653),R653&gt;=0,ISNUMBER(S653)),0,""),P653)</x:f>
        <x:v>0</x:v>
      </x:c>
      <x:c r="W653" s="7" t="n">
        <x:f>IF(ISBLANK(V653),"",N653*O653*(1-V653))</x:f>
        <x:v>1795.6499999999999</x:v>
      </x:c>
      <x:c r="X653" s="7" t="n">
        <x:f>IF(OR(ISBLANK(W653),ISBLANK(R653)),"",W653-R653)</x:f>
        <x:v>798.9299999999998</x:v>
      </x:c>
      <x:c r="Y653" s="8" t="n">
        <x:f>IF(OR(ISBLANK(W653),W653=0),"",X653/W653)</x:f>
        <x:v>0.4449252359869684</x:v>
      </x:c>
      <x:c r="Z653" s="9" t="n">
        <x:f>IF(OR(ISBLANK(B653),ISBLANK(C653)),"",C653-B653)</x:f>
        <x:v>3</x:v>
      </x:c>
      <x:c r="AA653" t="str">
        <x:f>IF(ISBLANK(B653),"",TEXT(B653,"mmm"))</x:f>
        <x:v>Aug</x:v>
      </x:c>
      <x:c r="AB653" s="9" t="n">
        <x:f>IF(ISBLANK(B653),"",YEAR(B653))</x:f>
        <x:v>2025</x:v>
      </x:c>
      <x:c r="AC653" s="10" t="str"/>
      <x:c r="AD653" t="str">
        <x:f>IF(AND(U653="Completed",T653="Paid",ISERROR(SEARCH("INVALID",AC653)),ISERROR(SEARCH("REVIEW",AC653))),"Include","Exclude")</x:f>
        <x:v>Include</x:v>
      </x:c>
      <x:c r="AE653" t="str">
        <x:f>IF(T653="Refunded","Refunded","")</x:f>
      </x:c>
    </x:row>
    <x:row r="654">
      <x:c r="A654" t="str">
        <x:v>ORD-2025-10653</x:v>
      </x:c>
      <x:c r="B654" s="5" t="n">
        <x:v>45733</x:v>
      </x:c>
      <x:c r="C654" s="5" t="n">
        <x:v>45737</x:v>
      </x:c>
      <x:c r="D654" t="str">
        <x:v>CUST-8177</x:v>
      </x:c>
      <x:c r="E654" t="str">
        <x:v>Sneha Kapoor</x:v>
      </x:c>
      <x:c r="F654" t="str">
        <x:v>Consumer</x:v>
      </x:c>
      <x:c r="G654" t="str">
        <x:v>North</x:v>
      </x:c>
      <x:c r="H654" t="str">
        <x:v>Uttar Pradesh</x:v>
      </x:c>
      <x:c r="I654" t="str">
        <x:v>Noida</x:v>
      </x:c>
      <x:c r="J654" t="str">
        <x:v>Office Supplies</x:v>
      </x:c>
      <x:c r="K654" t="str">
        <x:v>Binders</x:v>
      </x:c>
      <x:c r="L654" t="str">
        <x:v>Smart Binders 999</x:v>
      </x:c>
      <x:c r="M654" t="str">
        <x:v>Standard Class</x:v>
      </x:c>
      <x:c r="N654" t="n">
        <x:v>5</x:v>
      </x:c>
      <x:c r="O654" s="7" t="n">
        <x:v>4320.59</x:v>
      </x:c>
      <x:c r="P654" s="6" t="n">
        <x:v>0.15</x:v>
      </x:c>
      <x:c r="Q654" s="7" t="n">
        <x:v>18362.51</x:v>
      </x:c>
      <x:c r="R654" s="7" t="n">
        <x:v>11133.97</x:v>
      </x:c>
      <x:c r="S654" s="7" t="n">
        <x:v>7228.54</x:v>
      </x:c>
      <x:c r="T654" t="str">
        <x:v>Paid</x:v>
      </x:c>
      <x:c r="U654" t="str">
        <x:v>Completed</x:v>
      </x:c>
      <x:c r="V654" s="6" t="n">
        <x:f>IF(ISBLANK(P654),IF(AND(ISNUMBER(N654),N654&gt;0,ISNUMBER(O654),O654&gt;=0,ISNUMBER(Q654),Q654&gt;=0,ISNUMBER(R654),R654&gt;=0,ISNUMBER(S654)),0,""),P654)</x:f>
        <x:v>0.15</x:v>
      </x:c>
      <x:c r="W654" s="7" t="n">
        <x:f>IF(ISBLANK(V654),"",N654*O654*(1-V654))</x:f>
        <x:v>18362.5075</x:v>
      </x:c>
      <x:c r="X654" s="7" t="n">
        <x:f>IF(OR(ISBLANK(W654),ISBLANK(R654)),"",W654-R654)</x:f>
        <x:v>7228.5375</x:v>
      </x:c>
      <x:c r="Y654" s="8" t="n">
        <x:f>IF(OR(ISBLANK(W654),W654=0),"",X654/W654)</x:f>
        <x:v>0.39365742941153326</x:v>
      </x:c>
      <x:c r="Z654" s="9" t="n">
        <x:f>IF(OR(ISBLANK(B654),ISBLANK(C654)),"",C654-B654)</x:f>
        <x:v>4</x:v>
      </x:c>
      <x:c r="AA654" t="str">
        <x:f>IF(ISBLANK(B654),"",TEXT(B654,"mmm"))</x:f>
        <x:v>Mar</x:v>
      </x:c>
      <x:c r="AB654" s="9" t="n">
        <x:f>IF(ISBLANK(B654),"",YEAR(B654))</x:f>
        <x:v>2025</x:v>
      </x:c>
      <x:c r="AC654" s="10" t="str"/>
      <x:c r="AD654" t="str">
        <x:f>IF(AND(U654="Completed",T654="Paid",ISERROR(SEARCH("INVALID",AC654)),ISERROR(SEARCH("REVIEW",AC654))),"Include","Exclude")</x:f>
        <x:v>Include</x:v>
      </x:c>
      <x:c r="AE654" t="str">
        <x:f>IF(T654="Refunded","Refunded","")</x:f>
      </x:c>
    </x:row>
    <x:row r="655">
      <x:c r="A655" t="str">
        <x:v>ORD-2025-10654</x:v>
      </x:c>
      <x:c r="B655" s="5" t="n">
        <x:v>45751</x:v>
      </x:c>
      <x:c r="C655" s="5" t="n">
        <x:v>45754</x:v>
      </x:c>
      <x:c r="D655" t="str">
        <x:v>CUST-3970</x:v>
      </x:c>
      <x:c r="E655" t="str">
        <x:v>Priya Menon</x:v>
      </x:c>
      <x:c r="F655" t="str">
        <x:v>Small Business</x:v>
      </x:c>
      <x:c r="G655" t="str">
        <x:v>South</x:v>
      </x:c>
      <x:c r="H655" t="str">
        <x:v>Tamil Nadu</x:v>
      </x:c>
      <x:c r="I655" t="str">
        <x:v>Chennai</x:v>
      </x:c>
      <x:c r="J655" t="str">
        <x:v>Technology</x:v>
      </x:c>
      <x:c r="K655" t="str">
        <x:v>Copiers</x:v>
      </x:c>
      <x:c r="L655" t="str">
        <x:v>Max Copiers 356</x:v>
      </x:c>
      <x:c r="M655" t="str">
        <x:v>Second Class</x:v>
      </x:c>
      <x:c r="N655" t="n">
        <x:v>7</x:v>
      </x:c>
      <x:c r="O655" s="7" t="n">
        <x:v>4457.93</x:v>
      </x:c>
      <x:c r="P655" s="6" t="n">
        <x:v>0.15</x:v>
      </x:c>
      <x:c r="Q655" s="7" t="n">
        <x:v>26524.68</x:v>
      </x:c>
      <x:c r="R655" s="7" t="n">
        <x:v>20574.3</x:v>
      </x:c>
      <x:c r="S655" s="7" t="n">
        <x:v>5950.38</x:v>
      </x:c>
      <x:c r="T655" t="str">
        <x:v>Paid</x:v>
      </x:c>
      <x:c r="U655" t="str">
        <x:v>Completed</x:v>
      </x:c>
      <x:c r="V655" s="6" t="n">
        <x:f>IF(ISBLANK(P655),IF(AND(ISNUMBER(N655),N655&gt;0,ISNUMBER(O655),O655&gt;=0,ISNUMBER(Q655),Q655&gt;=0,ISNUMBER(R655),R655&gt;=0,ISNUMBER(S655)),0,""),P655)</x:f>
        <x:v>0.15</x:v>
      </x:c>
      <x:c r="W655" s="7" t="n">
        <x:f>IF(ISBLANK(V655),"",N655*O655*(1-V655))</x:f>
        <x:v>26524.683500000003</x:v>
      </x:c>
      <x:c r="X655" s="7" t="n">
        <x:f>IF(OR(ISBLANK(W655),ISBLANK(R655)),"",W655-R655)</x:f>
        <x:v>5950.383500000004</x:v>
      </x:c>
      <x:c r="Y655" s="8" t="n">
        <x:f>IF(OR(ISBLANK(W655),W655=0),"",X655/W655)</x:f>
        <x:v>0.22433381721595294</x:v>
      </x:c>
      <x:c r="Z655" s="9" t="n">
        <x:f>IF(OR(ISBLANK(B655),ISBLANK(C655)),"",C655-B655)</x:f>
        <x:v>3</x:v>
      </x:c>
      <x:c r="AA655" t="str">
        <x:f>IF(ISBLANK(B655),"",TEXT(B655,"mmm"))</x:f>
        <x:v>Apr</x:v>
      </x:c>
      <x:c r="AB655" s="9" t="n">
        <x:f>IF(ISBLANK(B655),"",YEAR(B655))</x:f>
        <x:v>2025</x:v>
      </x:c>
      <x:c r="AC655" s="10" t="str"/>
      <x:c r="AD655" t="str">
        <x:f>IF(AND(U655="Completed",T655="Paid",ISERROR(SEARCH("INVALID",AC655)),ISERROR(SEARCH("REVIEW",AC655))),"Include","Exclude")</x:f>
        <x:v>Include</x:v>
      </x:c>
      <x:c r="AE655" t="str">
        <x:f>IF(T655="Refunded","Refunded","")</x:f>
      </x:c>
    </x:row>
    <x:row r="656">
      <x:c r="A656" t="str">
        <x:v>ORD-2025-10655</x:v>
      </x:c>
      <x:c r="B656" s="5" t="n">
        <x:v>45942</x:v>
      </x:c>
      <x:c r="C656" s="5" t="n">
        <x:v>45946</x:v>
      </x:c>
      <x:c r="D656" t="str">
        <x:v>CUST-8249</x:v>
      </x:c>
      <x:c r="E656" t="str">
        <x:v>Diya Patel</x:v>
      </x:c>
      <x:c r="F656" t="str">
        <x:v>Corporate</x:v>
      </x:c>
      <x:c r="G656" t="str">
        <x:v>East</x:v>
      </x:c>
      <x:c r="H656" t="str">
        <x:v>Bihar</x:v>
      </x:c>
      <x:c r="I656" t="str">
        <x:v>Patna</x:v>
      </x:c>
      <x:c r="J656" t="str">
        <x:v>Technology</x:v>
      </x:c>
      <x:c r="K656" t="str">
        <x:v>Machines</x:v>
      </x:c>
      <x:c r="L656" t="str">
        <x:v>Classic Machines 639</x:v>
      </x:c>
      <x:c r="M656" t="str">
        <x:v>Same Day</x:v>
      </x:c>
      <x:c r="N656" t="n">
        <x:v>1</x:v>
      </x:c>
      <x:c r="O656" s="7" t="n">
        <x:v>2570.06</x:v>
      </x:c>
      <x:c r="P656" s="6" t="n">
        <x:v>0.2</x:v>
      </x:c>
      <x:c r="Q656" s="7" t="n">
        <x:v>2056.05</x:v>
      </x:c>
      <x:c r="R656" s="7" t="n">
        <x:v>1662.39</x:v>
      </x:c>
      <x:c r="S656" s="7" t="n">
        <x:v>393.66</x:v>
      </x:c>
      <x:c r="T656" t="str">
        <x:v>Paid</x:v>
      </x:c>
      <x:c r="U656" t="str">
        <x:v>Completed</x:v>
      </x:c>
      <x:c r="V656" s="6" t="n">
        <x:f>IF(ISBLANK(P656),IF(AND(ISNUMBER(N656),N656&gt;0,ISNUMBER(O656),O656&gt;=0,ISNUMBER(Q656),Q656&gt;=0,ISNUMBER(R656),R656&gt;=0,ISNUMBER(S656)),0,""),P656)</x:f>
        <x:v>0.2</x:v>
      </x:c>
      <x:c r="W656" s="7" t="n">
        <x:f>IF(ISBLANK(V656),"",N656*O656*(1-V656))</x:f>
        <x:v>2056.0480000000002</x:v>
      </x:c>
      <x:c r="X656" s="7" t="n">
        <x:f>IF(OR(ISBLANK(W656),ISBLANK(R656)),"",W656-R656)</x:f>
        <x:v>393.65800000000013</x:v>
      </x:c>
      <x:c r="Y656" s="8" t="n">
        <x:f>IF(OR(ISBLANK(W656),W656=0),"",X656/W656)</x:f>
        <x:v>0.19146342886936496</x:v>
      </x:c>
      <x:c r="Z656" s="9" t="n">
        <x:f>IF(OR(ISBLANK(B656),ISBLANK(C656)),"",C656-B656)</x:f>
        <x:v>4</x:v>
      </x:c>
      <x:c r="AA656" t="str">
        <x:f>IF(ISBLANK(B656),"",TEXT(B656,"mmm"))</x:f>
        <x:v>Oct</x:v>
      </x:c>
      <x:c r="AB656" s="9" t="n">
        <x:f>IF(ISBLANK(B656),"",YEAR(B656))</x:f>
        <x:v>2025</x:v>
      </x:c>
      <x:c r="AC656" s="10" t="str"/>
      <x:c r="AD656" t="str">
        <x:f>IF(AND(U656="Completed",T656="Paid",ISERROR(SEARCH("INVALID",AC656)),ISERROR(SEARCH("REVIEW",AC656))),"Include","Exclude")</x:f>
        <x:v>Include</x:v>
      </x:c>
      <x:c r="AE656" t="str">
        <x:f>IF(T656="Refunded","Refunded","")</x:f>
      </x:c>
    </x:row>
    <x:row r="657">
      <x:c r="A657" t="str">
        <x:v>ORD-2025-10656</x:v>
      </x:c>
      <x:c r="B657" s="5" t="n">
        <x:v>45895</x:v>
      </x:c>
      <x:c r="C657" s="5" t="n">
        <x:v>45895</x:v>
      </x:c>
      <x:c r="D657" t="str">
        <x:v>CUST-8039</x:v>
      </x:c>
      <x:c r="E657" t="str">
        <x:v>Neha Gupta</x:v>
      </x:c>
      <x:c r="F657" t="str">
        <x:v>Home Office</x:v>
      </x:c>
      <x:c r="G657" t="str">
        <x:v>East</x:v>
      </x:c>
      <x:c r="H657" t="str">
        <x:v>West Bengal</x:v>
      </x:c>
      <x:c r="I657" t="str">
        <x:v>Kolkata</x:v>
      </x:c>
      <x:c r="J657" t="str">
        <x:v>Furniture</x:v>
      </x:c>
      <x:c r="K657" t="str">
        <x:v>Furnishings</x:v>
      </x:c>
      <x:c r="L657" t="str">
        <x:v>Smart Furnishings 748</x:v>
      </x:c>
      <x:c r="M657" t="str">
        <x:v>Standard Class</x:v>
      </x:c>
      <x:c r="N657" t="n">
        <x:v>4</x:v>
      </x:c>
      <x:c r="O657" s="7" t="n">
        <x:v>2151.82</x:v>
      </x:c>
      <x:c r="P657" s="6" t="n">
        <x:v>0</x:v>
      </x:c>
      <x:c r="Q657" s="7" t="n">
        <x:v>8607.28</x:v>
      </x:c>
      <x:c r="R657" s="7" t="n">
        <x:v>5124.01</x:v>
      </x:c>
      <x:c r="S657" s="7" t="n">
        <x:v>3483.27</x:v>
      </x:c>
      <x:c r="T657" t="str">
        <x:v>Paid</x:v>
      </x:c>
      <x:c r="U657" t="str">
        <x:v>Completed</x:v>
      </x:c>
      <x:c r="V657" s="6" t="n">
        <x:f>IF(ISBLANK(P657),IF(AND(ISNUMBER(N657),N657&gt;0,ISNUMBER(O657),O657&gt;=0,ISNUMBER(Q657),Q657&gt;=0,ISNUMBER(R657),R657&gt;=0,ISNUMBER(S657)),0,""),P657)</x:f>
        <x:v>0</x:v>
      </x:c>
      <x:c r="W657" s="7" t="n">
        <x:f>IF(ISBLANK(V657),"",N657*O657*(1-V657))</x:f>
        <x:v>8607.28</x:v>
      </x:c>
      <x:c r="X657" s="7" t="n">
        <x:f>IF(OR(ISBLANK(W657),ISBLANK(R657)),"",W657-R657)</x:f>
        <x:v>3483.2700000000004</x:v>
      </x:c>
      <x:c r="Y657" s="8" t="n">
        <x:f>IF(OR(ISBLANK(W657),W657=0),"",X657/W657)</x:f>
        <x:v>0.40468882155570635</x:v>
      </x:c>
      <x:c r="Z657" s="9" t="n">
        <x:f>IF(OR(ISBLANK(B657),ISBLANK(C657)),"",C657-B657)</x:f>
        <x:v>0</x:v>
      </x:c>
      <x:c r="AA657" t="str">
        <x:f>IF(ISBLANK(B657),"",TEXT(B657,"mmm"))</x:f>
        <x:v>Aug</x:v>
      </x:c>
      <x:c r="AB657" s="9" t="n">
        <x:f>IF(ISBLANK(B657),"",YEAR(B657))</x:f>
        <x:v>2025</x:v>
      </x:c>
      <x:c r="AC657" s="10" t="str"/>
      <x:c r="AD657" t="str">
        <x:f>IF(AND(U657="Completed",T657="Paid",ISERROR(SEARCH("INVALID",AC657)),ISERROR(SEARCH("REVIEW",AC657))),"Include","Exclude")</x:f>
        <x:v>Include</x:v>
      </x:c>
      <x:c r="AE657" t="str">
        <x:f>IF(T657="Refunded","Refunded","")</x:f>
      </x:c>
    </x:row>
    <x:row r="658">
      <x:c r="A658" t="str">
        <x:v>ORD-2024-10657</x:v>
      </x:c>
      <x:c r="B658" s="5" t="n">
        <x:v>45419</x:v>
      </x:c>
      <x:c r="C658" s="5" t="n">
        <x:v>45426</x:v>
      </x:c>
      <x:c r="D658" t="str">
        <x:v>CUST-4446</x:v>
      </x:c>
      <x:c r="E658" t="str">
        <x:v>Neha Gupta</x:v>
      </x:c>
      <x:c r="F658" t="str">
        <x:v>Small Business</x:v>
      </x:c>
      <x:c r="G658" t="str">
        <x:v>North</x:v>
      </x:c>
      <x:c r="H658" t="str">
        <x:v>Haryana</x:v>
      </x:c>
      <x:c r="I658" t="str">
        <x:v>Gurugram</x:v>
      </x:c>
      <x:c r="J658" t="str">
        <x:v>Technology</x:v>
      </x:c>
      <x:c r="K658" t="str">
        <x:v>Machines</x:v>
      </x:c>
      <x:c r="L658" t="str">
        <x:v>Pro Machines 589</x:v>
      </x:c>
      <x:c r="M658" t="str">
        <x:v>Same Day</x:v>
      </x:c>
      <x:c r="N658" t="n">
        <x:v>4</x:v>
      </x:c>
      <x:c r="O658" s="7" t="n">
        <x:v>2751.1</x:v>
      </x:c>
      <x:c r="P658" s="6" t="n">
        <x:v>-0.05</x:v>
      </x:c>
      <x:c r="Q658" s="7" t="n">
        <x:v>9903.96</x:v>
      </x:c>
      <x:c r="R658" s="7" t="n">
        <x:v>7696.28</x:v>
      </x:c>
      <x:c r="S658" s="7" t="n">
        <x:v>2207.68</x:v>
      </x:c>
      <x:c r="T658" t="str">
        <x:v>Paid</x:v>
      </x:c>
      <x:c r="U658" t="str">
        <x:v>Completed</x:v>
      </x:c>
      <x:c r="V658" s="6" t="n">
        <x:f>IF(ISBLANK(P658),IF(AND(ISNUMBER(N658),N658&gt;0,ISNUMBER(O658),O658&gt;=0,ISNUMBER(Q658),Q658&gt;=0,ISNUMBER(R658),R658&gt;=0,ISNUMBER(S658)),0,""),P658)</x:f>
        <x:v>-0.05</x:v>
      </x:c>
      <x:c r="W658" s="7" t="n">
        <x:f>IF(ISBLANK(V658),"",N658*O658*(1-V658))</x:f>
        <x:v>11554.62</x:v>
      </x:c>
      <x:c r="X658" s="7" t="n">
        <x:f>IF(OR(ISBLANK(W658),ISBLANK(R658)),"",W658-R658)</x:f>
        <x:v>3858.340000000001</x:v>
      </x:c>
      <x:c r="Y658" s="8" t="n">
        <x:f>IF(OR(ISBLANK(W658),W658=0),"",X658/W658)</x:f>
        <x:v>0.33392184251840396</x:v>
      </x:c>
      <x:c r="Z658" s="9" t="n">
        <x:f>IF(OR(ISBLANK(B658),ISBLANK(C658)),"",C658-B658)</x:f>
        <x:v>7</x:v>
      </x:c>
      <x:c r="AA658" t="str">
        <x:f>IF(ISBLANK(B658),"",TEXT(B658,"mmm"))</x:f>
        <x:v>May</x:v>
      </x:c>
      <x:c r="AB658" s="9" t="n">
        <x:f>IF(ISBLANK(B658),"",YEAR(B658))</x:f>
        <x:v>2024</x:v>
      </x:c>
      <x:c r="AC658" s="10" t="str">
        <x:v>INVALID: Negative discount</x:v>
      </x:c>
      <x:c r="AD658" t="str">
        <x:f>IF(AND(U658="Completed",T658="Paid",ISERROR(SEARCH("INVALID",AC658)),ISERROR(SEARCH("REVIEW",AC658))),"Include","Exclude")</x:f>
        <x:v>Exclude</x:v>
      </x:c>
      <x:c r="AE658" t="str">
        <x:f>IF(T658="Refunded","Refunded","")</x:f>
      </x:c>
    </x:row>
    <x:row r="659">
      <x:c r="A659" t="str">
        <x:v>ORD-2025-10658</x:v>
      </x:c>
      <x:c r="B659" s="5" t="n">
        <x:v>45876</x:v>
      </x:c>
      <x:c r="C659" s="5" t="n">
        <x:v>45879</x:v>
      </x:c>
      <x:c r="D659" t="str">
        <x:v>CUST-7787</x:v>
      </x:c>
      <x:c r="E659" t="str">
        <x:v>Aditi Sen</x:v>
      </x:c>
      <x:c r="F659" t="str">
        <x:v>Home Office</x:v>
      </x:c>
      <x:c r="G659" t="str">
        <x:v>East</x:v>
      </x:c>
      <x:c r="H659" t="str">
        <x:v>Bihar</x:v>
      </x:c>
      <x:c r="I659" t="str">
        <x:v>Patna</x:v>
      </x:c>
      <x:c r="J659" t="str">
        <x:v>Office Supplies</x:v>
      </x:c>
      <x:c r="K659" t="str">
        <x:v>Storage</x:v>
      </x:c>
      <x:c r="L659" t="str">
        <x:v>Eco Storage 316</x:v>
      </x:c>
      <x:c r="M659" t="str">
        <x:v>Second Class</x:v>
      </x:c>
      <x:c r="N659" t="n">
        <x:v>1</x:v>
      </x:c>
      <x:c r="O659" s="7" t="n">
        <x:v>2541.25</x:v>
      </x:c>
      <x:c r="P659" s="6" t="n">
        <x:v>0.2</x:v>
      </x:c>
      <x:c r="Q659" s="7" t="n">
        <x:v>2033</x:v>
      </x:c>
      <x:c r="R659" s="7" t="n">
        <x:v>1291.41</x:v>
      </x:c>
      <x:c r="S659" s="7" t="n">
        <x:v>741.59</x:v>
      </x:c>
      <x:c r="T659" t="str">
        <x:v>Paid</x:v>
      </x:c>
      <x:c r="U659" t="str">
        <x:v>Completed</x:v>
      </x:c>
      <x:c r="V659" s="6" t="n">
        <x:f>IF(ISBLANK(P659),IF(AND(ISNUMBER(N659),N659&gt;0,ISNUMBER(O659),O659&gt;=0,ISNUMBER(Q659),Q659&gt;=0,ISNUMBER(R659),R659&gt;=0,ISNUMBER(S659)),0,""),P659)</x:f>
        <x:v>0.2</x:v>
      </x:c>
      <x:c r="W659" s="7" t="n">
        <x:f>IF(ISBLANK(V659),"",N659*O659*(1-V659))</x:f>
        <x:v>2033</x:v>
      </x:c>
      <x:c r="X659" s="7" t="n">
        <x:f>IF(OR(ISBLANK(W659),ISBLANK(R659)),"",W659-R659)</x:f>
        <x:v>741.5899999999999</x:v>
      </x:c>
      <x:c r="Y659" s="8" t="n">
        <x:f>IF(OR(ISBLANK(W659),W659=0),"",X659/W659)</x:f>
        <x:v>0.36477619281849477</x:v>
      </x:c>
      <x:c r="Z659" s="9" t="n">
        <x:f>IF(OR(ISBLANK(B659),ISBLANK(C659)),"",C659-B659)</x:f>
        <x:v>3</x:v>
      </x:c>
      <x:c r="AA659" t="str">
        <x:f>IF(ISBLANK(B659),"",TEXT(B659,"mmm"))</x:f>
        <x:v>Aug</x:v>
      </x:c>
      <x:c r="AB659" s="9" t="n">
        <x:f>IF(ISBLANK(B659),"",YEAR(B659))</x:f>
        <x:v>2025</x:v>
      </x:c>
      <x:c r="AC659" s="10" t="str"/>
      <x:c r="AD659" t="str">
        <x:f>IF(AND(U659="Completed",T659="Paid",ISERROR(SEARCH("INVALID",AC659)),ISERROR(SEARCH("REVIEW",AC659))),"Include","Exclude")</x:f>
        <x:v>Include</x:v>
      </x:c>
      <x:c r="AE659" t="str">
        <x:f>IF(T659="Refunded","Refunded","")</x:f>
      </x:c>
    </x:row>
    <x:row r="660">
      <x:c r="A660" t="str">
        <x:v>ORD-2025-10659</x:v>
      </x:c>
      <x:c r="B660" s="5" t="n">
        <x:v>45817</x:v>
      </x:c>
      <x:c r="C660" s="5" t="n">
        <x:v>45820</x:v>
      </x:c>
      <x:c r="D660" t="str">
        <x:v>CUST-9074</x:v>
      </x:c>
      <x:c r="E660" t="str">
        <x:v>Sneha Kapoor</x:v>
      </x:c>
      <x:c r="F660" t="str">
        <x:v>Consumer</x:v>
      </x:c>
      <x:c r="G660" t="str">
        <x:v>Unknown</x:v>
      </x:c>
      <x:c r="H660" t="str">
        <x:v>Bihar</x:v>
      </x:c>
      <x:c r="I660" t="str">
        <x:v>Patna</x:v>
      </x:c>
      <x:c r="J660" t="str">
        <x:v>Office Supplies</x:v>
      </x:c>
      <x:c r="K660" t="str">
        <x:v>Art</x:v>
      </x:c>
      <x:c r="L660" t="str">
        <x:v>Eco Art 763</x:v>
      </x:c>
      <x:c r="M660" t="str">
        <x:v>First Class</x:v>
      </x:c>
      <x:c r="N660" t="n">
        <x:v>7</x:v>
      </x:c>
      <x:c r="O660" s="7" t="n">
        <x:v>2852.42</x:v>
      </x:c>
      <x:c r="P660" s="6" t="n">
        <x:v>0</x:v>
      </x:c>
      <x:c r="Q660" s="7" t="n">
        <x:v>19966.94</x:v>
      </x:c>
      <x:c r="R660" s="7" t="n">
        <x:v>12690.83</x:v>
      </x:c>
      <x:c r="S660" s="7" t="n">
        <x:v>7276.11</x:v>
      </x:c>
      <x:c r="T660" t="str">
        <x:v>Refunded</x:v>
      </x:c>
      <x:c r="U660" t="str">
        <x:v>Cancelled</x:v>
      </x:c>
      <x:c r="V660" s="6" t="n">
        <x:f>IF(ISBLANK(P660),IF(AND(ISNUMBER(N660),N660&gt;0,ISNUMBER(O660),O660&gt;=0,ISNUMBER(Q660),Q660&gt;=0,ISNUMBER(R660),R660&gt;=0,ISNUMBER(S660)),0,""),P660)</x:f>
        <x:v>0</x:v>
      </x:c>
      <x:c r="W660" s="7" t="n">
        <x:f>IF(ISBLANK(V660),"",N660*O660*(1-V660))</x:f>
        <x:v>19966.940000000002</x:v>
      </x:c>
      <x:c r="X660" s="7" t="n">
        <x:f>IF(OR(ISBLANK(W660),ISBLANK(R660)),"",W660-R660)</x:f>
        <x:v>7276.110000000002</x:v>
      </x:c>
      <x:c r="Y660" s="8" t="n">
        <x:f>IF(OR(ISBLANK(W660),W660=0),"",X660/W660)</x:f>
        <x:v>0.3644078662028334</x:v>
      </x:c>
      <x:c r="Z660" s="9" t="n">
        <x:f>IF(OR(ISBLANK(B660),ISBLANK(C660)),"",C660-B660)</x:f>
        <x:v>3</x:v>
      </x:c>
      <x:c r="AA660" t="str">
        <x:f>IF(ISBLANK(B660),"",TEXT(B660,"mmm"))</x:f>
        <x:v>Jun</x:v>
      </x:c>
      <x:c r="AB660" s="9" t="n">
        <x:f>IF(ISBLANK(B660),"",YEAR(B660))</x:f>
        <x:v>2025</x:v>
      </x:c>
      <x:c r="AC660" s="10" t="str">
        <x:v>FLAG: Missing region filled as Unknown; EXCLUDE: Cancelled order; REFUND: Summarize separately</x:v>
      </x:c>
      <x:c r="AD660" t="str">
        <x:f>IF(AND(U660="Completed",T660="Paid",ISERROR(SEARCH("INVALID",AC660)),ISERROR(SEARCH("REVIEW",AC660))),"Include","Exclude")</x:f>
        <x:v>Exclude</x:v>
      </x:c>
      <x:c r="AE660" t="str">
        <x:f>IF(T660="Refunded","Refunded","")</x:f>
        <x:v>Refunded</x:v>
      </x:c>
    </x:row>
    <x:row r="661">
      <x:c r="A661" t="str">
        <x:v>ORD-2025-10660</x:v>
      </x:c>
      <x:c r="B661" s="5" t="n">
        <x:v>45678</x:v>
      </x:c>
      <x:c r="C661" s="5" t="n">
        <x:v>45679</x:v>
      </x:c>
      <x:c r="D661" t="str">
        <x:v>CUST-8330</x:v>
      </x:c>
      <x:c r="E661" t="str">
        <x:v>Diya Patel</x:v>
      </x:c>
      <x:c r="F661" t="str">
        <x:v>Corporate</x:v>
      </x:c>
      <x:c r="G661" t="str">
        <x:v>South</x:v>
      </x:c>
      <x:c r="H661" t="str">
        <x:v>Karnataka</x:v>
      </x:c>
      <x:c r="I661" t="str">
        <x:v>Bengaluru</x:v>
      </x:c>
      <x:c r="J661" t="str">
        <x:v>Technology</x:v>
      </x:c>
      <x:c r="K661" t="str">
        <x:v>Phones</x:v>
      </x:c>
      <x:c r="L661" t="str">
        <x:v>Pro Phones 356</x:v>
      </x:c>
      <x:c r="M661" t="str">
        <x:v>Second Class</x:v>
      </x:c>
      <x:c r="N661" t="n">
        <x:v>2</x:v>
      </x:c>
      <x:c r="O661" s="7" t="n">
        <x:v>444.31</x:v>
      </x:c>
      <x:c r="P661" s="6" t="n">
        <x:v>0.2</x:v>
      </x:c>
      <x:c r="Q661" s="7" t="n">
        <x:v>710.9</x:v>
      </x:c>
      <x:c r="R661" s="7" t="n">
        <x:v>513.88</x:v>
      </x:c>
      <x:c r="S661" s="7" t="n">
        <x:v>197.02</x:v>
      </x:c>
      <x:c r="T661" t="str">
        <x:v>Refunded</x:v>
      </x:c>
      <x:c r="U661" t="str">
        <x:v>Cancelled</x:v>
      </x:c>
      <x:c r="V661" s="6" t="n">
        <x:f>IF(ISBLANK(P661),IF(AND(ISNUMBER(N661),N661&gt;0,ISNUMBER(O661),O661&gt;=0,ISNUMBER(Q661),Q661&gt;=0,ISNUMBER(R661),R661&gt;=0,ISNUMBER(S661)),0,""),P661)</x:f>
        <x:v>0.2</x:v>
      </x:c>
      <x:c r="W661" s="7" t="n">
        <x:f>IF(ISBLANK(V661),"",N661*O661*(1-V661))</x:f>
        <x:v>710.8960000000001</x:v>
      </x:c>
      <x:c r="X661" s="7" t="n">
        <x:f>IF(OR(ISBLANK(W661),ISBLANK(R661)),"",W661-R661)</x:f>
        <x:v>197.01600000000008</x:v>
      </x:c>
      <x:c r="Y661" s="8" t="n">
        <x:f>IF(OR(ISBLANK(W661),W661=0),"",X661/W661)</x:f>
        <x:v>0.27713758411919615</x:v>
      </x:c>
      <x:c r="Z661" s="9" t="n">
        <x:f>IF(OR(ISBLANK(B661),ISBLANK(C661)),"",C661-B661)</x:f>
        <x:v>1</x:v>
      </x:c>
      <x:c r="AA661" t="str">
        <x:f>IF(ISBLANK(B661),"",TEXT(B661,"mmm"))</x:f>
        <x:v>Jan</x:v>
      </x:c>
      <x:c r="AB661" s="9" t="n">
        <x:f>IF(ISBLANK(B661),"",YEAR(B661))</x:f>
        <x:v>2025</x:v>
      </x:c>
      <x:c r="AC661" s="10" t="str">
        <x:v>EXCLUDE: Cancelled order; REFUND: Summarize separately</x:v>
      </x:c>
      <x:c r="AD661" t="str">
        <x:f>IF(AND(U661="Completed",T661="Paid",ISERROR(SEARCH("INVALID",AC661)),ISERROR(SEARCH("REVIEW",AC661))),"Include","Exclude")</x:f>
        <x:v>Exclude</x:v>
      </x:c>
      <x:c r="AE661" t="str">
        <x:f>IF(T661="Refunded","Refunded","")</x:f>
        <x:v>Refunded</x:v>
      </x:c>
    </x:row>
    <x:row r="662">
      <x:c r="A662" t="str">
        <x:v>ORD-2025-10661</x:v>
      </x:c>
      <x:c r="B662" s="5" t="n">
        <x:v>45853</x:v>
      </x:c>
      <x:c r="C662" s="5" t="n">
        <x:v>45853</x:v>
      </x:c>
      <x:c r="D662" t="str">
        <x:v>CUST-5638</x:v>
      </x:c>
      <x:c r="E662" t="str">
        <x:v>Arjun Bose</x:v>
      </x:c>
      <x:c r="F662" t="str">
        <x:v>Small Business</x:v>
      </x:c>
      <x:c r="G662" t="str">
        <x:v>East</x:v>
      </x:c>
      <x:c r="H662" t="str">
        <x:v>Jharkhand</x:v>
      </x:c>
      <x:c r="I662" t="str">
        <x:v>Ranchi</x:v>
      </x:c>
      <x:c r="J662" t="str">
        <x:v>Technology</x:v>
      </x:c>
      <x:c r="K662" t="str">
        <x:v>Phones</x:v>
      </x:c>
      <x:c r="L662" t="str">
        <x:v>Basic Phones 865</x:v>
      </x:c>
      <x:c r="M662" t="str">
        <x:v>Same Day</x:v>
      </x:c>
      <x:c r="N662" t="n">
        <x:v>4</x:v>
      </x:c>
      <x:c r="O662" s="7" t="n">
        <x:v>4442.91</x:v>
      </x:c>
      <x:c r="P662" s="6" t="n">
        <x:v>0.1</x:v>
      </x:c>
      <x:c r="Q662" s="7" t="n">
        <x:v>15994.48</x:v>
      </x:c>
      <x:c r="R662" s="7" t="n">
        <x:v>9224.28</x:v>
      </x:c>
      <x:c r="S662" s="7" t="n">
        <x:v>6770.2</x:v>
      </x:c>
      <x:c r="T662" t="str">
        <x:v>Paid</x:v>
      </x:c>
      <x:c r="U662" t="str">
        <x:v>Completed</x:v>
      </x:c>
      <x:c r="V662" s="6" t="n">
        <x:f>IF(ISBLANK(P662),IF(AND(ISNUMBER(N662),N662&gt;0,ISNUMBER(O662),O662&gt;=0,ISNUMBER(Q662),Q662&gt;=0,ISNUMBER(R662),R662&gt;=0,ISNUMBER(S662)),0,""),P662)</x:f>
        <x:v>0.1</x:v>
      </x:c>
      <x:c r="W662" s="7" t="n">
        <x:f>IF(ISBLANK(V662),"",N662*O662*(1-V662))</x:f>
        <x:v>15994.476</x:v>
      </x:c>
      <x:c r="X662" s="7" t="n">
        <x:f>IF(OR(ISBLANK(W662),ISBLANK(R662)),"",W662-R662)</x:f>
        <x:v>6770.196</x:v>
      </x:c>
      <x:c r="Y662" s="8" t="n">
        <x:f>IF(OR(ISBLANK(W662),W662=0),"",X662/W662)</x:f>
        <x:v>0.42328338858991066</x:v>
      </x:c>
      <x:c r="Z662" s="9" t="n">
        <x:f>IF(OR(ISBLANK(B662),ISBLANK(C662)),"",C662-B662)</x:f>
        <x:v>0</x:v>
      </x:c>
      <x:c r="AA662" t="str">
        <x:f>IF(ISBLANK(B662),"",TEXT(B662,"mmm"))</x:f>
        <x:v>Jul</x:v>
      </x:c>
      <x:c r="AB662" s="9" t="n">
        <x:f>IF(ISBLANK(B662),"",YEAR(B662))</x:f>
        <x:v>2025</x:v>
      </x:c>
      <x:c r="AC662" s="10" t="str"/>
      <x:c r="AD662" t="str">
        <x:f>IF(AND(U662="Completed",T662="Paid",ISERROR(SEARCH("INVALID",AC662)),ISERROR(SEARCH("REVIEW",AC662))),"Include","Exclude")</x:f>
        <x:v>Include</x:v>
      </x:c>
      <x:c r="AE662" t="str">
        <x:f>IF(T662="Refunded","Refunded","")</x:f>
      </x:c>
    </x:row>
    <x:row r="663">
      <x:c r="A663" t="str">
        <x:v>ORD-2024-10662</x:v>
      </x:c>
      <x:c r="B663" s="5" t="n">
        <x:v>45429</x:v>
      </x:c>
      <x:c r="C663" s="5" t="n">
        <x:v>45434</x:v>
      </x:c>
      <x:c r="D663" t="str">
        <x:v>CUST-4537</x:v>
      </x:c>
      <x:c r="E663" t="str">
        <x:v>Sneha Kapoor</x:v>
      </x:c>
      <x:c r="F663" t="str">
        <x:v>Consumer</x:v>
      </x:c>
      <x:c r="G663" t="str">
        <x:v>South</x:v>
      </x:c>
      <x:c r="H663" t="str">
        <x:v>Andhra Pradesh</x:v>
      </x:c>
      <x:c r="I663" t="str">
        <x:v>Vijayawada</x:v>
      </x:c>
      <x:c r="J663" t="str">
        <x:v>Technology</x:v>
      </x:c>
      <x:c r="K663" t="str">
        <x:v>Machines</x:v>
      </x:c>
      <x:c r="L663" t="str">
        <x:v>Max Machines 595</x:v>
      </x:c>
      <x:c r="M663" t="str">
        <x:v>Second Class</x:v>
      </x:c>
      <x:c r="N663" t="n">
        <x:v>7</x:v>
      </x:c>
      <x:c r="O663" s="7" t="n">
        <x:v>232.5</x:v>
      </x:c>
      <x:c r="P663" s="6" t="n">
        <x:v>0</x:v>
      </x:c>
      <x:c r="Q663" s="7" t="n">
        <x:v>1627.5</x:v>
      </x:c>
      <x:c r="R663" s="7" t="n">
        <x:v>939.9</x:v>
      </x:c>
      <x:c r="S663" s="7" t="n">
        <x:v>687.6</x:v>
      </x:c>
      <x:c r="T663" t="str">
        <x:v>Paid</x:v>
      </x:c>
      <x:c r="U663" t="str">
        <x:v>Completed</x:v>
      </x:c>
      <x:c r="V663" s="6" t="n">
        <x:f>IF(ISBLANK(P663),IF(AND(ISNUMBER(N663),N663&gt;0,ISNUMBER(O663),O663&gt;=0,ISNUMBER(Q663),Q663&gt;=0,ISNUMBER(R663),R663&gt;=0,ISNUMBER(S663)),0,""),P663)</x:f>
        <x:v>0</x:v>
      </x:c>
      <x:c r="W663" s="7" t="n">
        <x:f>IF(ISBLANK(V663),"",N663*O663*(1-V663))</x:f>
        <x:v>1627.5</x:v>
      </x:c>
      <x:c r="X663" s="7" t="n">
        <x:f>IF(OR(ISBLANK(W663),ISBLANK(R663)),"",W663-R663)</x:f>
        <x:v>687.6</x:v>
      </x:c>
      <x:c r="Y663" s="8" t="n">
        <x:f>IF(OR(ISBLANK(W663),W663=0),"",X663/W663)</x:f>
        <x:v>0.4224884792626728</x:v>
      </x:c>
      <x:c r="Z663" s="9" t="n">
        <x:f>IF(OR(ISBLANK(B663),ISBLANK(C663)),"",C663-B663)</x:f>
        <x:v>5</x:v>
      </x:c>
      <x:c r="AA663" t="str">
        <x:f>IF(ISBLANK(B663),"",TEXT(B663,"mmm"))</x:f>
        <x:v>May</x:v>
      </x:c>
      <x:c r="AB663" s="9" t="n">
        <x:f>IF(ISBLANK(B663),"",YEAR(B663))</x:f>
        <x:v>2024</x:v>
      </x:c>
      <x:c r="AC663" s="10" t="str"/>
      <x:c r="AD663" t="str">
        <x:f>IF(AND(U663="Completed",T663="Paid",ISERROR(SEARCH("INVALID",AC663)),ISERROR(SEARCH("REVIEW",AC663))),"Include","Exclude")</x:f>
        <x:v>Include</x:v>
      </x:c>
      <x:c r="AE663" t="str">
        <x:f>IF(T663="Refunded","Refunded","")</x:f>
      </x:c>
    </x:row>
    <x:row r="664">
      <x:c r="A664" t="str">
        <x:v>ORD-2024-10663</x:v>
      </x:c>
      <x:c r="B664" s="5" t="n">
        <x:v>45305</x:v>
      </x:c>
      <x:c r="C664" s="5" t="n">
        <x:v>45309</x:v>
      </x:c>
      <x:c r="D664" t="str">
        <x:v>CUST-3181</x:v>
      </x:c>
      <x:c r="E664" t="str">
        <x:v>Mira Das</x:v>
      </x:c>
      <x:c r="F664" t="str">
        <x:v>Home Office</x:v>
      </x:c>
      <x:c r="G664" t="str">
        <x:v>West</x:v>
      </x:c>
      <x:c r="H664" t="str">
        <x:v>Rajasthan</x:v>
      </x:c>
      <x:c r="I664" t="str">
        <x:v>Udaipur</x:v>
      </x:c>
      <x:c r="J664" t="str">
        <x:v>Technology</x:v>
      </x:c>
      <x:c r="K664" t="str">
        <x:v>Machines</x:v>
      </x:c>
      <x:c r="L664" t="str">
        <x:v>Elite Machines 367</x:v>
      </x:c>
      <x:c r="M664" t="str">
        <x:v>Same Day</x:v>
      </x:c>
      <x:c r="N664" t="n">
        <x:v>6</x:v>
      </x:c>
      <x:c r="O664" s="7" t="n">
        <x:v>1784.8</x:v>
      </x:c>
      <x:c r="P664" s="6" t="n">
        <x:v>0.1</x:v>
      </x:c>
      <x:c r="Q664" s="7" t="n">
        <x:v>9637.92</x:v>
      </x:c>
      <x:c r="R664" s="7" t="n">
        <x:v>7329.29</x:v>
      </x:c>
      <x:c r="S664" s="7" t="n">
        <x:v>2308.63</x:v>
      </x:c>
      <x:c r="T664" t="str">
        <x:v>Paid</x:v>
      </x:c>
      <x:c r="U664" t="str">
        <x:v>Completed</x:v>
      </x:c>
      <x:c r="V664" s="6" t="n">
        <x:f>IF(ISBLANK(P664),IF(AND(ISNUMBER(N664),N664&gt;0,ISNUMBER(O664),O664&gt;=0,ISNUMBER(Q664),Q664&gt;=0,ISNUMBER(R664),R664&gt;=0,ISNUMBER(S664)),0,""),P664)</x:f>
        <x:v>0.1</x:v>
      </x:c>
      <x:c r="W664" s="7" t="n">
        <x:f>IF(ISBLANK(V664),"",N664*O664*(1-V664))</x:f>
        <x:v>9637.92</x:v>
      </x:c>
      <x:c r="X664" s="7" t="n">
        <x:f>IF(OR(ISBLANK(W664),ISBLANK(R664)),"",W664-R664)</x:f>
        <x:v>2308.63</x:v>
      </x:c>
      <x:c r="Y664" s="8" t="n">
        <x:f>IF(OR(ISBLANK(W664),W664=0),"",X664/W664)</x:f>
        <x:v>0.2395361239769577</x:v>
      </x:c>
      <x:c r="Z664" s="9" t="n">
        <x:f>IF(OR(ISBLANK(B664),ISBLANK(C664)),"",C664-B664)</x:f>
        <x:v>4</x:v>
      </x:c>
      <x:c r="AA664" t="str">
        <x:f>IF(ISBLANK(B664),"",TEXT(B664,"mmm"))</x:f>
        <x:v>Jan</x:v>
      </x:c>
      <x:c r="AB664" s="9" t="n">
        <x:f>IF(ISBLANK(B664),"",YEAR(B664))</x:f>
        <x:v>2024</x:v>
      </x:c>
      <x:c r="AC664" s="10" t="str"/>
      <x:c r="AD664" t="str">
        <x:f>IF(AND(U664="Completed",T664="Paid",ISERROR(SEARCH("INVALID",AC664)),ISERROR(SEARCH("REVIEW",AC664))),"Include","Exclude")</x:f>
        <x:v>Include</x:v>
      </x:c>
      <x:c r="AE664" t="str">
        <x:f>IF(T664="Refunded","Refunded","")</x:f>
      </x:c>
    </x:row>
    <x:row r="665">
      <x:c r="A665" t="str">
        <x:v>ORD-2024-10664</x:v>
      </x:c>
      <x:c r="B665" s="5" t="n">
        <x:v>45414</x:v>
      </x:c>
      <x:c r="C665" s="5" t="n">
        <x:v>45420</x:v>
      </x:c>
      <x:c r="D665" t="str">
        <x:v>CUST-1015</x:v>
      </x:c>
      <x:c r="E665" t="str">
        <x:v>Rahul Verma</x:v>
      </x:c>
      <x:c r="F665" t="str">
        <x:v>Home Office</x:v>
      </x:c>
      <x:c r="G665" t="str">
        <x:v>East</x:v>
      </x:c>
      <x:c r="H665" t="str">
        <x:v>Jharkhand</x:v>
      </x:c>
      <x:c r="I665" t="str">
        <x:v>Ranchi</x:v>
      </x:c>
      <x:c r="J665" t="str">
        <x:v>Technology</x:v>
      </x:c>
      <x:c r="K665" t="str">
        <x:v>Copiers</x:v>
      </x:c>
      <x:c r="L665" t="str">
        <x:v>Basic Copiers 787</x:v>
      </x:c>
      <x:c r="M665" t="str">
        <x:v>Second Class</x:v>
      </x:c>
      <x:c r="N665" t="n">
        <x:v>2</x:v>
      </x:c>
      <x:c r="O665" s="7" t="n">
        <x:v>3185.01</x:v>
      </x:c>
      <x:c r="P665" s="6" t="n">
        <x:v>-0.24</x:v>
      </x:c>
      <x:c r="Q665" s="7" t="n">
        <x:v>4777.52</x:v>
      </x:c>
      <x:c r="R665" s="7" t="n">
        <x:v>3152.98</x:v>
      </x:c>
      <x:c r="S665" s="7" t="n">
        <x:v>1624.54</x:v>
      </x:c>
      <x:c r="T665" t="str">
        <x:v>Paid</x:v>
      </x:c>
      <x:c r="U665" t="str">
        <x:v>Completed</x:v>
      </x:c>
      <x:c r="V665" s="6" t="n">
        <x:f>IF(ISBLANK(P665),IF(AND(ISNUMBER(N665),N665&gt;0,ISNUMBER(O665),O665&gt;=0,ISNUMBER(Q665),Q665&gt;=0,ISNUMBER(R665),R665&gt;=0,ISNUMBER(S665)),0,""),P665)</x:f>
        <x:v>-0.24</x:v>
      </x:c>
      <x:c r="W665" s="7" t="n">
        <x:f>IF(ISBLANK(V665),"",N665*O665*(1-V665))</x:f>
        <x:v>7898.8248</x:v>
      </x:c>
      <x:c r="X665" s="7" t="n">
        <x:f>IF(OR(ISBLANK(W665),ISBLANK(R665)),"",W665-R665)</x:f>
        <x:v>4745.844800000001</x:v>
      </x:c>
      <x:c r="Y665" s="8" t="n">
        <x:f>IF(OR(ISBLANK(W665),W665=0),"",X665/W665)</x:f>
        <x:v>0.6008292271528798</x:v>
      </x:c>
      <x:c r="Z665" s="9" t="n">
        <x:f>IF(OR(ISBLANK(B665),ISBLANK(C665)),"",C665-B665)</x:f>
        <x:v>6</x:v>
      </x:c>
      <x:c r="AA665" t="str">
        <x:f>IF(ISBLANK(B665),"",TEXT(B665,"mmm"))</x:f>
        <x:v>May</x:v>
      </x:c>
      <x:c r="AB665" s="9" t="n">
        <x:f>IF(ISBLANK(B665),"",YEAR(B665))</x:f>
        <x:v>2024</x:v>
      </x:c>
      <x:c r="AC665" s="10" t="str">
        <x:v>INVALID: Negative discount</x:v>
      </x:c>
      <x:c r="AD665" t="str">
        <x:f>IF(AND(U665="Completed",T665="Paid",ISERROR(SEARCH("INVALID",AC665)),ISERROR(SEARCH("REVIEW",AC665))),"Include","Exclude")</x:f>
        <x:v>Exclude</x:v>
      </x:c>
      <x:c r="AE665" t="str">
        <x:f>IF(T665="Refunded","Refunded","")</x:f>
      </x:c>
    </x:row>
    <x:row r="666">
      <x:c r="A666" t="str">
        <x:v>ORD-2024-10665</x:v>
      </x:c>
      <x:c r="B666" s="5" t="n">
        <x:v>45633</x:v>
      </x:c>
      <x:c r="C666" s="5" t="n">
        <x:v>45636</x:v>
      </x:c>
      <x:c r="D666" t="str">
        <x:v>CUST-2709</x:v>
      </x:c>
      <x:c r="E666" t="str">
        <x:v>Mira Das</x:v>
      </x:c>
      <x:c r="F666" t="str">
        <x:v>Home Office</x:v>
      </x:c>
      <x:c r="G666" t="str">
        <x:v>South</x:v>
      </x:c>
      <x:c r="H666" t="str">
        <x:v>Telangana</x:v>
      </x:c>
      <x:c r="I666" t="str">
        <x:v>Hyderabad</x:v>
      </x:c>
      <x:c r="J666" t="str">
        <x:v>Technology</x:v>
      </x:c>
      <x:c r="K666" t="str">
        <x:v>Accessories</x:v>
      </x:c>
      <x:c r="L666" t="str">
        <x:v>Max Accessories 903</x:v>
      </x:c>
      <x:c r="M666" t="str">
        <x:v>Standard Class</x:v>
      </x:c>
      <x:c r="N666" t="n">
        <x:v>1</x:v>
      </x:c>
      <x:c r="O666" s="7" t="n">
        <x:v>1908.83</x:v>
      </x:c>
      <x:c r="P666" s="6" t="n">
        <x:v>0.2</x:v>
      </x:c>
      <x:c r="Q666" s="7" t="n">
        <x:v>1527.06</x:v>
      </x:c>
      <x:c r="R666" s="7" t="n">
        <x:v>1055.89</x:v>
      </x:c>
      <x:c r="S666" s="7" t="n">
        <x:v>471.17</x:v>
      </x:c>
      <x:c r="T666" t="str">
        <x:v>Paid</x:v>
      </x:c>
      <x:c r="U666" t="str">
        <x:v>Completed</x:v>
      </x:c>
      <x:c r="V666" s="6" t="n">
        <x:f>IF(ISBLANK(P666),IF(AND(ISNUMBER(N666),N666&gt;0,ISNUMBER(O666),O666&gt;=0,ISNUMBER(Q666),Q666&gt;=0,ISNUMBER(R666),R666&gt;=0,ISNUMBER(S666)),0,""),P666)</x:f>
        <x:v>0.2</x:v>
      </x:c>
      <x:c r="W666" s="7" t="n">
        <x:f>IF(ISBLANK(V666),"",N666*O666*(1-V666))</x:f>
        <x:v>1527.064</x:v>
      </x:c>
      <x:c r="X666" s="7" t="n">
        <x:f>IF(OR(ISBLANK(W666),ISBLANK(R666)),"",W666-R666)</x:f>
        <x:v>471.174</x:v>
      </x:c>
      <x:c r="Y666" s="8" t="n">
        <x:f>IF(OR(ISBLANK(W666),W666=0),"",X666/W666)</x:f>
        <x:v>0.3085489540713421</x:v>
      </x:c>
      <x:c r="Z666" s="9" t="n">
        <x:f>IF(OR(ISBLANK(B666),ISBLANK(C666)),"",C666-B666)</x:f>
        <x:v>3</x:v>
      </x:c>
      <x:c r="AA666" t="str">
        <x:f>IF(ISBLANK(B666),"",TEXT(B666,"mmm"))</x:f>
        <x:v>Dec</x:v>
      </x:c>
      <x:c r="AB666" s="9" t="n">
        <x:f>IF(ISBLANK(B666),"",YEAR(B666))</x:f>
        <x:v>2024</x:v>
      </x:c>
      <x:c r="AC666" s="10" t="str"/>
      <x:c r="AD666" t="str">
        <x:f>IF(AND(U666="Completed",T666="Paid",ISERROR(SEARCH("INVALID",AC666)),ISERROR(SEARCH("REVIEW",AC666))),"Include","Exclude")</x:f>
        <x:v>Include</x:v>
      </x:c>
      <x:c r="AE666" t="str">
        <x:f>IF(T666="Refunded","Refunded","")</x:f>
      </x:c>
    </x:row>
    <x:row r="667">
      <x:c r="A667" t="str">
        <x:v>ORD-2025-10666</x:v>
      </x:c>
      <x:c r="B667" s="5" t="n">
        <x:v>45670</x:v>
      </x:c>
      <x:c r="C667" s="5" t="n">
        <x:v>45670</x:v>
      </x:c>
      <x:c r="D667" t="str">
        <x:v>CUST-1197</x:v>
      </x:c>
      <x:c r="E667" t="str">
        <x:v>Rahul Verma</x:v>
      </x:c>
      <x:c r="F667" t="str">
        <x:v>Home Office</x:v>
      </x:c>
      <x:c r="G667" t="str">
        <x:v>West</x:v>
      </x:c>
      <x:c r="H667" t="str">
        <x:v>Gujarat</x:v>
      </x:c>
      <x:c r="I667" t="str">
        <x:v>Ahmedabad</x:v>
      </x:c>
      <x:c r="J667" t="str">
        <x:v>Office Supplies</x:v>
      </x:c>
      <x:c r="K667" t="str">
        <x:v>Art</x:v>
      </x:c>
      <x:c r="L667" t="str">
        <x:v>Max Art 660</x:v>
      </x:c>
      <x:c r="M667" t="str">
        <x:v>Standard Class</x:v>
      </x:c>
      <x:c r="N667" t="n">
        <x:v>3</x:v>
      </x:c>
      <x:c r="O667" s="7" t="n">
        <x:v>2110.52</x:v>
      </x:c>
      <x:c r="P667" s="6" t="n">
        <x:v>0.1</x:v>
      </x:c>
      <x:c r="Q667" s="7" t="n">
        <x:v>5698.4</x:v>
      </x:c>
      <x:c r="R667" s="7" t="n">
        <x:v>3640.89</x:v>
      </x:c>
      <x:c r="S667" s="7" t="n">
        <x:v>2057.51</x:v>
      </x:c>
      <x:c r="T667" t="str">
        <x:v>Failed</x:v>
      </x:c>
      <x:c r="U667" t="str">
        <x:v>Cancelled</x:v>
      </x:c>
      <x:c r="V667" s="6" t="n">
        <x:f>IF(ISBLANK(P667),IF(AND(ISNUMBER(N667),N667&gt;0,ISNUMBER(O667),O667&gt;=0,ISNUMBER(Q667),Q667&gt;=0,ISNUMBER(R667),R667&gt;=0,ISNUMBER(S667)),0,""),P667)</x:f>
        <x:v>0.1</x:v>
      </x:c>
      <x:c r="W667" s="7" t="n">
        <x:f>IF(ISBLANK(V667),"",N667*O667*(1-V667))</x:f>
        <x:v>5698.4039999999995</x:v>
      </x:c>
      <x:c r="X667" s="7" t="n">
        <x:f>IF(OR(ISBLANK(W667),ISBLANK(R667)),"",W667-R667)</x:f>
        <x:v>2057.5139999999997</x:v>
      </x:c>
      <x:c r="Y667" s="8" t="n">
        <x:f>IF(OR(ISBLANK(W667),W667=0),"",X667/W667)</x:f>
        <x:v>0.36106846759197836</x:v>
      </x:c>
      <x:c r="Z667" s="9" t="n">
        <x:f>IF(OR(ISBLANK(B667),ISBLANK(C667)),"",C667-B667)</x:f>
        <x:v>0</x:v>
      </x:c>
      <x:c r="AA667" t="str">
        <x:f>IF(ISBLANK(B667),"",TEXT(B667,"mmm"))</x:f>
        <x:v>Jan</x:v>
      </x:c>
      <x:c r="AB667" s="9" t="n">
        <x:f>IF(ISBLANK(B667),"",YEAR(B667))</x:f>
        <x:v>2025</x:v>
      </x:c>
      <x:c r="AC667" s="10" t="str">
        <x:v>EXCLUDE: Cancelled order; EXCLUDE: Failed payment</x:v>
      </x:c>
      <x:c r="AD667" t="str">
        <x:f>IF(AND(U667="Completed",T667="Paid",ISERROR(SEARCH("INVALID",AC667)),ISERROR(SEARCH("REVIEW",AC667))),"Include","Exclude")</x:f>
        <x:v>Exclude</x:v>
      </x:c>
      <x:c r="AE667" t="str">
        <x:f>IF(T667="Refunded","Refunded","")</x:f>
      </x:c>
    </x:row>
    <x:row r="668">
      <x:c r="A668" t="str">
        <x:v>ORD-2024-10667</x:v>
      </x:c>
      <x:c r="B668" s="5" t="n">
        <x:v>45464</x:v>
      </x:c>
      <x:c r="C668" s="5" t="n">
        <x:v>45469</x:v>
      </x:c>
      <x:c r="D668" t="str">
        <x:v>CUST-7758</x:v>
      </x:c>
      <x:c r="E668" t="str">
        <x:v>Rohan Mehta</x:v>
      </x:c>
      <x:c r="F668" t="str">
        <x:v>Small Business</x:v>
      </x:c>
      <x:c r="G668" t="str">
        <x:v>North</x:v>
      </x:c>
      <x:c r="H668" t="str">
        <x:v>Punjab</x:v>
      </x:c>
      <x:c r="I668" t="str">
        <x:v>Ludhiana</x:v>
      </x:c>
      <x:c r="J668" t="str">
        <x:v>Technology</x:v>
      </x:c>
      <x:c r="K668" t="str">
        <x:v>Copiers</x:v>
      </x:c>
      <x:c r="L668" t="str">
        <x:v>Classic Copiers 908</x:v>
      </x:c>
      <x:c r="M668" t="str">
        <x:v>Same Day</x:v>
      </x:c>
      <x:c r="N668" t="n">
        <x:v>1</x:v>
      </x:c>
      <x:c r="O668" s="7" t="n">
        <x:v>279.83</x:v>
      </x:c>
      <x:c r="P668" s="6" t="n">
        <x:v>0.05</x:v>
      </x:c>
      <x:c r="Q668" s="7" t="n">
        <x:v>265.84</x:v>
      </x:c>
      <x:c r="R668" s="7" t="n">
        <x:v>223.49</x:v>
      </x:c>
      <x:c r="S668" s="7" t="n">
        <x:v>42.35</x:v>
      </x:c>
      <x:c r="T668" t="str">
        <x:v>Paid</x:v>
      </x:c>
      <x:c r="U668" t="str">
        <x:v>Completed</x:v>
      </x:c>
      <x:c r="V668" s="6" t="n">
        <x:f>IF(ISBLANK(P668),IF(AND(ISNUMBER(N668),N668&gt;0,ISNUMBER(O668),O668&gt;=0,ISNUMBER(Q668),Q668&gt;=0,ISNUMBER(R668),R668&gt;=0,ISNUMBER(S668)),0,""),P668)</x:f>
        <x:v>0.05</x:v>
      </x:c>
      <x:c r="W668" s="7" t="n">
        <x:f>IF(ISBLANK(V668),"",N668*O668*(1-V668))</x:f>
        <x:v>265.83849999999995</x:v>
      </x:c>
      <x:c r="X668" s="7" t="n">
        <x:f>IF(OR(ISBLANK(W668),ISBLANK(R668)),"",W668-R668)</x:f>
        <x:v>42.348499999999945</x:v>
      </x:c>
      <x:c r="Y668" s="8" t="n">
        <x:f>IF(OR(ISBLANK(W668),W668=0),"",X668/W668)</x:f>
        <x:v>0.15930160605028976</x:v>
      </x:c>
      <x:c r="Z668" s="9" t="n">
        <x:f>IF(OR(ISBLANK(B668),ISBLANK(C668)),"",C668-B668)</x:f>
        <x:v>5</x:v>
      </x:c>
      <x:c r="AA668" t="str">
        <x:f>IF(ISBLANK(B668),"",TEXT(B668,"mmm"))</x:f>
        <x:v>Jun</x:v>
      </x:c>
      <x:c r="AB668" s="9" t="n">
        <x:f>IF(ISBLANK(B668),"",YEAR(B668))</x:f>
        <x:v>2024</x:v>
      </x:c>
      <x:c r="AC668" s="10" t="str"/>
      <x:c r="AD668" t="str">
        <x:f>IF(AND(U668="Completed",T668="Paid",ISERROR(SEARCH("INVALID",AC668)),ISERROR(SEARCH("REVIEW",AC668))),"Include","Exclude")</x:f>
        <x:v>Include</x:v>
      </x:c>
      <x:c r="AE668" t="str">
        <x:f>IF(T668="Refunded","Refunded","")</x:f>
      </x:c>
    </x:row>
    <x:row r="669">
      <x:c r="A669" t="str">
        <x:v>ORD-2025-10668</x:v>
      </x:c>
      <x:c r="B669" s="5" t="n">
        <x:v>45797</x:v>
      </x:c>
      <x:c r="C669" s="5" t="n">
        <x:v>45804</x:v>
      </x:c>
      <x:c r="D669" t="str">
        <x:v>CUST-3912</x:v>
      </x:c>
      <x:c r="E669" t="str">
        <x:v>Diya Patel</x:v>
      </x:c>
      <x:c r="F669" t="str">
        <x:v>Small Business</x:v>
      </x:c>
      <x:c r="G669" t="str">
        <x:v>East</x:v>
      </x:c>
      <x:c r="H669" t="str">
        <x:v>Bihar</x:v>
      </x:c>
      <x:c r="I669" t="str">
        <x:v>Patna</x:v>
      </x:c>
      <x:c r="J669" t="str">
        <x:v>Technology</x:v>
      </x:c>
      <x:c r="K669" t="str">
        <x:v>Machines</x:v>
      </x:c>
      <x:c r="L669" t="str">
        <x:v>Pro Machines 706</x:v>
      </x:c>
      <x:c r="M669" t="str">
        <x:v>Standard Class</x:v>
      </x:c>
      <x:c r="N669" t="n">
        <x:v>1</x:v>
      </x:c>
      <x:c r="O669" s="7" t="n">
        <x:v>3959.14</x:v>
      </x:c>
      <x:c r="P669" s="6" t="n">
        <x:v>0</x:v>
      </x:c>
      <x:c r="Q669" s="7" t="n">
        <x:v>3959.14</x:v>
      </x:c>
      <x:c r="R669" s="7" t="n">
        <x:v>3239.53</x:v>
      </x:c>
      <x:c r="S669" s="7" t="n">
        <x:v>719.61</x:v>
      </x:c>
      <x:c r="T669" t="str">
        <x:v>Pending</x:v>
      </x:c>
      <x:c r="U669" t="str">
        <x:v>Returned</x:v>
      </x:c>
      <x:c r="V669" s="6" t="n">
        <x:f>IF(ISBLANK(P669),IF(AND(ISNUMBER(N669),N669&gt;0,ISNUMBER(O669),O669&gt;=0,ISNUMBER(Q669),Q669&gt;=0,ISNUMBER(R669),R669&gt;=0,ISNUMBER(S669)),0,""),P669)</x:f>
        <x:v>0</x:v>
      </x:c>
      <x:c r="W669" s="7" t="n">
        <x:f>IF(ISBLANK(V669),"",N669*O669*(1-V669))</x:f>
        <x:v>3959.14</x:v>
      </x:c>
      <x:c r="X669" s="7" t="n">
        <x:f>IF(OR(ISBLANK(W669),ISBLANK(R669)),"",W669-R669)</x:f>
        <x:v>719.6099999999997</x:v>
      </x:c>
      <x:c r="Y669" s="8" t="n">
        <x:f>IF(OR(ISBLANK(W669),W669=0),"",X669/W669)</x:f>
        <x:v>0.1817591699207403</x:v>
      </x:c>
      <x:c r="Z669" s="9" t="n">
        <x:f>IF(OR(ISBLANK(B669),ISBLANK(C669)),"",C669-B669)</x:f>
        <x:v>7</x:v>
      </x:c>
      <x:c r="AA669" t="str">
        <x:f>IF(ISBLANK(B669),"",TEXT(B669,"mmm"))</x:f>
        <x:v>May</x:v>
      </x:c>
      <x:c r="AB669" s="9" t="n">
        <x:f>IF(ISBLANK(B669),"",YEAR(B669))</x:f>
        <x:v>2025</x:v>
      </x:c>
      <x:c r="AC669" s="10" t="str"/>
      <x:c r="AD669" t="str">
        <x:f>IF(AND(U669="Completed",T669="Paid",ISERROR(SEARCH("INVALID",AC669)),ISERROR(SEARCH("REVIEW",AC669))),"Include","Exclude")</x:f>
        <x:v>Exclude</x:v>
      </x:c>
      <x:c r="AE669" t="str">
        <x:f>IF(T669="Refunded","Refunded","")</x:f>
      </x:c>
    </x:row>
    <x:row r="670">
      <x:c r="A670" t="str">
        <x:v>ORD-2024-10669</x:v>
      </x:c>
      <x:c r="B670" s="5" t="n">
        <x:v>45617</x:v>
      </x:c>
      <x:c r="C670" s="5" t="n">
        <x:v>45619</x:v>
      </x:c>
      <x:c r="D670" t="str">
        <x:v>CUST-4190</x:v>
      </x:c>
      <x:c r="E670" t="str">
        <x:v>Mira Das</x:v>
      </x:c>
      <x:c r="F670" t="str">
        <x:v>Corporate</x:v>
      </x:c>
      <x:c r="G670" t="str">
        <x:v>West</x:v>
      </x:c>
      <x:c r="H670" t="str">
        <x:v>Gujarat</x:v>
      </x:c>
      <x:c r="I670" t="str">
        <x:v>Ahmedabad</x:v>
      </x:c>
      <x:c r="J670" t="str">
        <x:v>Office Supplies</x:v>
      </x:c>
      <x:c r="K670" t="str">
        <x:v>Paper</x:v>
      </x:c>
      <x:c r="L670" t="str">
        <x:v>Pro Paper 187</x:v>
      </x:c>
      <x:c r="M670" t="str">
        <x:v>Second Class</x:v>
      </x:c>
      <x:c r="N670" t="n">
        <x:v>5</x:v>
      </x:c>
      <x:c r="O670" s="7" t="n">
        <x:v>600.46</x:v>
      </x:c>
      <x:c r="P670" s="6" t="n">
        <x:v>0.2</x:v>
      </x:c>
      <x:c r="Q670" s="7" t="n">
        <x:v>2401.84</x:v>
      </x:c>
      <x:c r="R670" s="7" t="n">
        <x:v>1873.11</x:v>
      </x:c>
      <x:c r="S670" s="7" t="n">
        <x:v>528.73</x:v>
      </x:c>
      <x:c r="T670" t="str">
        <x:v>Paid</x:v>
      </x:c>
      <x:c r="U670" t="str">
        <x:v>Completed</x:v>
      </x:c>
      <x:c r="V670" s="6" t="n">
        <x:f>IF(ISBLANK(P670),IF(AND(ISNUMBER(N670),N670&gt;0,ISNUMBER(O670),O670&gt;=0,ISNUMBER(Q670),Q670&gt;=0,ISNUMBER(R670),R670&gt;=0,ISNUMBER(S670)),0,""),P670)</x:f>
        <x:v>0.2</x:v>
      </x:c>
      <x:c r="W670" s="7" t="n">
        <x:f>IF(ISBLANK(V670),"",N670*O670*(1-V670))</x:f>
        <x:v>2401.84</x:v>
      </x:c>
      <x:c r="X670" s="7" t="n">
        <x:f>IF(OR(ISBLANK(W670),ISBLANK(R670)),"",W670-R670)</x:f>
        <x:v>528.7300000000002</x:v>
      </x:c>
      <x:c r="Y670" s="8" t="n">
        <x:f>IF(OR(ISBLANK(W670),W670=0),"",X670/W670)</x:f>
        <x:v>0.22013539619624964</x:v>
      </x:c>
      <x:c r="Z670" s="9" t="n">
        <x:f>IF(OR(ISBLANK(B670),ISBLANK(C670)),"",C670-B670)</x:f>
        <x:v>2</x:v>
      </x:c>
      <x:c r="AA670" t="str">
        <x:f>IF(ISBLANK(B670),"",TEXT(B670,"mmm"))</x:f>
        <x:v>Nov</x:v>
      </x:c>
      <x:c r="AB670" s="9" t="n">
        <x:f>IF(ISBLANK(B670),"",YEAR(B670))</x:f>
        <x:v>2024</x:v>
      </x:c>
      <x:c r="AC670" s="10" t="str"/>
      <x:c r="AD670" t="str">
        <x:f>IF(AND(U670="Completed",T670="Paid",ISERROR(SEARCH("INVALID",AC670)),ISERROR(SEARCH("REVIEW",AC670))),"Include","Exclude")</x:f>
        <x:v>Include</x:v>
      </x:c>
      <x:c r="AE670" t="str">
        <x:f>IF(T670="Refunded","Refunded","")</x:f>
      </x:c>
    </x:row>
    <x:row r="671">
      <x:c r="A671" t="str">
        <x:v>ORD-2024-10670</x:v>
      </x:c>
      <x:c r="B671" s="5" t="n">
        <x:v>45375</x:v>
      </x:c>
      <x:c r="C671" s="5" t="n">
        <x:v>45383</x:v>
      </x:c>
      <x:c r="D671" t="str">
        <x:v>CUST-7568</x:v>
      </x:c>
      <x:c r="E671" t="str">
        <x:v>Ananya Rao</x:v>
      </x:c>
      <x:c r="F671" t="str">
        <x:v>Home Office</x:v>
      </x:c>
      <x:c r="G671" t="str">
        <x:v>West</x:v>
      </x:c>
      <x:c r="H671" t="str">
        <x:v>Maharashtra</x:v>
      </x:c>
      <x:c r="I671" t="str">
        <x:v>Mumbai</x:v>
      </x:c>
      <x:c r="J671" t="str">
        <x:v>Furniture</x:v>
      </x:c>
      <x:c r="K671" t="str">
        <x:v>Tables</x:v>
      </x:c>
      <x:c r="L671" t="str">
        <x:v>Classic Tables 606</x:v>
      </x:c>
      <x:c r="M671" t="str">
        <x:v>Second Class</x:v>
      </x:c>
      <x:c r="N671" t="n">
        <x:v>4</x:v>
      </x:c>
      <x:c r="O671" s="7" t="n">
        <x:v>1700.72</x:v>
      </x:c>
      <x:c r="P671" s="6" t="n">
        <x:v>0.25</x:v>
      </x:c>
      <x:c r="Q671" s="7" t="n">
        <x:v>5102.16</x:v>
      </x:c>
      <x:c r="R671" s="7" t="n">
        <x:v>3226.45</x:v>
      </x:c>
      <x:c r="S671" s="7" t="n">
        <x:v>1875.71</x:v>
      </x:c>
      <x:c r="T671" t="str">
        <x:v>Paid</x:v>
      </x:c>
      <x:c r="U671" t="str">
        <x:v>Completed</x:v>
      </x:c>
      <x:c r="V671" s="6" t="n">
        <x:f>IF(ISBLANK(P671),IF(AND(ISNUMBER(N671),N671&gt;0,ISNUMBER(O671),O671&gt;=0,ISNUMBER(Q671),Q671&gt;=0,ISNUMBER(R671),R671&gt;=0,ISNUMBER(S671)),0,""),P671)</x:f>
        <x:v>0.25</x:v>
      </x:c>
      <x:c r="W671" s="7" t="n">
        <x:f>IF(ISBLANK(V671),"",N671*O671*(1-V671))</x:f>
        <x:v>5102.16</x:v>
      </x:c>
      <x:c r="X671" s="7" t="n">
        <x:f>IF(OR(ISBLANK(W671),ISBLANK(R671)),"",W671-R671)</x:f>
        <x:v>1875.71</x:v>
      </x:c>
      <x:c r="Y671" s="8" t="n">
        <x:f>IF(OR(ISBLANK(W671),W671=0),"",X671/W671)</x:f>
        <x:v>0.3676305721498346</x:v>
      </x:c>
      <x:c r="Z671" s="9" t="n">
        <x:f>IF(OR(ISBLANK(B671),ISBLANK(C671)),"",C671-B671)</x:f>
        <x:v>8</x:v>
      </x:c>
      <x:c r="AA671" t="str">
        <x:f>IF(ISBLANK(B671),"",TEXT(B671,"mmm"))</x:f>
        <x:v>Mar</x:v>
      </x:c>
      <x:c r="AB671" s="9" t="n">
        <x:f>IF(ISBLANK(B671),"",YEAR(B671))</x:f>
        <x:v>2024</x:v>
      </x:c>
      <x:c r="AC671" s="10" t="str"/>
      <x:c r="AD671" t="str">
        <x:f>IF(AND(U671="Completed",T671="Paid",ISERROR(SEARCH("INVALID",AC671)),ISERROR(SEARCH("REVIEW",AC671))),"Include","Exclude")</x:f>
        <x:v>Include</x:v>
      </x:c>
      <x:c r="AE671" t="str">
        <x:f>IF(T671="Refunded","Refunded","")</x:f>
      </x:c>
    </x:row>
    <x:row r="672">
      <x:c r="A672" t="str">
        <x:v>ORD-2025-10671</x:v>
      </x:c>
      <x:c r="B672" s="5" t="n">
        <x:v>45690</x:v>
      </x:c>
      <x:c r="C672" s="5" t="n">
        <x:v>45694</x:v>
      </x:c>
      <x:c r="D672" t="str">
        <x:v>CUST-5604</x:v>
      </x:c>
      <x:c r="E672" t="str">
        <x:v>Sneha Kapoor</x:v>
      </x:c>
      <x:c r="F672" t="str">
        <x:v>Corporate</x:v>
      </x:c>
      <x:c r="G672" t="str">
        <x:v>North</x:v>
      </x:c>
      <x:c r="H672" t="str">
        <x:v>Uttar Pradesh</x:v>
      </x:c>
      <x:c r="I672" t="str">
        <x:v>Noida</x:v>
      </x:c>
      <x:c r="J672" t="str">
        <x:v>Furniture</x:v>
      </x:c>
      <x:c r="K672" t="str">
        <x:v>Tables</x:v>
      </x:c>
      <x:c r="L672" t="str">
        <x:v>Smart Tables 835</x:v>
      </x:c>
      <x:c r="M672" t="str">
        <x:v>Standard Class</x:v>
      </x:c>
      <x:c r="N672" t="n">
        <x:v>8</x:v>
      </x:c>
      <x:c r="O672" s="7" t="n">
        <x:v>857.86</x:v>
      </x:c>
      <x:c r="P672" s="6" t="n">
        <x:v>0.1</x:v>
      </x:c>
      <x:c r="Q672" s="7" t="n">
        <x:v>6176.59</x:v>
      </x:c>
      <x:c r="R672" s="7" t="n">
        <x:v>3560.96</x:v>
      </x:c>
      <x:c r="S672" s="7" t="n">
        <x:v>2615.63</x:v>
      </x:c>
      <x:c r="T672" t="str">
        <x:v>Paid</x:v>
      </x:c>
      <x:c r="U672" t="str">
        <x:v>Completed</x:v>
      </x:c>
      <x:c r="V672" s="6" t="n">
        <x:f>IF(ISBLANK(P672),IF(AND(ISNUMBER(N672),N672&gt;0,ISNUMBER(O672),O672&gt;=0,ISNUMBER(Q672),Q672&gt;=0,ISNUMBER(R672),R672&gt;=0,ISNUMBER(S672)),0,""),P672)</x:f>
        <x:v>0.1</x:v>
      </x:c>
      <x:c r="W672" s="7" t="n">
        <x:f>IF(ISBLANK(V672),"",N672*O672*(1-V672))</x:f>
        <x:v>6176.592000000001</x:v>
      </x:c>
      <x:c r="X672" s="7" t="n">
        <x:f>IF(OR(ISBLANK(W672),ISBLANK(R672)),"",W672-R672)</x:f>
        <x:v>2615.6320000000005</x:v>
      </x:c>
      <x:c r="Y672" s="8" t="n">
        <x:f>IF(OR(ISBLANK(W672),W672=0),"",X672/W672)</x:f>
        <x:v>0.42347495188285067</x:v>
      </x:c>
      <x:c r="Z672" s="9" t="n">
        <x:f>IF(OR(ISBLANK(B672),ISBLANK(C672)),"",C672-B672)</x:f>
        <x:v>4</x:v>
      </x:c>
      <x:c r="AA672" t="str">
        <x:f>IF(ISBLANK(B672),"",TEXT(B672,"mmm"))</x:f>
        <x:v>Feb</x:v>
      </x:c>
      <x:c r="AB672" s="9" t="n">
        <x:f>IF(ISBLANK(B672),"",YEAR(B672))</x:f>
        <x:v>2025</x:v>
      </x:c>
      <x:c r="AC672" s="10" t="str"/>
      <x:c r="AD672" t="str">
        <x:f>IF(AND(U672="Completed",T672="Paid",ISERROR(SEARCH("INVALID",AC672)),ISERROR(SEARCH("REVIEW",AC672))),"Include","Exclude")</x:f>
        <x:v>Include</x:v>
      </x:c>
      <x:c r="AE672" t="str">
        <x:f>IF(T672="Refunded","Refunded","")</x:f>
      </x:c>
    </x:row>
    <x:row r="673">
      <x:c r="A673" t="str">
        <x:v>ORD-2024-10672</x:v>
      </x:c>
      <x:c r="B673" s="5" t="n">
        <x:v>45373</x:v>
      </x:c>
      <x:c r="C673" s="5" t="n">
        <x:v>45378</x:v>
      </x:c>
      <x:c r="D673" t="str">
        <x:v>CUST-3293</x:v>
      </x:c>
      <x:c r="E673" t="str">
        <x:v>Aditi Sen</x:v>
      </x:c>
      <x:c r="F673" t="str">
        <x:v>Home Office</x:v>
      </x:c>
      <x:c r="G673" t="str">
        <x:v>West</x:v>
      </x:c>
      <x:c r="H673" t="str">
        <x:v>Goa</x:v>
      </x:c>
      <x:c r="I673" t="str">
        <x:v>Panaji</x:v>
      </x:c>
      <x:c r="J673" t="str">
        <x:v>Technology</x:v>
      </x:c>
      <x:c r="K673" t="str">
        <x:v>Copiers</x:v>
      </x:c>
      <x:c r="L673" t="str">
        <x:v>Classic Copiers 583</x:v>
      </x:c>
      <x:c r="M673" t="str">
        <x:v>Second Class</x:v>
      </x:c>
      <x:c r="N673" t="n">
        <x:v>9</x:v>
      </x:c>
      <x:c r="O673" s="7" t="n">
        <x:v>3649.51</x:v>
      </x:c>
      <x:c r="P673" s="6" t="n">
        <x:v>0.05</x:v>
      </x:c>
      <x:c r="Q673" s="7" t="n">
        <x:v>31203.31</x:v>
      </x:c>
      <x:c r="R673" s="7" t="n">
        <x:v>17738.13</x:v>
      </x:c>
      <x:c r="S673" s="7" t="n">
        <x:v>13465.18</x:v>
      </x:c>
      <x:c r="T673" t="str">
        <x:v>Paid</x:v>
      </x:c>
      <x:c r="U673" t="str">
        <x:v>Completed</x:v>
      </x:c>
      <x:c r="V673" s="6" t="n">
        <x:f>IF(ISBLANK(P673),IF(AND(ISNUMBER(N673),N673&gt;0,ISNUMBER(O673),O673&gt;=0,ISNUMBER(Q673),Q673&gt;=0,ISNUMBER(R673),R673&gt;=0,ISNUMBER(S673)),0,""),P673)</x:f>
        <x:v>0.05</x:v>
      </x:c>
      <x:c r="W673" s="7" t="n">
        <x:f>IF(ISBLANK(V673),"",N673*O673*(1-V673))</x:f>
        <x:v>31203.310500000003</x:v>
      </x:c>
      <x:c r="X673" s="7" t="n">
        <x:f>IF(OR(ISBLANK(W673),ISBLANK(R673)),"",W673-R673)</x:f>
        <x:v>13465.180500000002</x:v>
      </x:c>
      <x:c r="Y673" s="8" t="n">
        <x:f>IF(OR(ISBLANK(W673),W673=0),"",X673/W673)</x:f>
        <x:v>0.4315305102001918</x:v>
      </x:c>
      <x:c r="Z673" s="9" t="n">
        <x:f>IF(OR(ISBLANK(B673),ISBLANK(C673)),"",C673-B673)</x:f>
        <x:v>5</x:v>
      </x:c>
      <x:c r="AA673" t="str">
        <x:f>IF(ISBLANK(B673),"",TEXT(B673,"mmm"))</x:f>
        <x:v>Mar</x:v>
      </x:c>
      <x:c r="AB673" s="9" t="n">
        <x:f>IF(ISBLANK(B673),"",YEAR(B673))</x:f>
        <x:v>2024</x:v>
      </x:c>
      <x:c r="AC673" s="10" t="str"/>
      <x:c r="AD673" t="str">
        <x:f>IF(AND(U673="Completed",T673="Paid",ISERROR(SEARCH("INVALID",AC673)),ISERROR(SEARCH("REVIEW",AC673))),"Include","Exclude")</x:f>
        <x:v>Include</x:v>
      </x:c>
      <x:c r="AE673" t="str">
        <x:f>IF(T673="Refunded","Refunded","")</x:f>
      </x:c>
    </x:row>
    <x:row r="674">
      <x:c r="A674" t="str">
        <x:v>ORD-2024-10673</x:v>
      </x:c>
      <x:c r="B674" s="5" t="n">
        <x:v>45539</x:v>
      </x:c>
      <x:c r="C674" s="5" t="n">
        <x:v>45540</x:v>
      </x:c>
      <x:c r="D674" t="str">
        <x:v>CUST-8180</x:v>
      </x:c>
      <x:c r="E674" t="str">
        <x:v>Aditi Sen</x:v>
      </x:c>
      <x:c r="F674" t="str">
        <x:v>Corporate</x:v>
      </x:c>
      <x:c r="G674" t="str">
        <x:v>West</x:v>
      </x:c>
      <x:c r="H674" t="str">
        <x:v>Madhya Pradesh</x:v>
      </x:c>
      <x:c r="I674" t="str">
        <x:v>Indore</x:v>
      </x:c>
      <x:c r="J674" t="str">
        <x:v>Furniture</x:v>
      </x:c>
      <x:c r="K674" t="str">
        <x:v>Chairs</x:v>
      </x:c>
      <x:c r="L674" t="str">
        <x:v>Classic Chairs 460</x:v>
      </x:c>
      <x:c r="M674" t="str">
        <x:v>Standard Class</x:v>
      </x:c>
      <x:c r="N674" t="n">
        <x:v>5</x:v>
      </x:c>
      <x:c r="O674" s="7" t="n">
        <x:v>2528.53</x:v>
      </x:c>
      <x:c r="P674" s="6" t="n">
        <x:v>0.05</x:v>
      </x:c>
      <x:c r="Q674" s="7" t="n">
        <x:v>12010.52</x:v>
      </x:c>
      <x:c r="R674" s="7" t="n">
        <x:v>7864.61</x:v>
      </x:c>
      <x:c r="S674" s="7" t="n">
        <x:v>4145.91</x:v>
      </x:c>
      <x:c r="T674" t="str">
        <x:v>Paid</x:v>
      </x:c>
      <x:c r="U674" t="str">
        <x:v>Returned</x:v>
      </x:c>
      <x:c r="V674" s="6" t="n">
        <x:f>IF(ISBLANK(P674),IF(AND(ISNUMBER(N674),N674&gt;0,ISNUMBER(O674),O674&gt;=0,ISNUMBER(Q674),Q674&gt;=0,ISNUMBER(R674),R674&gt;=0,ISNUMBER(S674)),0,""),P674)</x:f>
        <x:v>0.05</x:v>
      </x:c>
      <x:c r="W674" s="7" t="n">
        <x:f>IF(ISBLANK(V674),"",N674*O674*(1-V674))</x:f>
        <x:v>12010.5175</x:v>
      </x:c>
      <x:c r="X674" s="7" t="n">
        <x:f>IF(OR(ISBLANK(W674),ISBLANK(R674)),"",W674-R674)</x:f>
        <x:v>4145.9075</x:v>
      </x:c>
      <x:c r="Y674" s="8" t="n">
        <x:f>IF(OR(ISBLANK(W674),W674=0),"",X674/W674)</x:f>
        <x:v>0.3451897472361204</x:v>
      </x:c>
      <x:c r="Z674" s="9" t="n">
        <x:f>IF(OR(ISBLANK(B674),ISBLANK(C674)),"",C674-B674)</x:f>
        <x:v>1</x:v>
      </x:c>
      <x:c r="AA674" t="str">
        <x:f>IF(ISBLANK(B674),"",TEXT(B674,"mmm"))</x:f>
        <x:v>Sep</x:v>
      </x:c>
      <x:c r="AB674" s="9" t="n">
        <x:f>IF(ISBLANK(B674),"",YEAR(B674))</x:f>
        <x:v>2024</x:v>
      </x:c>
      <x:c r="AC674" s="10" t="str"/>
      <x:c r="AD674" t="str">
        <x:f>IF(AND(U674="Completed",T674="Paid",ISERROR(SEARCH("INVALID",AC674)),ISERROR(SEARCH("REVIEW",AC674))),"Include","Exclude")</x:f>
        <x:v>Exclude</x:v>
      </x:c>
      <x:c r="AE674" t="str">
        <x:f>IF(T674="Refunded","Refunded","")</x:f>
      </x:c>
    </x:row>
    <x:row r="675">
      <x:c r="A675" t="str">
        <x:v>ORD-2025-10674</x:v>
      </x:c>
      <x:c r="B675" s="5" t="n">
        <x:v>45701</x:v>
      </x:c>
      <x:c r="C675" s="5" t="n">
        <x:v>45704</x:v>
      </x:c>
      <x:c r="D675" t="str">
        <x:v>CUST-2807</x:v>
      </x:c>
      <x:c r="E675" t="str">
        <x:v>Arjun Bose</x:v>
      </x:c>
      <x:c r="F675" t="str">
        <x:v>Small Business</x:v>
      </x:c>
      <x:c r="G675" t="str">
        <x:v>West</x:v>
      </x:c>
      <x:c r="H675" t="str">
        <x:v>Rajasthan</x:v>
      </x:c>
      <x:c r="I675" t="str">
        <x:v>Udaipur</x:v>
      </x:c>
      <x:c r="J675" t="str">
        <x:v>Furniture</x:v>
      </x:c>
      <x:c r="K675" t="str">
        <x:v>Bookcases</x:v>
      </x:c>
      <x:c r="L675" t="str">
        <x:v>Classic Bookcases 488</x:v>
      </x:c>
      <x:c r="M675" t="str">
        <x:v>Second Class</x:v>
      </x:c>
      <x:c r="N675" t="n">
        <x:v>4</x:v>
      </x:c>
      <x:c r="O675" s="7" t="n">
        <x:v>4072.9</x:v>
      </x:c>
      <x:c r="P675" s="6" t="n">
        <x:v>0.15</x:v>
      </x:c>
      <x:c r="Q675" s="7" t="n">
        <x:v>13847.86</x:v>
      </x:c>
      <x:c r="R675" s="7" t="n">
        <x:v>8471.78</x:v>
      </x:c>
      <x:c r="S675" s="7" t="n">
        <x:v>5376.08</x:v>
      </x:c>
      <x:c r="T675" t="str">
        <x:v>Paid</x:v>
      </x:c>
      <x:c r="U675" t="str">
        <x:v>Completed</x:v>
      </x:c>
      <x:c r="V675" s="6" t="n">
        <x:f>IF(ISBLANK(P675),IF(AND(ISNUMBER(N675),N675&gt;0,ISNUMBER(O675),O675&gt;=0,ISNUMBER(Q675),Q675&gt;=0,ISNUMBER(R675),R675&gt;=0,ISNUMBER(S675)),0,""),P675)</x:f>
        <x:v>0.15</x:v>
      </x:c>
      <x:c r="W675" s="7" t="n">
        <x:f>IF(ISBLANK(V675),"",N675*O675*(1-V675))</x:f>
        <x:v>13847.86</x:v>
      </x:c>
      <x:c r="X675" s="7" t="n">
        <x:f>IF(OR(ISBLANK(W675),ISBLANK(R675)),"",W675-R675)</x:f>
        <x:v>5376.08</x:v>
      </x:c>
      <x:c r="Y675" s="8" t="n">
        <x:f>IF(OR(ISBLANK(W675),W675=0),"",X675/W675)</x:f>
        <x:v>0.3882246065457045</x:v>
      </x:c>
      <x:c r="Z675" s="9" t="n">
        <x:f>IF(OR(ISBLANK(B675),ISBLANK(C675)),"",C675-B675)</x:f>
        <x:v>3</x:v>
      </x:c>
      <x:c r="AA675" t="str">
        <x:f>IF(ISBLANK(B675),"",TEXT(B675,"mmm"))</x:f>
        <x:v>Feb</x:v>
      </x:c>
      <x:c r="AB675" s="9" t="n">
        <x:f>IF(ISBLANK(B675),"",YEAR(B675))</x:f>
        <x:v>2025</x:v>
      </x:c>
      <x:c r="AC675" s="10" t="str"/>
      <x:c r="AD675" t="str">
        <x:f>IF(AND(U675="Completed",T675="Paid",ISERROR(SEARCH("INVALID",AC675)),ISERROR(SEARCH("REVIEW",AC675))),"Include","Exclude")</x:f>
        <x:v>Include</x:v>
      </x:c>
      <x:c r="AE675" t="str">
        <x:f>IF(T675="Refunded","Refunded","")</x:f>
      </x:c>
    </x:row>
    <x:row r="676">
      <x:c r="A676" t="str">
        <x:v>ORD-2024-10675</x:v>
      </x:c>
      <x:c r="B676" s="5" t="n">
        <x:v>45430</x:v>
      </x:c>
      <x:c r="C676" s="5" t="n">
        <x:v>45433</x:v>
      </x:c>
      <x:c r="D676" t="str">
        <x:v>CUST-4081</x:v>
      </x:c>
      <x:c r="E676" t="str">
        <x:v>Vikram Iyer</x:v>
      </x:c>
      <x:c r="F676" t="str">
        <x:v>Corporate</x:v>
      </x:c>
      <x:c r="G676" t="str">
        <x:v>East</x:v>
      </x:c>
      <x:c r="H676" t="str">
        <x:v>Jharkhand</x:v>
      </x:c>
      <x:c r="I676" t="str">
        <x:v>Ranchi</x:v>
      </x:c>
      <x:c r="J676" t="str">
        <x:v>Technology</x:v>
      </x:c>
      <x:c r="K676" t="str">
        <x:v>Accessories</x:v>
      </x:c>
      <x:c r="L676" t="str">
        <x:v>Basic Accessories 944</x:v>
      </x:c>
      <x:c r="M676" t="str">
        <x:v>Second Class</x:v>
      </x:c>
      <x:c r="N676" t="n">
        <x:v>1</x:v>
      </x:c>
      <x:c r="O676" s="7" t="n">
        <x:v>1033.71</x:v>
      </x:c>
      <x:c r="P676" s="6" t="n">
        <x:v>0</x:v>
      </x:c>
      <x:c r="Q676" s="7" t="n">
        <x:v>1033.71</x:v>
      </x:c>
      <x:c r="R676" s="7" t="n">
        <x:v>630.82</x:v>
      </x:c>
      <x:c r="S676" s="7" t="n">
        <x:v>402.89</x:v>
      </x:c>
      <x:c r="T676" t="str">
        <x:v>Pending</x:v>
      </x:c>
      <x:c r="U676" t="str">
        <x:v>Returned</x:v>
      </x:c>
      <x:c r="V676" s="6" t="n">
        <x:f>IF(ISBLANK(P676),IF(AND(ISNUMBER(N676),N676&gt;0,ISNUMBER(O676),O676&gt;=0,ISNUMBER(Q676),Q676&gt;=0,ISNUMBER(R676),R676&gt;=0,ISNUMBER(S676)),0,""),P676)</x:f>
        <x:v>0</x:v>
      </x:c>
      <x:c r="W676" s="7" t="n">
        <x:f>IF(ISBLANK(V676),"",N676*O676*(1-V676))</x:f>
        <x:v>1033.71</x:v>
      </x:c>
      <x:c r="X676" s="7" t="n">
        <x:f>IF(OR(ISBLANK(W676),ISBLANK(R676)),"",W676-R676)</x:f>
        <x:v>402.89</x:v>
      </x:c>
      <x:c r="Y676" s="8" t="n">
        <x:f>IF(OR(ISBLANK(W676),W676=0),"",X676/W676)</x:f>
        <x:v>0.3897514776871656</x:v>
      </x:c>
      <x:c r="Z676" s="9" t="n">
        <x:f>IF(OR(ISBLANK(B676),ISBLANK(C676)),"",C676-B676)</x:f>
        <x:v>3</x:v>
      </x:c>
      <x:c r="AA676" t="str">
        <x:f>IF(ISBLANK(B676),"",TEXT(B676,"mmm"))</x:f>
        <x:v>May</x:v>
      </x:c>
      <x:c r="AB676" s="9" t="n">
        <x:f>IF(ISBLANK(B676),"",YEAR(B676))</x:f>
        <x:v>2024</x:v>
      </x:c>
      <x:c r="AC676" s="10" t="str"/>
      <x:c r="AD676" t="str">
        <x:f>IF(AND(U676="Completed",T676="Paid",ISERROR(SEARCH("INVALID",AC676)),ISERROR(SEARCH("REVIEW",AC676))),"Include","Exclude")</x:f>
        <x:v>Exclude</x:v>
      </x:c>
      <x:c r="AE676" t="str">
        <x:f>IF(T676="Refunded","Refunded","")</x:f>
      </x:c>
    </x:row>
    <x:row r="677">
      <x:c r="A677" t="str">
        <x:v>ORD-2025-10676</x:v>
      </x:c>
      <x:c r="B677" s="5" t="n">
        <x:v>45815</x:v>
      </x:c>
      <x:c r="C677" s="5" t="n">
        <x:v>45818</x:v>
      </x:c>
      <x:c r="D677" t="str">
        <x:v>CUST-5061</x:v>
      </x:c>
      <x:c r="E677" t="str">
        <x:v>Aarav Sharma</x:v>
      </x:c>
      <x:c r="F677" t="str">
        <x:v>Consumer</x:v>
      </x:c>
      <x:c r="G677" t="str">
        <x:v>North</x:v>
      </x:c>
      <x:c r="H677" t="str">
        <x:v>Rajasthan</x:v>
      </x:c>
      <x:c r="I677" t="str">
        <x:v>Jaipur</x:v>
      </x:c>
      <x:c r="J677" t="str">
        <x:v>Furniture</x:v>
      </x:c>
      <x:c r="K677" t="str">
        <x:v>Furnishings</x:v>
      </x:c>
      <x:c r="L677" t="str">
        <x:v>Eco Furnishings 217</x:v>
      </x:c>
      <x:c r="M677" t="str">
        <x:v>Same Day</x:v>
      </x:c>
      <x:c r="N677" t="n">
        <x:v>3</x:v>
      </x:c>
      <x:c r="O677" s="7" t="n">
        <x:v>963.26</x:v>
      </x:c>
      <x:c r="P677" s="6" t="n">
        <x:v>0</x:v>
      </x:c>
      <x:c r="Q677" s="7" t="n">
        <x:v>2889.78</x:v>
      </x:c>
      <x:c r="R677" s="7" t="n">
        <x:v>1811.23</x:v>
      </x:c>
      <x:c r="S677" s="7" t="n">
        <x:v>1078.55</x:v>
      </x:c>
      <x:c r="T677" t="str">
        <x:v>Paid</x:v>
      </x:c>
      <x:c r="U677" t="str">
        <x:v>Completed</x:v>
      </x:c>
      <x:c r="V677" s="6" t="n">
        <x:f>IF(ISBLANK(P677),IF(AND(ISNUMBER(N677),N677&gt;0,ISNUMBER(O677),O677&gt;=0,ISNUMBER(Q677),Q677&gt;=0,ISNUMBER(R677),R677&gt;=0,ISNUMBER(S677)),0,""),P677)</x:f>
        <x:v>0</x:v>
      </x:c>
      <x:c r="W677" s="7" t="n">
        <x:f>IF(ISBLANK(V677),"",N677*O677*(1-V677))</x:f>
        <x:v>2889.7799999999997</x:v>
      </x:c>
      <x:c r="X677" s="7" t="n">
        <x:f>IF(OR(ISBLANK(W677),ISBLANK(R677)),"",W677-R677)</x:f>
        <x:v>1078.5499999999997</x:v>
      </x:c>
      <x:c r="Y677" s="8" t="n">
        <x:f>IF(OR(ISBLANK(W677),W677=0),"",X677/W677)</x:f>
        <x:v>0.373229103945629</x:v>
      </x:c>
      <x:c r="Z677" s="9" t="n">
        <x:f>IF(OR(ISBLANK(B677),ISBLANK(C677)),"",C677-B677)</x:f>
        <x:v>3</x:v>
      </x:c>
      <x:c r="AA677" t="str">
        <x:f>IF(ISBLANK(B677),"",TEXT(B677,"mmm"))</x:f>
        <x:v>Jun</x:v>
      </x:c>
      <x:c r="AB677" s="9" t="n">
        <x:f>IF(ISBLANK(B677),"",YEAR(B677))</x:f>
        <x:v>2025</x:v>
      </x:c>
      <x:c r="AC677" s="10" t="str"/>
      <x:c r="AD677" t="str">
        <x:f>IF(AND(U677="Completed",T677="Paid",ISERROR(SEARCH("INVALID",AC677)),ISERROR(SEARCH("REVIEW",AC677))),"Include","Exclude")</x:f>
        <x:v>Include</x:v>
      </x:c>
      <x:c r="AE677" t="str">
        <x:f>IF(T677="Refunded","Refunded","")</x:f>
      </x:c>
    </x:row>
    <x:row r="678">
      <x:c r="A678" t="str">
        <x:v>ORD-2025-10677</x:v>
      </x:c>
      <x:c r="B678" s="5" t="n">
        <x:v>45911</x:v>
      </x:c>
      <x:c r="C678" s="5" t="n">
        <x:v>45918</x:v>
      </x:c>
      <x:c r="D678" t="str">
        <x:v>CUST-9212</x:v>
      </x:c>
      <x:c r="E678" t="str">
        <x:v>Rahul Verma</x:v>
      </x:c>
      <x:c r="F678" t="str">
        <x:v>Small Business</x:v>
      </x:c>
      <x:c r="G678" t="str">
        <x:v>North</x:v>
      </x:c>
      <x:c r="H678" t="str">
        <x:v>Delhi</x:v>
      </x:c>
      <x:c r="I678" t="str">
        <x:v>New Delhi</x:v>
      </x:c>
      <x:c r="J678" t="str">
        <x:v>Technology</x:v>
      </x:c>
      <x:c r="K678" t="str">
        <x:v>Phones</x:v>
      </x:c>
      <x:c r="L678" t="str">
        <x:v>Smart Phones 967</x:v>
      </x:c>
      <x:c r="M678" t="str">
        <x:v>Same Day</x:v>
      </x:c>
      <x:c r="N678" t="n">
        <x:v>7</x:v>
      </x:c>
      <x:c r="O678" s="7" t="n">
        <x:v>3411.21</x:v>
      </x:c>
      <x:c r="P678" s="6" t="n">
        <x:v>0.15</x:v>
      </x:c>
      <x:c r="Q678" s="7" t="n">
        <x:v>20296.7</x:v>
      </x:c>
      <x:c r="R678" s="7" t="n">
        <x:v>14920.87</x:v>
      </x:c>
      <x:c r="S678" s="7" t="n">
        <x:v>5375.83</x:v>
      </x:c>
      <x:c r="T678" t="str">
        <x:v>Paid</x:v>
      </x:c>
      <x:c r="U678" t="str">
        <x:v>Completed</x:v>
      </x:c>
      <x:c r="V678" s="6" t="n">
        <x:f>IF(ISBLANK(P678),IF(AND(ISNUMBER(N678),N678&gt;0,ISNUMBER(O678),O678&gt;=0,ISNUMBER(Q678),Q678&gt;=0,ISNUMBER(R678),R678&gt;=0,ISNUMBER(S678)),0,""),P678)</x:f>
        <x:v>0.15</x:v>
      </x:c>
      <x:c r="W678" s="7" t="n">
        <x:f>IF(ISBLANK(V678),"",N678*O678*(1-V678))</x:f>
        <x:v>20296.6995</x:v>
      </x:c>
      <x:c r="X678" s="7" t="n">
        <x:f>IF(OR(ISBLANK(W678),ISBLANK(R678)),"",W678-R678)</x:f>
        <x:v>5375.829499999998</x:v>
      </x:c>
      <x:c r="Y678" s="8" t="n">
        <x:f>IF(OR(ISBLANK(W678),W678=0),"",X678/W678)</x:f>
        <x:v>0.2648622501407186</x:v>
      </x:c>
      <x:c r="Z678" s="9" t="n">
        <x:f>IF(OR(ISBLANK(B678),ISBLANK(C678)),"",C678-B678)</x:f>
        <x:v>7</x:v>
      </x:c>
      <x:c r="AA678" t="str">
        <x:f>IF(ISBLANK(B678),"",TEXT(B678,"mmm"))</x:f>
        <x:v>Sep</x:v>
      </x:c>
      <x:c r="AB678" s="9" t="n">
        <x:f>IF(ISBLANK(B678),"",YEAR(B678))</x:f>
        <x:v>2025</x:v>
      </x:c>
      <x:c r="AC678" s="10" t="str"/>
      <x:c r="AD678" t="str">
        <x:f>IF(AND(U678="Completed",T678="Paid",ISERROR(SEARCH("INVALID",AC678)),ISERROR(SEARCH("REVIEW",AC678))),"Include","Exclude")</x:f>
        <x:v>Include</x:v>
      </x:c>
      <x:c r="AE678" t="str">
        <x:f>IF(T678="Refunded","Refunded","")</x:f>
      </x:c>
    </x:row>
    <x:row r="679">
      <x:c r="A679" t="str">
        <x:v>ORD-2024-10678</x:v>
      </x:c>
      <x:c r="B679" s="5" t="n">
        <x:v>45465</x:v>
      </x:c>
      <x:c r="C679" s="5" t="n">
        <x:v>45470</x:v>
      </x:c>
      <x:c r="D679" t="str">
        <x:v>CUST-4655</x:v>
      </x:c>
      <x:c r="E679" t="str">
        <x:v>Isha Nair</x:v>
      </x:c>
      <x:c r="F679" t="str">
        <x:v>Home Office</x:v>
      </x:c>
      <x:c r="G679" t="str">
        <x:v>South</x:v>
      </x:c>
      <x:c r="H679" t="str">
        <x:v>Karnataka</x:v>
      </x:c>
      <x:c r="I679" t="str">
        <x:v>Bengaluru</x:v>
      </x:c>
      <x:c r="J679" t="str">
        <x:v>Furniture</x:v>
      </x:c>
      <x:c r="K679" t="str">
        <x:v>Chairs</x:v>
      </x:c>
      <x:c r="L679" t="str">
        <x:v>Smart Chairs 610</x:v>
      </x:c>
      <x:c r="M679" t="str">
        <x:v>Same Day</x:v>
      </x:c>
      <x:c r="N679" t="n">
        <x:v>7</x:v>
      </x:c>
      <x:c r="O679" s="7" t="n">
        <x:v>2623.48</x:v>
      </x:c>
      <x:c r="P679" s="6" t="n">
        <x:v>0</x:v>
      </x:c>
      <x:c r="Q679" s="7" t="n">
        <x:v>18364.36</x:v>
      </x:c>
      <x:c r="R679" s="7" t="n">
        <x:v>15445.81</x:v>
      </x:c>
      <x:c r="S679" s="7" t="n">
        <x:v>2918.55</x:v>
      </x:c>
      <x:c r="T679" t="str">
        <x:v>Paid</x:v>
      </x:c>
      <x:c r="U679" t="str">
        <x:v>Completed</x:v>
      </x:c>
      <x:c r="V679" s="6" t="n">
        <x:f>IF(ISBLANK(P679),IF(AND(ISNUMBER(N679),N679&gt;0,ISNUMBER(O679),O679&gt;=0,ISNUMBER(Q679),Q679&gt;=0,ISNUMBER(R679),R679&gt;=0,ISNUMBER(S679)),0,""),P679)</x:f>
        <x:v>0</x:v>
      </x:c>
      <x:c r="W679" s="7" t="n">
        <x:f>IF(ISBLANK(V679),"",N679*O679*(1-V679))</x:f>
        <x:v>18364.36</x:v>
      </x:c>
      <x:c r="X679" s="7" t="n">
        <x:f>IF(OR(ISBLANK(W679),ISBLANK(R679)),"",W679-R679)</x:f>
        <x:v>2918.550000000001</x:v>
      </x:c>
      <x:c r="Y679" s="8" t="n">
        <x:f>IF(OR(ISBLANK(W679),W679=0),"",X679/W679)</x:f>
        <x:v>0.15892467801763857</x:v>
      </x:c>
      <x:c r="Z679" s="9" t="n">
        <x:f>IF(OR(ISBLANK(B679),ISBLANK(C679)),"",C679-B679)</x:f>
        <x:v>5</x:v>
      </x:c>
      <x:c r="AA679" t="str">
        <x:f>IF(ISBLANK(B679),"",TEXT(B679,"mmm"))</x:f>
        <x:v>Jun</x:v>
      </x:c>
      <x:c r="AB679" s="9" t="n">
        <x:f>IF(ISBLANK(B679),"",YEAR(B679))</x:f>
        <x:v>2024</x:v>
      </x:c>
      <x:c r="AC679" s="10" t="str"/>
      <x:c r="AD679" t="str">
        <x:f>IF(AND(U679="Completed",T679="Paid",ISERROR(SEARCH("INVALID",AC679)),ISERROR(SEARCH("REVIEW",AC679))),"Include","Exclude")</x:f>
        <x:v>Include</x:v>
      </x:c>
      <x:c r="AE679" t="str">
        <x:f>IF(T679="Refunded","Refunded","")</x:f>
      </x:c>
    </x:row>
    <x:row r="680">
      <x:c r="A680" t="str">
        <x:v>ORD-2024-10679</x:v>
      </x:c>
      <x:c r="B680" s="5" t="n">
        <x:v>45620</x:v>
      </x:c>
      <x:c r="C680" s="5" t="n">
        <x:v>45627</x:v>
      </x:c>
      <x:c r="D680" t="str">
        <x:v>CUST-1674</x:v>
      </x:c>
      <x:c r="E680" t="str">
        <x:v>Kabir Singh</x:v>
      </x:c>
      <x:c r="F680" t="str">
        <x:v>Corporate</x:v>
      </x:c>
      <x:c r="G680" t="str">
        <x:v>South</x:v>
      </x:c>
      <x:c r="H680" t="str">
        <x:v>Karnataka</x:v>
      </x:c>
      <x:c r="I680" t="str">
        <x:v>Bengaluru</x:v>
      </x:c>
      <x:c r="J680" t="str">
        <x:v>Furniture</x:v>
      </x:c>
      <x:c r="K680" t="str">
        <x:v>Tables</x:v>
      </x:c>
      <x:c r="L680" t="str">
        <x:v>Prime Tables 123</x:v>
      </x:c>
      <x:c r="M680" t="str">
        <x:v>Second Class</x:v>
      </x:c>
      <x:c r="N680" t="n">
        <x:v>9</x:v>
      </x:c>
      <x:c r="O680" s="7" t="n">
        <x:v>2763.61</x:v>
      </x:c>
      <x:c r="P680" s="6" t="n">
        <x:v>0.15</x:v>
      </x:c>
      <x:c r="Q680" s="7" t="n">
        <x:v>21141.62</x:v>
      </x:c>
      <x:c r="R680" s="7" t="n">
        <x:v>11676.33</x:v>
      </x:c>
      <x:c r="S680" s="7" t="n">
        <x:v>9465.29</x:v>
      </x:c>
      <x:c r="T680" t="str">
        <x:v>Paid</x:v>
      </x:c>
      <x:c r="U680" t="str">
        <x:v>Completed</x:v>
      </x:c>
      <x:c r="V680" s="6" t="n">
        <x:f>IF(ISBLANK(P680),IF(AND(ISNUMBER(N680),N680&gt;0,ISNUMBER(O680),O680&gt;=0,ISNUMBER(Q680),Q680&gt;=0,ISNUMBER(R680),R680&gt;=0,ISNUMBER(S680)),0,""),P680)</x:f>
        <x:v>0.15</x:v>
      </x:c>
      <x:c r="W680" s="7" t="n">
        <x:f>IF(ISBLANK(V680),"",N680*O680*(1-V680))</x:f>
        <x:v>21141.6165</x:v>
      </x:c>
      <x:c r="X680" s="7" t="n">
        <x:f>IF(OR(ISBLANK(W680),ISBLANK(R680)),"",W680-R680)</x:f>
        <x:v>9465.2865</x:v>
      </x:c>
      <x:c r="Y680" s="8" t="n">
        <x:f>IF(OR(ISBLANK(W680),W680=0),"",X680/W680)</x:f>
        <x:v>0.4477087407199918</x:v>
      </x:c>
      <x:c r="Z680" s="9" t="n">
        <x:f>IF(OR(ISBLANK(B680),ISBLANK(C680)),"",C680-B680)</x:f>
        <x:v>7</x:v>
      </x:c>
      <x:c r="AA680" t="str">
        <x:f>IF(ISBLANK(B680),"",TEXT(B680,"mmm"))</x:f>
        <x:v>Nov</x:v>
      </x:c>
      <x:c r="AB680" s="9" t="n">
        <x:f>IF(ISBLANK(B680),"",YEAR(B680))</x:f>
        <x:v>2024</x:v>
      </x:c>
      <x:c r="AC680" s="10" t="str"/>
      <x:c r="AD680" t="str">
        <x:f>IF(AND(U680="Completed",T680="Paid",ISERROR(SEARCH("INVALID",AC680)),ISERROR(SEARCH("REVIEW",AC680))),"Include","Exclude")</x:f>
        <x:v>Include</x:v>
      </x:c>
      <x:c r="AE680" t="str">
        <x:f>IF(T680="Refunded","Refunded","")</x:f>
      </x:c>
    </x:row>
    <x:row r="681">
      <x:c r="A681" t="str">
        <x:v>ORD-2025-10680</x:v>
      </x:c>
      <x:c r="B681" s="5" t="n">
        <x:v>45885</x:v>
      </x:c>
      <x:c r="C681" s="5" t="n">
        <x:v>45892</x:v>
      </x:c>
      <x:c r="D681" t="str">
        <x:v>CUST-2897</x:v>
      </x:c>
      <x:c r="E681" t="str">
        <x:v>Rohan Mehta</x:v>
      </x:c>
      <x:c r="F681" t="str">
        <x:v>Corporate</x:v>
      </x:c>
      <x:c r="G681" t="str">
        <x:v>North</x:v>
      </x:c>
      <x:c r="H681" t="str">
        <x:v>Punjab</x:v>
      </x:c>
      <x:c r="I681" t="str">
        <x:v>Ludhiana</x:v>
      </x:c>
      <x:c r="J681" t="str">
        <x:v>Technology</x:v>
      </x:c>
      <x:c r="K681" t="str">
        <x:v>Copiers</x:v>
      </x:c>
      <x:c r="L681" t="str">
        <x:v>Smart Copiers 579</x:v>
      </x:c>
      <x:c r="M681" t="str">
        <x:v>Same Day</x:v>
      </x:c>
      <x:c r="N681" t="n">
        <x:v>4</x:v>
      </x:c>
      <x:c r="O681" s="7" t="n">
        <x:v>1410.57</x:v>
      </x:c>
      <x:c r="P681" s="6" t="n">
        <x:v>0.7</x:v>
      </x:c>
      <x:c r="Q681" s="7" t="n">
        <x:v>5360.17</x:v>
      </x:c>
      <x:c r="R681" s="7" t="n">
        <x:v>3881.51</x:v>
      </x:c>
      <x:c r="S681" s="7" t="n">
        <x:v>1478.66</x:v>
      </x:c>
      <x:c r="T681" t="str">
        <x:v>Refunded</x:v>
      </x:c>
      <x:c r="U681" t="str">
        <x:v>Cancelled</x:v>
      </x:c>
      <x:c r="V681" s="6" t="n">
        <x:f>IF(ISBLANK(P681),IF(AND(ISNUMBER(N681),N681&gt;0,ISNUMBER(O681),O681&gt;=0,ISNUMBER(Q681),Q681&gt;=0,ISNUMBER(R681),R681&gt;=0,ISNUMBER(S681)),0,""),P681)</x:f>
        <x:v>0.7</x:v>
      </x:c>
      <x:c r="W681" s="7" t="n">
        <x:f>IF(ISBLANK(V681),"",N681*O681*(1-V681))</x:f>
        <x:v>1692.6840000000002</x:v>
      </x:c>
      <x:c r="X681" s="7" t="n">
        <x:f>IF(OR(ISBLANK(W681),ISBLANK(R681)),"",W681-R681)</x:f>
        <x:v>-2188.826</x:v>
      </x:c>
      <x:c r="Y681" s="8" t="n">
        <x:f>IF(OR(ISBLANK(W681),W681=0),"",X681/W681)</x:f>
        <x:v>-1.2931096412561351</x:v>
      </x:c>
      <x:c r="Z681" s="9" t="n">
        <x:f>IF(OR(ISBLANK(B681),ISBLANK(C681)),"",C681-B681)</x:f>
        <x:v>7</x:v>
      </x:c>
      <x:c r="AA681" t="str">
        <x:f>IF(ISBLANK(B681),"",TEXT(B681,"mmm"))</x:f>
        <x:v>Aug</x:v>
      </x:c>
      <x:c r="AB681" s="9" t="n">
        <x:f>IF(ISBLANK(B681),"",YEAR(B681))</x:f>
        <x:v>2025</x:v>
      </x:c>
      <x:c r="AC681" s="10" t="str">
        <x:v>INVALID: Discount above allowed range; EXCLUDE: Cancelled order; REFUND: Summarize separately</x:v>
      </x:c>
      <x:c r="AD681" t="str">
        <x:f>IF(AND(U681="Completed",T681="Paid",ISERROR(SEARCH("INVALID",AC681)),ISERROR(SEARCH("REVIEW",AC681))),"Include","Exclude")</x:f>
        <x:v>Exclude</x:v>
      </x:c>
      <x:c r="AE681" t="str">
        <x:f>IF(T681="Refunded","Refunded","")</x:f>
        <x:v>Refunded</x:v>
      </x:c>
    </x:row>
    <x:row r="682">
      <x:c r="A682" t="str">
        <x:v>ORD-2024-10681</x:v>
      </x:c>
      <x:c r="B682" s="5" t="n">
        <x:v>45441</x:v>
      </x:c>
      <x:c r="C682" s="5" t="n">
        <x:v>45448</x:v>
      </x:c>
      <x:c r="D682" t="str">
        <x:v>CUST-1136</x:v>
      </x:c>
      <x:c r="E682" t="str">
        <x:v>Kabir Singh</x:v>
      </x:c>
      <x:c r="F682" t="str">
        <x:v>Corporate</x:v>
      </x:c>
      <x:c r="G682" t="str">
        <x:v>South</x:v>
      </x:c>
      <x:c r="H682" t="str">
        <x:v>Tamil Nadu</x:v>
      </x:c>
      <x:c r="I682" t="str">
        <x:v>Chennai</x:v>
      </x:c>
      <x:c r="J682" t="str">
        <x:v>Technology</x:v>
      </x:c>
      <x:c r="K682" t="str">
        <x:v>Accessories</x:v>
      </x:c>
      <x:c r="L682" t="str">
        <x:v>Eco Accessories 658</x:v>
      </x:c>
      <x:c r="M682" t="str">
        <x:v>First Class</x:v>
      </x:c>
      <x:c r="N682" t="n">
        <x:v>4</x:v>
      </x:c>
      <x:c r="O682" s="7" t="n">
        <x:v>3700.24</x:v>
      </x:c>
      <x:c r="P682" s="6" t="n">
        <x:v>0</x:v>
      </x:c>
      <x:c r="Q682" s="7" t="n">
        <x:v>14800.96</x:v>
      </x:c>
      <x:c r="R682" s="7" t="n">
        <x:v>12048.39</x:v>
      </x:c>
      <x:c r="S682" s="7" t="n">
        <x:v>2752.57</x:v>
      </x:c>
      <x:c r="T682" t="str">
        <x:v>Paid</x:v>
      </x:c>
      <x:c r="U682" t="str">
        <x:v>Completed</x:v>
      </x:c>
      <x:c r="V682" s="6" t="n">
        <x:f>IF(ISBLANK(P682),IF(AND(ISNUMBER(N682),N682&gt;0,ISNUMBER(O682),O682&gt;=0,ISNUMBER(Q682),Q682&gt;=0,ISNUMBER(R682),R682&gt;=0,ISNUMBER(S682)),0,""),P682)</x:f>
        <x:v>0</x:v>
      </x:c>
      <x:c r="W682" s="7" t="n">
        <x:f>IF(ISBLANK(V682),"",N682*O682*(1-V682))</x:f>
        <x:v>14800.96</x:v>
      </x:c>
      <x:c r="X682" s="7" t="n">
        <x:f>IF(OR(ISBLANK(W682),ISBLANK(R682)),"",W682-R682)</x:f>
        <x:v>2752.5699999999997</x:v>
      </x:c>
      <x:c r="Y682" s="8" t="n">
        <x:f>IF(OR(ISBLANK(W682),W682=0),"",X682/W682)</x:f>
        <x:v>0.18597239638509933</x:v>
      </x:c>
      <x:c r="Z682" s="9" t="n">
        <x:f>IF(OR(ISBLANK(B682),ISBLANK(C682)),"",C682-B682)</x:f>
        <x:v>7</x:v>
      </x:c>
      <x:c r="AA682" t="str">
        <x:f>IF(ISBLANK(B682),"",TEXT(B682,"mmm"))</x:f>
        <x:v>May</x:v>
      </x:c>
      <x:c r="AB682" s="9" t="n">
        <x:f>IF(ISBLANK(B682),"",YEAR(B682))</x:f>
        <x:v>2024</x:v>
      </x:c>
      <x:c r="AC682" s="10" t="str"/>
      <x:c r="AD682" t="str">
        <x:f>IF(AND(U682="Completed",T682="Paid",ISERROR(SEARCH("INVALID",AC682)),ISERROR(SEARCH("REVIEW",AC682))),"Include","Exclude")</x:f>
        <x:v>Include</x:v>
      </x:c>
      <x:c r="AE682" t="str">
        <x:f>IF(T682="Refunded","Refunded","")</x:f>
      </x:c>
    </x:row>
    <x:row r="683">
      <x:c r="A683" t="str">
        <x:v>ORD-2024-10682</x:v>
      </x:c>
      <x:c r="B683" s="5" t="n">
        <x:v>45477</x:v>
      </x:c>
      <x:c r="C683" s="5" t="n">
        <x:v>45483</x:v>
      </x:c>
      <x:c r="D683" t="str">
        <x:v>CUST-1376</x:v>
      </x:c>
      <x:c r="E683" t="str">
        <x:v>Vikram Iyer</x:v>
      </x:c>
      <x:c r="F683" t="str">
        <x:v>Corporate</x:v>
      </x:c>
      <x:c r="G683" t="str">
        <x:v>North</x:v>
      </x:c>
      <x:c r="H683" t="str">
        <x:v>Delhi</x:v>
      </x:c>
      <x:c r="I683" t="str">
        <x:v>New Delhi</x:v>
      </x:c>
      <x:c r="J683" t="str">
        <x:v>Furniture</x:v>
      </x:c>
      <x:c r="K683" t="str">
        <x:v>Tables</x:v>
      </x:c>
      <x:c r="L683" t="str">
        <x:v>Smart Tables 777</x:v>
      </x:c>
      <x:c r="M683" t="str">
        <x:v>Second Class</x:v>
      </x:c>
      <x:c r="N683" t="n">
        <x:v>5</x:v>
      </x:c>
      <x:c r="O683" s="7" t="n">
        <x:v>1200.27</x:v>
      </x:c>
      <x:c r="P683" s="6" t="n">
        <x:v>0</x:v>
      </x:c>
      <x:c r="Q683" s="7" t="n">
        <x:v>6001.35</x:v>
      </x:c>
      <x:c r="R683" s="7" t="n">
        <x:v>4182.99</x:v>
      </x:c>
      <x:c r="S683" s="7" t="n">
        <x:v>1818.36</x:v>
      </x:c>
      <x:c r="T683" t="str">
        <x:v>Paid</x:v>
      </x:c>
      <x:c r="U683" t="str">
        <x:v>Cancelled</x:v>
      </x:c>
      <x:c r="V683" s="6" t="n">
        <x:f>IF(ISBLANK(P683),IF(AND(ISNUMBER(N683),N683&gt;0,ISNUMBER(O683),O683&gt;=0,ISNUMBER(Q683),Q683&gt;=0,ISNUMBER(R683),R683&gt;=0,ISNUMBER(S683)),0,""),P683)</x:f>
        <x:v>0</x:v>
      </x:c>
      <x:c r="W683" s="7" t="n">
        <x:f>IF(ISBLANK(V683),"",N683*O683*(1-V683))</x:f>
        <x:v>6001.35</x:v>
      </x:c>
      <x:c r="X683" s="7" t="n">
        <x:f>IF(OR(ISBLANK(W683),ISBLANK(R683)),"",W683-R683)</x:f>
        <x:v>1818.3600000000006</x:v>
      </x:c>
      <x:c r="Y683" s="8" t="n">
        <x:f>IF(OR(ISBLANK(W683),W683=0),"",X683/W683)</x:f>
        <x:v>0.3029918268389613</x:v>
      </x:c>
      <x:c r="Z683" s="9" t="n">
        <x:f>IF(OR(ISBLANK(B683),ISBLANK(C683)),"",C683-B683)</x:f>
        <x:v>6</x:v>
      </x:c>
      <x:c r="AA683" t="str">
        <x:f>IF(ISBLANK(B683),"",TEXT(B683,"mmm"))</x:f>
        <x:v>Jul</x:v>
      </x:c>
      <x:c r="AB683" s="9" t="n">
        <x:f>IF(ISBLANK(B683),"",YEAR(B683))</x:f>
        <x:v>2024</x:v>
      </x:c>
      <x:c r="AC683" s="10" t="str">
        <x:v>EXCLUDE: Cancelled order</x:v>
      </x:c>
      <x:c r="AD683" t="str">
        <x:f>IF(AND(U683="Completed",T683="Paid",ISERROR(SEARCH("INVALID",AC683)),ISERROR(SEARCH("REVIEW",AC683))),"Include","Exclude")</x:f>
        <x:v>Exclude</x:v>
      </x:c>
      <x:c r="AE683" t="str">
        <x:f>IF(T683="Refunded","Refunded","")</x:f>
      </x:c>
    </x:row>
    <x:row r="684">
      <x:c r="A684" t="str">
        <x:v>ORD-2025-10683</x:v>
      </x:c>
      <x:c r="B684" s="5" t="n">
        <x:v>45693</x:v>
      </x:c>
      <x:c r="C684" s="5" t="n">
        <x:v>45693</x:v>
      </x:c>
      <x:c r="D684" t="str">
        <x:v>CUST-1553</x:v>
      </x:c>
      <x:c r="E684" t="str">
        <x:v>Ananya Rao</x:v>
      </x:c>
      <x:c r="F684" t="str">
        <x:v>Corporate</x:v>
      </x:c>
      <x:c r="G684" t="str">
        <x:v>North</x:v>
      </x:c>
      <x:c r="H684" t="str">
        <x:v>Haryana</x:v>
      </x:c>
      <x:c r="I684" t="str">
        <x:v>Gurugram</x:v>
      </x:c>
      <x:c r="J684" t="str">
        <x:v>Office Supplies</x:v>
      </x:c>
      <x:c r="K684" t="str">
        <x:v>Storage</x:v>
      </x:c>
      <x:c r="L684" t="str">
        <x:v>Eco Storage 861</x:v>
      </x:c>
      <x:c r="M684" t="str">
        <x:v>Same Day</x:v>
      </x:c>
      <x:c r="N684" t="n">
        <x:v>3</x:v>
      </x:c>
      <x:c r="O684" s="7" t="n">
        <x:v>2590.78</x:v>
      </x:c>
      <x:c r="P684" s="6"/>
      <x:c r="Q684" s="7" t="n">
        <x:v>7383.72</x:v>
      </x:c>
      <x:c r="R684" s="7" t="n">
        <x:v>4113.66</x:v>
      </x:c>
      <x:c r="S684" s="7" t="n">
        <x:v>3270.06</x:v>
      </x:c>
      <x:c r="T684" t="str">
        <x:v>Paid</x:v>
      </x:c>
      <x:c r="U684" t="str">
        <x:v>Completed</x:v>
      </x:c>
      <x:c r="V684" s="6" t="n">
        <x:f>IF(ISBLANK(P684),IF(AND(ISNUMBER(N684),N684&gt;0,ISNUMBER(O684),O684&gt;=0,ISNUMBER(Q684),Q684&gt;=0,ISNUMBER(R684),R684&gt;=0,ISNUMBER(S684)),0,""),P684)</x:f>
        <x:v>0</x:v>
      </x:c>
      <x:c r="W684" s="7" t="n">
        <x:f>IF(ISBLANK(V684),"",N684*O684*(1-V684))</x:f>
        <x:v>7772.34</x:v>
      </x:c>
      <x:c r="X684" s="7" t="n">
        <x:f>IF(OR(ISBLANK(W684),ISBLANK(R684)),"",W684-R684)</x:f>
        <x:v>3658.6800000000003</x:v>
      </x:c>
      <x:c r="Y684" s="8" t="n">
        <x:f>IF(OR(ISBLANK(W684),W684=0),"",X684/W684)</x:f>
        <x:v>0.47073082237781677</x:v>
      </x:c>
      <x:c r="Z684" s="9" t="n">
        <x:f>IF(OR(ISBLANK(B684),ISBLANK(C684)),"",C684-B684)</x:f>
        <x:v>0</x:v>
      </x:c>
      <x:c r="AA684" t="str">
        <x:f>IF(ISBLANK(B684),"",TEXT(B684,"mmm"))</x:f>
        <x:v>Feb</x:v>
      </x:c>
      <x:c r="AB684" s="9" t="n">
        <x:f>IF(ISBLANK(B684),"",YEAR(B684))</x:f>
        <x:v>2025</x:v>
      </x:c>
      <x:c r="AC684" s="10" t="str">
        <x:v>FLAG: Missing discount treated as 0</x:v>
      </x:c>
      <x:c r="AD684" t="str">
        <x:f>IF(AND(U684="Completed",T684="Paid",ISERROR(SEARCH("INVALID",AC684)),ISERROR(SEARCH("REVIEW",AC684))),"Include","Exclude")</x:f>
        <x:v>Include</x:v>
      </x:c>
      <x:c r="AE684" t="str">
        <x:f>IF(T684="Refunded","Refunded","")</x:f>
      </x:c>
    </x:row>
    <x:row r="685">
      <x:c r="A685" t="str">
        <x:v>ORD-2025-10684</x:v>
      </x:c>
      <x:c r="B685" s="5" t="n">
        <x:v>45858</x:v>
      </x:c>
      <x:c r="C685" s="5" t="n">
        <x:v>45862</x:v>
      </x:c>
      <x:c r="D685" t="str">
        <x:v>CUST-5704</x:v>
      </x:c>
      <x:c r="E685" t="str">
        <x:v>Arjun Bose</x:v>
      </x:c>
      <x:c r="F685" t="str">
        <x:v>Small Business</x:v>
      </x:c>
      <x:c r="G685" t="str">
        <x:v>South</x:v>
      </x:c>
      <x:c r="H685" t="str">
        <x:v>Telangana</x:v>
      </x:c>
      <x:c r="I685" t="str">
        <x:v>Hyderabad</x:v>
      </x:c>
      <x:c r="J685" t="str">
        <x:v>Furniture</x:v>
      </x:c>
      <x:c r="K685" t="str">
        <x:v>Furnishings</x:v>
      </x:c>
      <x:c r="L685" t="str">
        <x:v>Eco Furnishings 875</x:v>
      </x:c>
      <x:c r="M685" t="str">
        <x:v>Second Class</x:v>
      </x:c>
      <x:c r="N685" t="n">
        <x:v>6</x:v>
      </x:c>
      <x:c r="O685" s="7" t="n">
        <x:v>1646.45</x:v>
      </x:c>
      <x:c r="P685" s="6" t="n">
        <x:v>0.2</x:v>
      </x:c>
      <x:c r="Q685" s="7" t="n">
        <x:v>7902.96</x:v>
      </x:c>
      <x:c r="R685" s="7" t="n">
        <x:v>5512.03</x:v>
      </x:c>
      <x:c r="S685" s="7" t="n">
        <x:v>2390.93</x:v>
      </x:c>
      <x:c r="T685" t="str">
        <x:v>Refunded</x:v>
      </x:c>
      <x:c r="U685" t="str">
        <x:v>Cancelled</x:v>
      </x:c>
      <x:c r="V685" s="6" t="n">
        <x:f>IF(ISBLANK(P685),IF(AND(ISNUMBER(N685),N685&gt;0,ISNUMBER(O685),O685&gt;=0,ISNUMBER(Q685),Q685&gt;=0,ISNUMBER(R685),R685&gt;=0,ISNUMBER(S685)),0,""),P685)</x:f>
        <x:v>0.2</x:v>
      </x:c>
      <x:c r="W685" s="7" t="n">
        <x:f>IF(ISBLANK(V685),"",N685*O685*(1-V685))</x:f>
        <x:v>7902.960000000001</x:v>
      </x:c>
      <x:c r="X685" s="7" t="n">
        <x:f>IF(OR(ISBLANK(W685),ISBLANK(R685)),"",W685-R685)</x:f>
        <x:v>2390.930000000001</x:v>
      </x:c>
      <x:c r="Y685" s="8" t="n">
        <x:f>IF(OR(ISBLANK(W685),W685=0),"",X685/W685)</x:f>
        <x:v>0.30253601182341816</x:v>
      </x:c>
      <x:c r="Z685" s="9" t="n">
        <x:f>IF(OR(ISBLANK(B685),ISBLANK(C685)),"",C685-B685)</x:f>
        <x:v>4</x:v>
      </x:c>
      <x:c r="AA685" t="str">
        <x:f>IF(ISBLANK(B685),"",TEXT(B685,"mmm"))</x:f>
        <x:v>Jul</x:v>
      </x:c>
      <x:c r="AB685" s="9" t="n">
        <x:f>IF(ISBLANK(B685),"",YEAR(B685))</x:f>
        <x:v>2025</x:v>
      </x:c>
      <x:c r="AC685" s="10" t="str">
        <x:v>EXCLUDE: Cancelled order; REFUND: Summarize separately</x:v>
      </x:c>
      <x:c r="AD685" t="str">
        <x:f>IF(AND(U685="Completed",T685="Paid",ISERROR(SEARCH("INVALID",AC685)),ISERROR(SEARCH("REVIEW",AC685))),"Include","Exclude")</x:f>
        <x:v>Exclude</x:v>
      </x:c>
      <x:c r="AE685" t="str">
        <x:f>IF(T685="Refunded","Refunded","")</x:f>
        <x:v>Refunded</x:v>
      </x:c>
    </x:row>
    <x:row r="686">
      <x:c r="A686" t="str">
        <x:v>ORD-2025-10685</x:v>
      </x:c>
      <x:c r="B686" s="5" t="n">
        <x:v>45859</x:v>
      </x:c>
      <x:c r="C686" s="5" t="n">
        <x:v>45859</x:v>
      </x:c>
      <x:c r="D686" t="str">
        <x:v>CUST-6738</x:v>
      </x:c>
      <x:c r="E686" t="str">
        <x:v>Isha Nair</x:v>
      </x:c>
      <x:c r="F686" t="str">
        <x:v>Home Office</x:v>
      </x:c>
      <x:c r="G686" t="str">
        <x:v>South</x:v>
      </x:c>
      <x:c r="H686" t="str">
        <x:v>Tamil Nadu</x:v>
      </x:c>
      <x:c r="I686" t="str">
        <x:v>Chennai</x:v>
      </x:c>
      <x:c r="J686" t="str">
        <x:v>Furniture</x:v>
      </x:c>
      <x:c r="K686" t="str">
        <x:v>Bookcases</x:v>
      </x:c>
      <x:c r="L686" t="str">
        <x:v>Prime Bookcases 784</x:v>
      </x:c>
      <x:c r="M686" t="str">
        <x:v>First Class</x:v>
      </x:c>
      <x:c r="N686" t="n">
        <x:v>7</x:v>
      </x:c>
      <x:c r="O686" s="7" t="n">
        <x:v>4396.65</x:v>
      </x:c>
      <x:c r="P686" s="6" t="n">
        <x:v>0.2</x:v>
      </x:c>
      <x:c r="Q686" s="7" t="n">
        <x:v>24621.24</x:v>
      </x:c>
      <x:c r="R686" s="7" t="n">
        <x:v>17155.48</x:v>
      </x:c>
      <x:c r="S686" s="7" t="n">
        <x:v>7465.76</x:v>
      </x:c>
      <x:c r="T686" t="str">
        <x:v>Refunded</x:v>
      </x:c>
      <x:c r="U686" t="str">
        <x:v>Cancelled</x:v>
      </x:c>
      <x:c r="V686" s="6" t="n">
        <x:f>IF(ISBLANK(P686),IF(AND(ISNUMBER(N686),N686&gt;0,ISNUMBER(O686),O686&gt;=0,ISNUMBER(Q686),Q686&gt;=0,ISNUMBER(R686),R686&gt;=0,ISNUMBER(S686)),0,""),P686)</x:f>
        <x:v>0.2</x:v>
      </x:c>
      <x:c r="W686" s="7" t="n">
        <x:f>IF(ISBLANK(V686),"",N686*O686*(1-V686))</x:f>
        <x:v>24621.239999999998</x:v>
      </x:c>
      <x:c r="X686" s="7" t="n">
        <x:f>IF(OR(ISBLANK(W686),ISBLANK(R686)),"",W686-R686)</x:f>
        <x:v>7465.759999999998</x:v>
      </x:c>
      <x:c r="Y686" s="8" t="n">
        <x:f>IF(OR(ISBLANK(W686),W686=0),"",X686/W686)</x:f>
        <x:v>0.3032243705028666</x:v>
      </x:c>
      <x:c r="Z686" s="9" t="n">
        <x:f>IF(OR(ISBLANK(B686),ISBLANK(C686)),"",C686-B686)</x:f>
        <x:v>0</x:v>
      </x:c>
      <x:c r="AA686" t="str">
        <x:f>IF(ISBLANK(B686),"",TEXT(B686,"mmm"))</x:f>
        <x:v>Jul</x:v>
      </x:c>
      <x:c r="AB686" s="9" t="n">
        <x:f>IF(ISBLANK(B686),"",YEAR(B686))</x:f>
        <x:v>2025</x:v>
      </x:c>
      <x:c r="AC686" s="10" t="str">
        <x:v>EXCLUDE: Cancelled order; REFUND: Summarize separately</x:v>
      </x:c>
      <x:c r="AD686" t="str">
        <x:f>IF(AND(U686="Completed",T686="Paid",ISERROR(SEARCH("INVALID",AC686)),ISERROR(SEARCH("REVIEW",AC686))),"Include","Exclude")</x:f>
        <x:v>Exclude</x:v>
      </x:c>
      <x:c r="AE686" t="str">
        <x:f>IF(T686="Refunded","Refunded","")</x:f>
        <x:v>Refunded</x:v>
      </x:c>
    </x:row>
    <x:row r="687">
      <x:c r="A687" t="str">
        <x:v>ORD-2025-10686</x:v>
      </x:c>
      <x:c r="B687" s="5" t="n">
        <x:v>45931</x:v>
      </x:c>
      <x:c r="C687" s="5" t="n">
        <x:v>45933</x:v>
      </x:c>
      <x:c r="D687" t="str">
        <x:v>CUST-2586</x:v>
      </x:c>
      <x:c r="E687" t="str">
        <x:v>Neha Gupta</x:v>
      </x:c>
      <x:c r="F687" t="str">
        <x:v>Corporate</x:v>
      </x:c>
      <x:c r="G687" t="str">
        <x:v>West</x:v>
      </x:c>
      <x:c r="H687" t="str">
        <x:v>Goa</x:v>
      </x:c>
      <x:c r="I687" t="str">
        <x:v>Panaji</x:v>
      </x:c>
      <x:c r="J687" t="str">
        <x:v>Office Supplies</x:v>
      </x:c>
      <x:c r="K687" t="str">
        <x:v>Art</x:v>
      </x:c>
      <x:c r="L687" t="str">
        <x:v>Classic Art 380</x:v>
      </x:c>
      <x:c r="M687" t="str">
        <x:v>Standard Class</x:v>
      </x:c>
      <x:c r="N687" t="n">
        <x:v>9</x:v>
      </x:c>
      <x:c r="O687" s="7" t="n">
        <x:v>818.15</x:v>
      </x:c>
      <x:c r="P687" s="6" t="n">
        <x:v>0.55</x:v>
      </x:c>
      <x:c r="Q687" s="7" t="n">
        <x:v>6627.01</x:v>
      </x:c>
      <x:c r="R687" s="7" t="n">
        <x:v>5606.79</x:v>
      </x:c>
      <x:c r="S687" s="7" t="n">
        <x:v>1020.22</x:v>
      </x:c>
      <x:c r="T687" t="str">
        <x:v>Failed</x:v>
      </x:c>
      <x:c r="U687" t="str">
        <x:v>Cancelled</x:v>
      </x:c>
      <x:c r="V687" s="6" t="n">
        <x:f>IF(ISBLANK(P687),IF(AND(ISNUMBER(N687),N687&gt;0,ISNUMBER(O687),O687&gt;=0,ISNUMBER(Q687),Q687&gt;=0,ISNUMBER(R687),R687&gt;=0,ISNUMBER(S687)),0,""),P687)</x:f>
        <x:v>0.55</x:v>
      </x:c>
      <x:c r="W687" s="7" t="n">
        <x:f>IF(ISBLANK(V687),"",N687*O687*(1-V687))</x:f>
        <x:v>3313.5074999999993</x:v>
      </x:c>
      <x:c r="X687" s="7" t="n">
        <x:f>IF(OR(ISBLANK(W687),ISBLANK(R687)),"",W687-R687)</x:f>
        <x:v>-2293.2825000000007</x:v>
      </x:c>
      <x:c r="Y687" s="8" t="n">
        <x:f>IF(OR(ISBLANK(W687),W687=0),"",X687/W687)</x:f>
        <x:v>-0.692101194881859</x:v>
      </x:c>
      <x:c r="Z687" s="9" t="n">
        <x:f>IF(OR(ISBLANK(B687),ISBLANK(C687)),"",C687-B687)</x:f>
        <x:v>2</x:v>
      </x:c>
      <x:c r="AA687" t="str">
        <x:f>IF(ISBLANK(B687),"",TEXT(B687,"mmm"))</x:f>
        <x:v>Oct</x:v>
      </x:c>
      <x:c r="AB687" s="9" t="n">
        <x:f>IF(ISBLANK(B687),"",YEAR(B687))</x:f>
        <x:v>2025</x:v>
      </x:c>
      <x:c r="AC687" s="10" t="str">
        <x:v>INVALID: Discount above allowed range; EXCLUDE: Cancelled order; EXCLUDE: Failed payment</x:v>
      </x:c>
      <x:c r="AD687" t="str">
        <x:f>IF(AND(U687="Completed",T687="Paid",ISERROR(SEARCH("INVALID",AC687)),ISERROR(SEARCH("REVIEW",AC687))),"Include","Exclude")</x:f>
        <x:v>Exclude</x:v>
      </x:c>
      <x:c r="AE687" t="str">
        <x:f>IF(T687="Refunded","Refunded","")</x:f>
      </x:c>
    </x:row>
    <x:row r="688">
      <x:c r="A688" t="str">
        <x:v>ORD-2024-10687</x:v>
      </x:c>
      <x:c r="B688" s="5" t="n">
        <x:v>45376</x:v>
      </x:c>
      <x:c r="C688" s="5" t="n">
        <x:v>45384</x:v>
      </x:c>
      <x:c r="D688" t="str">
        <x:v>CUST-3127</x:v>
      </x:c>
      <x:c r="E688" t="str">
        <x:v>Sneha Kapoor</x:v>
      </x:c>
      <x:c r="F688" t="str">
        <x:v>Home Office</x:v>
      </x:c>
      <x:c r="G688" t="str">
        <x:v>South</x:v>
      </x:c>
      <x:c r="H688" t="str">
        <x:v>Tamil Nadu</x:v>
      </x:c>
      <x:c r="I688" t="str">
        <x:v>Chennai</x:v>
      </x:c>
      <x:c r="J688" t="str">
        <x:v>Technology</x:v>
      </x:c>
      <x:c r="K688" t="str">
        <x:v>Copiers</x:v>
      </x:c>
      <x:c r="L688" t="str">
        <x:v>Pro Copiers 502</x:v>
      </x:c>
      <x:c r="M688" t="str">
        <x:v>Standard Class</x:v>
      </x:c>
      <x:c r="N688" t="n">
        <x:v>2</x:v>
      </x:c>
      <x:c r="O688" s="7" t="n">
        <x:v>2349.13</x:v>
      </x:c>
      <x:c r="P688" s="6" t="n">
        <x:v>0</x:v>
      </x:c>
      <x:c r="Q688" s="7" t="n">
        <x:v>4698.26</x:v>
      </x:c>
      <x:c r="R688" s="7" t="n">
        <x:v>2654.92</x:v>
      </x:c>
      <x:c r="S688" s="7" t="n">
        <x:v>2043.34</x:v>
      </x:c>
      <x:c r="T688" t="str">
        <x:v>Paid</x:v>
      </x:c>
      <x:c r="U688" t="str">
        <x:v>Completed</x:v>
      </x:c>
      <x:c r="V688" s="6" t="n">
        <x:f>IF(ISBLANK(P688),IF(AND(ISNUMBER(N688),N688&gt;0,ISNUMBER(O688),O688&gt;=0,ISNUMBER(Q688),Q688&gt;=0,ISNUMBER(R688),R688&gt;=0,ISNUMBER(S688)),0,""),P688)</x:f>
        <x:v>0</x:v>
      </x:c>
      <x:c r="W688" s="7" t="n">
        <x:f>IF(ISBLANK(V688),"",N688*O688*(1-V688))</x:f>
        <x:v>4698.26</x:v>
      </x:c>
      <x:c r="X688" s="7" t="n">
        <x:f>IF(OR(ISBLANK(W688),ISBLANK(R688)),"",W688-R688)</x:f>
        <x:v>2043.3400000000001</x:v>
      </x:c>
      <x:c r="Y688" s="8" t="n">
        <x:f>IF(OR(ISBLANK(W688),W688=0),"",X688/W688)</x:f>
        <x:v>0.4349142022791416</x:v>
      </x:c>
      <x:c r="Z688" s="9" t="n">
        <x:f>IF(OR(ISBLANK(B688),ISBLANK(C688)),"",C688-B688)</x:f>
        <x:v>8</x:v>
      </x:c>
      <x:c r="AA688" t="str">
        <x:f>IF(ISBLANK(B688),"",TEXT(B688,"mmm"))</x:f>
        <x:v>Mar</x:v>
      </x:c>
      <x:c r="AB688" s="9" t="n">
        <x:f>IF(ISBLANK(B688),"",YEAR(B688))</x:f>
        <x:v>2024</x:v>
      </x:c>
      <x:c r="AC688" s="10" t="str"/>
      <x:c r="AD688" t="str">
        <x:f>IF(AND(U688="Completed",T688="Paid",ISERROR(SEARCH("INVALID",AC688)),ISERROR(SEARCH("REVIEW",AC688))),"Include","Exclude")</x:f>
        <x:v>Include</x:v>
      </x:c>
      <x:c r="AE688" t="str">
        <x:f>IF(T688="Refunded","Refunded","")</x:f>
      </x:c>
    </x:row>
    <x:row r="689">
      <x:c r="A689" t="str">
        <x:v>ORD-2025-10688</x:v>
      </x:c>
      <x:c r="B689" s="5" t="n">
        <x:v>45938</x:v>
      </x:c>
      <x:c r="C689" s="5" t="n">
        <x:v>45943</x:v>
      </x:c>
      <x:c r="D689" t="str">
        <x:v>CUST-9347</x:v>
      </x:c>
      <x:c r="E689" t="str">
        <x:v>Mira Das</x:v>
      </x:c>
      <x:c r="F689" t="str">
        <x:v>Home Office</x:v>
      </x:c>
      <x:c r="G689" t="str">
        <x:v>North</x:v>
      </x:c>
      <x:c r="H689" t="str">
        <x:v>Punjab</x:v>
      </x:c>
      <x:c r="I689" t="str">
        <x:v>Ludhiana</x:v>
      </x:c>
      <x:c r="J689" t="str">
        <x:v>Furniture</x:v>
      </x:c>
      <x:c r="K689" t="str">
        <x:v>Tables</x:v>
      </x:c>
      <x:c r="L689" t="str">
        <x:v>Prime Tables 604</x:v>
      </x:c>
      <x:c r="M689" t="str">
        <x:v>First Class</x:v>
      </x:c>
      <x:c r="N689" t="n">
        <x:v>4</x:v>
      </x:c>
      <x:c r="O689" s="7" t="n">
        <x:v>172.05</x:v>
      </x:c>
      <x:c r="P689" s="6" t="n">
        <x:v>0</x:v>
      </x:c>
      <x:c r="Q689" s="7" t="n">
        <x:v>688.2</x:v>
      </x:c>
      <x:c r="R689" s="7" t="n">
        <x:v>497.68</x:v>
      </x:c>
      <x:c r="S689" s="7" t="n">
        <x:v>190.52</x:v>
      </x:c>
      <x:c r="T689" t="str">
        <x:v>Failed</x:v>
      </x:c>
      <x:c r="U689" t="str">
        <x:v>Cancelled</x:v>
      </x:c>
      <x:c r="V689" s="6" t="n">
        <x:f>IF(ISBLANK(P689),IF(AND(ISNUMBER(N689),N689&gt;0,ISNUMBER(O689),O689&gt;=0,ISNUMBER(Q689),Q689&gt;=0,ISNUMBER(R689),R689&gt;=0,ISNUMBER(S689)),0,""),P689)</x:f>
        <x:v>0</x:v>
      </x:c>
      <x:c r="W689" s="7" t="n">
        <x:f>IF(ISBLANK(V689),"",N689*O689*(1-V689))</x:f>
        <x:v>688.2</x:v>
      </x:c>
      <x:c r="X689" s="7" t="n">
        <x:f>IF(OR(ISBLANK(W689),ISBLANK(R689)),"",W689-R689)</x:f>
        <x:v>190.52000000000004</x:v>
      </x:c>
      <x:c r="Y689" s="8" t="n">
        <x:f>IF(OR(ISBLANK(W689),W689=0),"",X689/W689)</x:f>
        <x:v>0.27683812845103173</x:v>
      </x:c>
      <x:c r="Z689" s="9" t="n">
        <x:f>IF(OR(ISBLANK(B689),ISBLANK(C689)),"",C689-B689)</x:f>
        <x:v>5</x:v>
      </x:c>
      <x:c r="AA689" t="str">
        <x:f>IF(ISBLANK(B689),"",TEXT(B689,"mmm"))</x:f>
        <x:v>Oct</x:v>
      </x:c>
      <x:c r="AB689" s="9" t="n">
        <x:f>IF(ISBLANK(B689),"",YEAR(B689))</x:f>
        <x:v>2025</x:v>
      </x:c>
      <x:c r="AC689" s="10" t="str">
        <x:v>EXCLUDE: Cancelled order; EXCLUDE: Failed payment</x:v>
      </x:c>
      <x:c r="AD689" t="str">
        <x:f>IF(AND(U689="Completed",T689="Paid",ISERROR(SEARCH("INVALID",AC689)),ISERROR(SEARCH("REVIEW",AC689))),"Include","Exclude")</x:f>
        <x:v>Exclude</x:v>
      </x:c>
      <x:c r="AE689" t="str">
        <x:f>IF(T689="Refunded","Refunded","")</x:f>
      </x:c>
    </x:row>
    <x:row r="690">
      <x:c r="A690" t="str">
        <x:v>ORD-2025-10689</x:v>
      </x:c>
      <x:c r="B690" s="5" t="n">
        <x:v>45714</x:v>
      </x:c>
      <x:c r="C690" s="5" t="n">
        <x:v>45715</x:v>
      </x:c>
      <x:c r="D690" t="str">
        <x:v>CUST-8575</x:v>
      </x:c>
      <x:c r="E690" t="str">
        <x:v>Neha Gupta</x:v>
      </x:c>
      <x:c r="F690" t="str">
        <x:v>Home Office</x:v>
      </x:c>
      <x:c r="G690" t="str">
        <x:v>North</x:v>
      </x:c>
      <x:c r="H690" t="str">
        <x:v>Haryana</x:v>
      </x:c>
      <x:c r="I690" t="str">
        <x:v>Gurugram</x:v>
      </x:c>
      <x:c r="J690" t="str">
        <x:v>Office Supplies</x:v>
      </x:c>
      <x:c r="K690" t="str">
        <x:v>Art</x:v>
      </x:c>
      <x:c r="L690" t="str">
        <x:v>Basic Art 798</x:v>
      </x:c>
      <x:c r="M690" t="str">
        <x:v>Second Class</x:v>
      </x:c>
      <x:c r="N690" t="n">
        <x:v>6</x:v>
      </x:c>
      <x:c r="O690" s="7" t="n">
        <x:v>3037.66</x:v>
      </x:c>
      <x:c r="P690" s="6" t="n">
        <x:v>0.15</x:v>
      </x:c>
      <x:c r="Q690" s="7" t="n">
        <x:v>15492.07</x:v>
      </x:c>
      <x:c r="R690" s="7" t="n">
        <x:v>12581.23</x:v>
      </x:c>
      <x:c r="S690" s="7" t="n">
        <x:v>2910.84</x:v>
      </x:c>
      <x:c r="T690" t="str">
        <x:v>Paid</x:v>
      </x:c>
      <x:c r="U690" t="str">
        <x:v>Completed</x:v>
      </x:c>
      <x:c r="V690" s="6" t="n">
        <x:f>IF(ISBLANK(P690),IF(AND(ISNUMBER(N690),N690&gt;0,ISNUMBER(O690),O690&gt;=0,ISNUMBER(Q690),Q690&gt;=0,ISNUMBER(R690),R690&gt;=0,ISNUMBER(S690)),0,""),P690)</x:f>
        <x:v>0.15</x:v>
      </x:c>
      <x:c r="W690" s="7" t="n">
        <x:f>IF(ISBLANK(V690),"",N690*O690*(1-V690))</x:f>
        <x:v>15492.065999999999</x:v>
      </x:c>
      <x:c r="X690" s="7" t="n">
        <x:f>IF(OR(ISBLANK(W690),ISBLANK(R690)),"",W690-R690)</x:f>
        <x:v>2910.8359999999993</x:v>
      </x:c>
      <x:c r="Y690" s="8" t="n">
        <x:f>IF(OR(ISBLANK(W690),W690=0),"",X690/W690)</x:f>
        <x:v>0.18789204745190213</x:v>
      </x:c>
      <x:c r="Z690" s="9" t="n">
        <x:f>IF(OR(ISBLANK(B690),ISBLANK(C690)),"",C690-B690)</x:f>
        <x:v>1</x:v>
      </x:c>
      <x:c r="AA690" t="str">
        <x:f>IF(ISBLANK(B690),"",TEXT(B690,"mmm"))</x:f>
        <x:v>Feb</x:v>
      </x:c>
      <x:c r="AB690" s="9" t="n">
        <x:f>IF(ISBLANK(B690),"",YEAR(B690))</x:f>
        <x:v>2025</x:v>
      </x:c>
      <x:c r="AC690" s="10" t="str"/>
      <x:c r="AD690" t="str">
        <x:f>IF(AND(U690="Completed",T690="Paid",ISERROR(SEARCH("INVALID",AC690)),ISERROR(SEARCH("REVIEW",AC690))),"Include","Exclude")</x:f>
        <x:v>Include</x:v>
      </x:c>
      <x:c r="AE690" t="str">
        <x:f>IF(T690="Refunded","Refunded","")</x:f>
      </x:c>
    </x:row>
    <x:row r="691">
      <x:c r="A691" t="str">
        <x:v>ORD-2024-10690</x:v>
      </x:c>
      <x:c r="B691" s="5" t="n">
        <x:v>45570</x:v>
      </x:c>
      <x:c r="C691" s="5" t="n">
        <x:v>45571</x:v>
      </x:c>
      <x:c r="D691" t="str">
        <x:v>CUST-4382</x:v>
      </x:c>
      <x:c r="E691" t="str">
        <x:v>Rohan Mehta</x:v>
      </x:c>
      <x:c r="F691" t="str">
        <x:v>Small Business</x:v>
      </x:c>
      <x:c r="G691" t="str">
        <x:v>North</x:v>
      </x:c>
      <x:c r="H691" t="str">
        <x:v>Punjab</x:v>
      </x:c>
      <x:c r="I691" t="str">
        <x:v>Ludhiana</x:v>
      </x:c>
      <x:c r="J691" t="str">
        <x:v>Furniture</x:v>
      </x:c>
      <x:c r="K691" t="str">
        <x:v>Tables</x:v>
      </x:c>
      <x:c r="L691" t="str">
        <x:v>Elite Tables 717</x:v>
      </x:c>
      <x:c r="M691" t="str">
        <x:v>Standard Class</x:v>
      </x:c>
      <x:c r="N691" t="n">
        <x:v>9</x:v>
      </x:c>
      <x:c r="O691" s="7" t="n">
        <x:v>489.58</x:v>
      </x:c>
      <x:c r="P691" s="6" t="n">
        <x:v>0.15</x:v>
      </x:c>
      <x:c r="Q691" s="7" t="n">
        <x:v>3745.29</x:v>
      </x:c>
      <x:c r="R691" s="7" t="n">
        <x:v>2302.65</x:v>
      </x:c>
      <x:c r="S691" s="7" t="n">
        <x:v>1442.64</x:v>
      </x:c>
      <x:c r="T691" t="str">
        <x:v>Failed</x:v>
      </x:c>
      <x:c r="U691" t="str">
        <x:v>Cancelled</x:v>
      </x:c>
      <x:c r="V691" s="6" t="n">
        <x:f>IF(ISBLANK(P691),IF(AND(ISNUMBER(N691),N691&gt;0,ISNUMBER(O691),O691&gt;=0,ISNUMBER(Q691),Q691&gt;=0,ISNUMBER(R691),R691&gt;=0,ISNUMBER(S691)),0,""),P691)</x:f>
        <x:v>0.15</x:v>
      </x:c>
      <x:c r="W691" s="7" t="n">
        <x:f>IF(ISBLANK(V691),"",N691*O691*(1-V691))</x:f>
        <x:v>3745.2870000000003</x:v>
      </x:c>
      <x:c r="X691" s="7" t="n">
        <x:f>IF(OR(ISBLANK(W691),ISBLANK(R691)),"",W691-R691)</x:f>
        <x:v>1442.6370000000002</x:v>
      </x:c>
      <x:c r="Y691" s="8" t="n">
        <x:f>IF(OR(ISBLANK(W691),W691=0),"",X691/W691)</x:f>
        <x:v>0.3851873034029168</x:v>
      </x:c>
      <x:c r="Z691" s="9" t="n">
        <x:f>IF(OR(ISBLANK(B691),ISBLANK(C691)),"",C691-B691)</x:f>
        <x:v>1</x:v>
      </x:c>
      <x:c r="AA691" t="str">
        <x:f>IF(ISBLANK(B691),"",TEXT(B691,"mmm"))</x:f>
        <x:v>Oct</x:v>
      </x:c>
      <x:c r="AB691" s="9" t="n">
        <x:f>IF(ISBLANK(B691),"",YEAR(B691))</x:f>
        <x:v>2024</x:v>
      </x:c>
      <x:c r="AC691" s="10" t="str">
        <x:v>EXCLUDE: Cancelled order; EXCLUDE: Failed payment</x:v>
      </x:c>
      <x:c r="AD691" t="str">
        <x:f>IF(AND(U691="Completed",T691="Paid",ISERROR(SEARCH("INVALID",AC691)),ISERROR(SEARCH("REVIEW",AC691))),"Include","Exclude")</x:f>
        <x:v>Exclude</x:v>
      </x:c>
      <x:c r="AE691" t="str">
        <x:f>IF(T691="Refunded","Refunded","")</x:f>
      </x:c>
    </x:row>
    <x:row r="692">
      <x:c r="A692" t="str">
        <x:v>ORD-2024-10691</x:v>
      </x:c>
      <x:c r="B692" s="5" t="n">
        <x:v>45546</x:v>
      </x:c>
      <x:c r="C692" s="5" t="n">
        <x:v>45550</x:v>
      </x:c>
      <x:c r="D692" t="str">
        <x:v>CUST-6815</x:v>
      </x:c>
      <x:c r="E692" t="str">
        <x:v>Sneha Kapoor</x:v>
      </x:c>
      <x:c r="F692" t="str">
        <x:v>Corporate</x:v>
      </x:c>
      <x:c r="G692" t="str">
        <x:v>South</x:v>
      </x:c>
      <x:c r="H692" t="str">
        <x:v>Tamil Nadu</x:v>
      </x:c>
      <x:c r="I692" t="str">
        <x:v>Chennai</x:v>
      </x:c>
      <x:c r="J692" t="str">
        <x:v>Office Supplies</x:v>
      </x:c>
      <x:c r="K692" t="str">
        <x:v>Art</x:v>
      </x:c>
      <x:c r="L692" t="str">
        <x:v>Max Art 725</x:v>
      </x:c>
      <x:c r="M692" t="str">
        <x:v>Standard Class</x:v>
      </x:c>
      <x:c r="N692" t="n">
        <x:v>4</x:v>
      </x:c>
      <x:c r="O692" s="7" t="n">
        <x:v>865.63</x:v>
      </x:c>
      <x:c r="P692" s="6" t="n">
        <x:v>0</x:v>
      </x:c>
      <x:c r="Q692" s="7" t="n">
        <x:v>3462.52</x:v>
      </x:c>
      <x:c r="R692" s="7" t="n">
        <x:v>2797.29</x:v>
      </x:c>
      <x:c r="S692" s="7" t="n">
        <x:v>665.23</x:v>
      </x:c>
      <x:c r="T692" t="str">
        <x:v>Failed</x:v>
      </x:c>
      <x:c r="U692" t="str">
        <x:v>Returned</x:v>
      </x:c>
      <x:c r="V692" s="6" t="n">
        <x:f>IF(ISBLANK(P692),IF(AND(ISNUMBER(N692),N692&gt;0,ISNUMBER(O692),O692&gt;=0,ISNUMBER(Q692),Q692&gt;=0,ISNUMBER(R692),R692&gt;=0,ISNUMBER(S692)),0,""),P692)</x:f>
        <x:v>0</x:v>
      </x:c>
      <x:c r="W692" s="7" t="n">
        <x:f>IF(ISBLANK(V692),"",N692*O692*(1-V692))</x:f>
        <x:v>3462.52</x:v>
      </x:c>
      <x:c r="X692" s="7" t="n">
        <x:f>IF(OR(ISBLANK(W692),ISBLANK(R692)),"",W692-R692)</x:f>
        <x:v>665.23</x:v>
      </x:c>
      <x:c r="Y692" s="8" t="n">
        <x:f>IF(OR(ISBLANK(W692),W692=0),"",X692/W692)</x:f>
        <x:v>0.19212307798944123</x:v>
      </x:c>
      <x:c r="Z692" s="9" t="n">
        <x:f>IF(OR(ISBLANK(B692),ISBLANK(C692)),"",C692-B692)</x:f>
        <x:v>4</x:v>
      </x:c>
      <x:c r="AA692" t="str">
        <x:f>IF(ISBLANK(B692),"",TEXT(B692,"mmm"))</x:f>
        <x:v>Sep</x:v>
      </x:c>
      <x:c r="AB692" s="9" t="n">
        <x:f>IF(ISBLANK(B692),"",YEAR(B692))</x:f>
        <x:v>2024</x:v>
      </x:c>
      <x:c r="AC692" s="10" t="str">
        <x:v>EXCLUDE: Failed payment</x:v>
      </x:c>
      <x:c r="AD692" t="str">
        <x:f>IF(AND(U692="Completed",T692="Paid",ISERROR(SEARCH("INVALID",AC692)),ISERROR(SEARCH("REVIEW",AC692))),"Include","Exclude")</x:f>
        <x:v>Exclude</x:v>
      </x:c>
      <x:c r="AE692" t="str">
        <x:f>IF(T692="Refunded","Refunded","")</x:f>
      </x:c>
    </x:row>
    <x:row r="693">
      <x:c r="A693" t="str">
        <x:v>ORD-2024-10692</x:v>
      </x:c>
      <x:c r="B693" s="5" t="n">
        <x:v>45641</x:v>
      </x:c>
      <x:c r="C693" s="5" t="n">
        <x:v>45642</x:v>
      </x:c>
      <x:c r="D693" t="str">
        <x:v>CUST-7309</x:v>
      </x:c>
      <x:c r="E693" t="str">
        <x:v>Rohan Mehta</x:v>
      </x:c>
      <x:c r="F693" t="str">
        <x:v>Consumer</x:v>
      </x:c>
      <x:c r="G693" t="str">
        <x:v>East</x:v>
      </x:c>
      <x:c r="H693" t="str">
        <x:v>Odisha</x:v>
      </x:c>
      <x:c r="I693" t="str">
        <x:v>Bhubaneswar</x:v>
      </x:c>
      <x:c r="J693" t="str">
        <x:v>Technology</x:v>
      </x:c>
      <x:c r="K693" t="str">
        <x:v>Copiers</x:v>
      </x:c>
      <x:c r="L693" t="str">
        <x:v>Smart Copiers 456</x:v>
      </x:c>
      <x:c r="M693" t="str">
        <x:v>Second Class</x:v>
      </x:c>
      <x:c r="N693" t="n">
        <x:v>6</x:v>
      </x:c>
      <x:c r="O693" s="7" t="n">
        <x:v>1538.1</x:v>
      </x:c>
      <x:c r="P693" s="6" t="n">
        <x:v>0.05</x:v>
      </x:c>
      <x:c r="Q693" s="7" t="n">
        <x:v>8767.17</x:v>
      </x:c>
      <x:c r="R693" s="7" t="n">
        <x:v>5098.2</x:v>
      </x:c>
      <x:c r="S693" s="7" t="n">
        <x:v>3668.97</x:v>
      </x:c>
      <x:c r="T693" t="str">
        <x:v>Paid</x:v>
      </x:c>
      <x:c r="U693" t="str">
        <x:v>Completed</x:v>
      </x:c>
      <x:c r="V693" s="6" t="n">
        <x:f>IF(ISBLANK(P693),IF(AND(ISNUMBER(N693),N693&gt;0,ISNUMBER(O693),O693&gt;=0,ISNUMBER(Q693),Q693&gt;=0,ISNUMBER(R693),R693&gt;=0,ISNUMBER(S693)),0,""),P693)</x:f>
        <x:v>0.05</x:v>
      </x:c>
      <x:c r="W693" s="7" t="n">
        <x:f>IF(ISBLANK(V693),"",N693*O693*(1-V693))</x:f>
        <x:v>8767.169999999998</x:v>
      </x:c>
      <x:c r="X693" s="7" t="n">
        <x:f>IF(OR(ISBLANK(W693),ISBLANK(R693)),"",W693-R693)</x:f>
        <x:v>3668.9699999999984</x:v>
      </x:c>
      <x:c r="Y693" s="8" t="n">
        <x:f>IF(OR(ISBLANK(W693),W693=0),"",X693/W693)</x:f>
        <x:v>0.4184896608597756</x:v>
      </x:c>
      <x:c r="Z693" s="9" t="n">
        <x:f>IF(OR(ISBLANK(B693),ISBLANK(C693)),"",C693-B693)</x:f>
        <x:v>1</x:v>
      </x:c>
      <x:c r="AA693" t="str">
        <x:f>IF(ISBLANK(B693),"",TEXT(B693,"mmm"))</x:f>
        <x:v>Dec</x:v>
      </x:c>
      <x:c r="AB693" s="9" t="n">
        <x:f>IF(ISBLANK(B693),"",YEAR(B693))</x:f>
        <x:v>2024</x:v>
      </x:c>
      <x:c r="AC693" s="10" t="str"/>
      <x:c r="AD693" t="str">
        <x:f>IF(AND(U693="Completed",T693="Paid",ISERROR(SEARCH("INVALID",AC693)),ISERROR(SEARCH("REVIEW",AC693))),"Include","Exclude")</x:f>
        <x:v>Include</x:v>
      </x:c>
      <x:c r="AE693" t="str">
        <x:f>IF(T693="Refunded","Refunded","")</x:f>
      </x:c>
    </x:row>
    <x:row r="694">
      <x:c r="A694" t="str">
        <x:v>ORD-2025-10693</x:v>
      </x:c>
      <x:c r="B694" s="5" t="n">
        <x:v>45935</x:v>
      </x:c>
      <x:c r="C694" s="5" t="n">
        <x:v>45940</x:v>
      </x:c>
      <x:c r="D694" t="str">
        <x:v>CUST-9531</x:v>
      </x:c>
      <x:c r="E694" t="str">
        <x:v>Isha Nair</x:v>
      </x:c>
      <x:c r="F694" t="str">
        <x:v>Corporate</x:v>
      </x:c>
      <x:c r="G694" t="str">
        <x:v>South</x:v>
      </x:c>
      <x:c r="H694" t="str">
        <x:v>Karnataka</x:v>
      </x:c>
      <x:c r="I694" t="str">
        <x:v>Bengaluru</x:v>
      </x:c>
      <x:c r="J694" t="str">
        <x:v>Furniture</x:v>
      </x:c>
      <x:c r="K694" t="str">
        <x:v>Furnishings</x:v>
      </x:c>
      <x:c r="L694" t="str">
        <x:v>Prime Furnishings 883</x:v>
      </x:c>
      <x:c r="M694" t="str">
        <x:v>Second Class</x:v>
      </x:c>
      <x:c r="N694" t="n">
        <x:v>4</x:v>
      </x:c>
      <x:c r="O694" s="7" t="n">
        <x:v>2365.68</x:v>
      </x:c>
      <x:c r="P694" s="6" t="n">
        <x:v>0.1</x:v>
      </x:c>
      <x:c r="Q694" s="7" t="n">
        <x:v>8516.45</x:v>
      </x:c>
      <x:c r="R694" s="7" t="n">
        <x:v>5903.81</x:v>
      </x:c>
      <x:c r="S694" s="7" t="n">
        <x:v>2612.64</x:v>
      </x:c>
      <x:c r="T694" t="str">
        <x:v>Paid</x:v>
      </x:c>
      <x:c r="U694" t="str">
        <x:v>Completed</x:v>
      </x:c>
      <x:c r="V694" s="6" t="n">
        <x:f>IF(ISBLANK(P694),IF(AND(ISNUMBER(N694),N694&gt;0,ISNUMBER(O694),O694&gt;=0,ISNUMBER(Q694),Q694&gt;=0,ISNUMBER(R694),R694&gt;=0,ISNUMBER(S694)),0,""),P694)</x:f>
        <x:v>0.1</x:v>
      </x:c>
      <x:c r="W694" s="7" t="n">
        <x:f>IF(ISBLANK(V694),"",N694*O694*(1-V694))</x:f>
        <x:v>8516.448</x:v>
      </x:c>
      <x:c r="X694" s="7" t="n">
        <x:f>IF(OR(ISBLANK(W694),ISBLANK(R694)),"",W694-R694)</x:f>
        <x:v>2612.638</x:v>
      </x:c>
      <x:c r="Y694" s="8" t="n">
        <x:f>IF(OR(ISBLANK(W694),W694=0),"",X694/W694)</x:f>
        <x:v>0.3067755477400907</x:v>
      </x:c>
      <x:c r="Z694" s="9" t="n">
        <x:f>IF(OR(ISBLANK(B694),ISBLANK(C694)),"",C694-B694)</x:f>
        <x:v>5</x:v>
      </x:c>
      <x:c r="AA694" t="str">
        <x:f>IF(ISBLANK(B694),"",TEXT(B694,"mmm"))</x:f>
        <x:v>Oct</x:v>
      </x:c>
      <x:c r="AB694" s="9" t="n">
        <x:f>IF(ISBLANK(B694),"",YEAR(B694))</x:f>
        <x:v>2025</x:v>
      </x:c>
      <x:c r="AC694" s="10" t="str"/>
      <x:c r="AD694" t="str">
        <x:f>IF(AND(U694="Completed",T694="Paid",ISERROR(SEARCH("INVALID",AC694)),ISERROR(SEARCH("REVIEW",AC694))),"Include","Exclude")</x:f>
        <x:v>Include</x:v>
      </x:c>
      <x:c r="AE694" t="str">
        <x:f>IF(T694="Refunded","Refunded","")</x:f>
      </x:c>
    </x:row>
    <x:row r="695">
      <x:c r="A695" t="str">
        <x:v>ORD-2025-10694</x:v>
      </x:c>
      <x:c r="B695" s="5" t="n">
        <x:v>45750</x:v>
      </x:c>
      <x:c r="C695" s="5" t="n">
        <x:v>45758</x:v>
      </x:c>
      <x:c r="D695" t="str">
        <x:v>CUST-6032</x:v>
      </x:c>
      <x:c r="E695" t="str">
        <x:v>Arjun Bose</x:v>
      </x:c>
      <x:c r="F695" t="str">
        <x:v>Consumer</x:v>
      </x:c>
      <x:c r="G695" t="str">
        <x:v>South</x:v>
      </x:c>
      <x:c r="H695" t="str">
        <x:v>Tamil Nadu</x:v>
      </x:c>
      <x:c r="I695" t="str">
        <x:v>Chennai</x:v>
      </x:c>
      <x:c r="J695" t="str">
        <x:v>Furniture</x:v>
      </x:c>
      <x:c r="K695" t="str">
        <x:v>Bookcases</x:v>
      </x:c>
      <x:c r="L695" t="str">
        <x:v>Smart Bookcases 828</x:v>
      </x:c>
      <x:c r="M695" t="str">
        <x:v>Second Class</x:v>
      </x:c>
      <x:c r="N695" t="n">
        <x:v>3</x:v>
      </x:c>
      <x:c r="O695" s="7" t="n">
        <x:v>4149.77</x:v>
      </x:c>
      <x:c r="P695" s="6" t="n">
        <x:v>0.05</x:v>
      </x:c>
      <x:c r="Q695" s="7" t="n">
        <x:v>11826.84</x:v>
      </x:c>
      <x:c r="R695" s="7" t="n">
        <x:v>8035.96</x:v>
      </x:c>
      <x:c r="S695" s="7" t="n">
        <x:v>3790.88</x:v>
      </x:c>
      <x:c r="T695" t="str">
        <x:v>Paid</x:v>
      </x:c>
      <x:c r="U695" t="str">
        <x:v>Completed</x:v>
      </x:c>
      <x:c r="V695" s="6" t="n">
        <x:f>IF(ISBLANK(P695),IF(AND(ISNUMBER(N695),N695&gt;0,ISNUMBER(O695),O695&gt;=0,ISNUMBER(Q695),Q695&gt;=0,ISNUMBER(R695),R695&gt;=0,ISNUMBER(S695)),0,""),P695)</x:f>
        <x:v>0.05</x:v>
      </x:c>
      <x:c r="W695" s="7" t="n">
        <x:f>IF(ISBLANK(V695),"",N695*O695*(1-V695))</x:f>
        <x:v>11826.844500000001</x:v>
      </x:c>
      <x:c r="X695" s="7" t="n">
        <x:f>IF(OR(ISBLANK(W695),ISBLANK(R695)),"",W695-R695)</x:f>
        <x:v>3790.884500000001</x:v>
      </x:c>
      <x:c r="Y695" s="8" t="n">
        <x:f>IF(OR(ISBLANK(W695),W695=0),"",X695/W695)</x:f>
        <x:v>0.32053220112938835</x:v>
      </x:c>
      <x:c r="Z695" s="9" t="n">
        <x:f>IF(OR(ISBLANK(B695),ISBLANK(C695)),"",C695-B695)</x:f>
        <x:v>8</x:v>
      </x:c>
      <x:c r="AA695" t="str">
        <x:f>IF(ISBLANK(B695),"",TEXT(B695,"mmm"))</x:f>
        <x:v>Apr</x:v>
      </x:c>
      <x:c r="AB695" s="9" t="n">
        <x:f>IF(ISBLANK(B695),"",YEAR(B695))</x:f>
        <x:v>2025</x:v>
      </x:c>
      <x:c r="AC695" s="10" t="str"/>
      <x:c r="AD695" t="str">
        <x:f>IF(AND(U695="Completed",T695="Paid",ISERROR(SEARCH("INVALID",AC695)),ISERROR(SEARCH("REVIEW",AC695))),"Include","Exclude")</x:f>
        <x:v>Include</x:v>
      </x:c>
      <x:c r="AE695" t="str">
        <x:f>IF(T695="Refunded","Refunded","")</x:f>
      </x:c>
    </x:row>
    <x:row r="696">
      <x:c r="A696" t="str">
        <x:v>ORD-2025-10695</x:v>
      </x:c>
      <x:c r="B696" s="5" t="n">
        <x:v>45870</x:v>
      </x:c>
      <x:c r="C696" s="5" t="n">
        <x:v>45878</x:v>
      </x:c>
      <x:c r="D696" t="str">
        <x:v>CUST-8025</x:v>
      </x:c>
      <x:c r="E696" t="str">
        <x:v>Isha Nair</x:v>
      </x:c>
      <x:c r="F696" t="str">
        <x:v>Consumer</x:v>
      </x:c>
      <x:c r="G696" t="str">
        <x:v>South</x:v>
      </x:c>
      <x:c r="H696" t="str">
        <x:v>Andhra Pradesh</x:v>
      </x:c>
      <x:c r="I696" t="str">
        <x:v>Vijayawada</x:v>
      </x:c>
      <x:c r="J696" t="str">
        <x:v>Office Supplies</x:v>
      </x:c>
      <x:c r="K696" t="str">
        <x:v>Storage</x:v>
      </x:c>
      <x:c r="L696" t="str">
        <x:v>Classic Storage 291</x:v>
      </x:c>
      <x:c r="M696" t="str">
        <x:v>First Class</x:v>
      </x:c>
      <x:c r="N696" t="n">
        <x:v>5</x:v>
      </x:c>
      <x:c r="O696" s="7" t="n">
        <x:v>2736.24</x:v>
      </x:c>
      <x:c r="P696" s="6" t="n">
        <x:v>0.15</x:v>
      </x:c>
      <x:c r="Q696" s="7" t="n">
        <x:v>11629.02</x:v>
      </x:c>
      <x:c r="R696" s="7" t="n">
        <x:v>9627.21</x:v>
      </x:c>
      <x:c r="S696" s="7" t="n">
        <x:v>2001.81</x:v>
      </x:c>
      <x:c r="T696" t="str">
        <x:v>Paid</x:v>
      </x:c>
      <x:c r="U696" t="str">
        <x:v>Completed</x:v>
      </x:c>
      <x:c r="V696" s="6" t="n">
        <x:f>IF(ISBLANK(P696),IF(AND(ISNUMBER(N696),N696&gt;0,ISNUMBER(O696),O696&gt;=0,ISNUMBER(Q696),Q696&gt;=0,ISNUMBER(R696),R696&gt;=0,ISNUMBER(S696)),0,""),P696)</x:f>
        <x:v>0.15</x:v>
      </x:c>
      <x:c r="W696" s="7" t="n">
        <x:f>IF(ISBLANK(V696),"",N696*O696*(1-V696))</x:f>
        <x:v>11629.019999999999</x:v>
      </x:c>
      <x:c r="X696" s="7" t="n">
        <x:f>IF(OR(ISBLANK(W696),ISBLANK(R696)),"",W696-R696)</x:f>
        <x:v>2001.8099999999995</x:v>
      </x:c>
      <x:c r="Y696" s="8" t="n">
        <x:f>IF(OR(ISBLANK(W696),W696=0),"",X696/W696)</x:f>
        <x:v>0.17213918283741877</x:v>
      </x:c>
      <x:c r="Z696" s="9" t="n">
        <x:f>IF(OR(ISBLANK(B696),ISBLANK(C696)),"",C696-B696)</x:f>
        <x:v>8</x:v>
      </x:c>
      <x:c r="AA696" t="str">
        <x:f>IF(ISBLANK(B696),"",TEXT(B696,"mmm"))</x:f>
        <x:v>Aug</x:v>
      </x:c>
      <x:c r="AB696" s="9" t="n">
        <x:f>IF(ISBLANK(B696),"",YEAR(B696))</x:f>
        <x:v>2025</x:v>
      </x:c>
      <x:c r="AC696" s="10" t="str"/>
      <x:c r="AD696" t="str">
        <x:f>IF(AND(U696="Completed",T696="Paid",ISERROR(SEARCH("INVALID",AC696)),ISERROR(SEARCH("REVIEW",AC696))),"Include","Exclude")</x:f>
        <x:v>Include</x:v>
      </x:c>
      <x:c r="AE696" t="str">
        <x:f>IF(T696="Refunded","Refunded","")</x:f>
      </x:c>
    </x:row>
    <x:row r="697">
      <x:c r="A697" t="str">
        <x:v>ORD-2024-10696</x:v>
      </x:c>
      <x:c r="B697" s="5" t="n">
        <x:v>45474</x:v>
      </x:c>
      <x:c r="C697" s="5" t="n">
        <x:v>45474</x:v>
      </x:c>
      <x:c r="D697" t="str">
        <x:v>CUST-6257</x:v>
      </x:c>
      <x:c r="E697" t="str">
        <x:v>Aarav Sharma</x:v>
      </x:c>
      <x:c r="F697" t="str">
        <x:v>Consumer</x:v>
      </x:c>
      <x:c r="G697" t="str">
        <x:v>West</x:v>
      </x:c>
      <x:c r="H697" t="str">
        <x:v>Madhya Pradesh</x:v>
      </x:c>
      <x:c r="I697" t="str">
        <x:v>Indore</x:v>
      </x:c>
      <x:c r="J697" t="str">
        <x:v>Technology</x:v>
      </x:c>
      <x:c r="K697" t="str">
        <x:v>Machines</x:v>
      </x:c>
      <x:c r="L697" t="str">
        <x:v>Prime Machines 102</x:v>
      </x:c>
      <x:c r="M697" t="str">
        <x:v>Standard Class</x:v>
      </x:c>
      <x:c r="N697" t="n">
        <x:v>4</x:v>
      </x:c>
      <x:c r="O697" s="7" t="n">
        <x:v>257.39</x:v>
      </x:c>
      <x:c r="P697" s="6" t="n">
        <x:v>0</x:v>
      </x:c>
      <x:c r="Q697" s="7" t="n">
        <x:v>1029.56</x:v>
      </x:c>
      <x:c r="R697" s="7" t="n">
        <x:v>626.33</x:v>
      </x:c>
      <x:c r="S697" s="7" t="n">
        <x:v>403.23</x:v>
      </x:c>
      <x:c r="T697" t="str">
        <x:v>Paid</x:v>
      </x:c>
      <x:c r="U697" t="str">
        <x:v>Completed</x:v>
      </x:c>
      <x:c r="V697" s="6" t="n">
        <x:f>IF(ISBLANK(P697),IF(AND(ISNUMBER(N697),N697&gt;0,ISNUMBER(O697),O697&gt;=0,ISNUMBER(Q697),Q697&gt;=0,ISNUMBER(R697),R697&gt;=0,ISNUMBER(S697)),0,""),P697)</x:f>
        <x:v>0</x:v>
      </x:c>
      <x:c r="W697" s="7" t="n">
        <x:f>IF(ISBLANK(V697),"",N697*O697*(1-V697))</x:f>
        <x:v>1029.56</x:v>
      </x:c>
      <x:c r="X697" s="7" t="n">
        <x:f>IF(OR(ISBLANK(W697),ISBLANK(R697)),"",W697-R697)</x:f>
        <x:v>403.2299999999999</x:v>
      </x:c>
      <x:c r="Y697" s="8" t="n">
        <x:f>IF(OR(ISBLANK(W697),W697=0),"",X697/W697)</x:f>
        <x:v>0.3916527448618827</x:v>
      </x:c>
      <x:c r="Z697" s="9" t="n">
        <x:f>IF(OR(ISBLANK(B697),ISBLANK(C697)),"",C697-B697)</x:f>
        <x:v>0</x:v>
      </x:c>
      <x:c r="AA697" t="str">
        <x:f>IF(ISBLANK(B697),"",TEXT(B697,"mmm"))</x:f>
        <x:v>Jul</x:v>
      </x:c>
      <x:c r="AB697" s="9" t="n">
        <x:f>IF(ISBLANK(B697),"",YEAR(B697))</x:f>
        <x:v>2024</x:v>
      </x:c>
      <x:c r="AC697" s="10" t="str"/>
      <x:c r="AD697" t="str">
        <x:f>IF(AND(U697="Completed",T697="Paid",ISERROR(SEARCH("INVALID",AC697)),ISERROR(SEARCH("REVIEW",AC697))),"Include","Exclude")</x:f>
        <x:v>Include</x:v>
      </x:c>
      <x:c r="AE697" t="str">
        <x:f>IF(T697="Refunded","Refunded","")</x:f>
      </x:c>
    </x:row>
    <x:row r="698">
      <x:c r="A698" t="str">
        <x:v>ORD-2025-10697</x:v>
      </x:c>
      <x:c r="B698" s="5" t="n">
        <x:v>45922</x:v>
      </x:c>
      <x:c r="C698" s="5" t="n">
        <x:v>45925</x:v>
      </x:c>
      <x:c r="D698" t="str">
        <x:v>CUST-7812</x:v>
      </x:c>
      <x:c r="E698" t="str">
        <x:v>Isha Nair</x:v>
      </x:c>
      <x:c r="F698" t="str">
        <x:v>Small Business</x:v>
      </x:c>
      <x:c r="G698" t="str">
        <x:v>South</x:v>
      </x:c>
      <x:c r="H698" t="str">
        <x:v>Kerala</x:v>
      </x:c>
      <x:c r="I698" t="str">
        <x:v>Kochi</x:v>
      </x:c>
      <x:c r="J698" t="str">
        <x:v>Technology</x:v>
      </x:c>
      <x:c r="K698" t="str">
        <x:v>Phones</x:v>
      </x:c>
      <x:c r="L698" t="str">
        <x:v>Classic Phones 842</x:v>
      </x:c>
      <x:c r="M698" t="str">
        <x:v>Unknown</x:v>
      </x:c>
      <x:c r="N698" t="n">
        <x:v>4</x:v>
      </x:c>
      <x:c r="O698" s="7" t="n">
        <x:v>1178.84</x:v>
      </x:c>
      <x:c r="P698" s="6" t="n">
        <x:v>0.25</x:v>
      </x:c>
      <x:c r="Q698" s="7" t="n">
        <x:v>3536.52</x:v>
      </x:c>
      <x:c r="R698" s="7" t="n">
        <x:v>2102.41</x:v>
      </x:c>
      <x:c r="S698" s="7" t="n">
        <x:v>1363.28</x:v>
      </x:c>
      <x:c r="T698" t="str">
        <x:v>Paid</x:v>
      </x:c>
      <x:c r="U698" t="str">
        <x:v>Completed</x:v>
      </x:c>
      <x:c r="V698" s="6" t="n">
        <x:f>IF(ISBLANK(P698),IF(AND(ISNUMBER(N698),N698&gt;0,ISNUMBER(O698),O698&gt;=0,ISNUMBER(Q698),Q698&gt;=0,ISNUMBER(R698),R698&gt;=0,ISNUMBER(S698)),0,""),P698)</x:f>
        <x:v>0.25</x:v>
      </x:c>
      <x:c r="W698" s="7" t="n">
        <x:f>IF(ISBLANK(V698),"",N698*O698*(1-V698))</x:f>
        <x:v>3536.5199999999995</x:v>
      </x:c>
      <x:c r="X698" s="7" t="n">
        <x:f>IF(OR(ISBLANK(W698),ISBLANK(R698)),"",W698-R698)</x:f>
        <x:v>1434.1099999999997</x:v>
      </x:c>
      <x:c r="Y698" s="8" t="n">
        <x:f>IF(OR(ISBLANK(W698),W698=0),"",X698/W698)</x:f>
        <x:v>0.4055144605431328</x:v>
      </x:c>
      <x:c r="Z698" s="9" t="n">
        <x:f>IF(OR(ISBLANK(B698),ISBLANK(C698)),"",C698-B698)</x:f>
        <x:v>3</x:v>
      </x:c>
      <x:c r="AA698" t="str">
        <x:f>IF(ISBLANK(B698),"",TEXT(B698,"mmm"))</x:f>
        <x:v>Sep</x:v>
      </x:c>
      <x:c r="AB698" s="9" t="n">
        <x:f>IF(ISBLANK(B698),"",YEAR(B698))</x:f>
        <x:v>2025</x:v>
      </x:c>
      <x:c r="AC698" s="10" t="str">
        <x:v>FLAG: Missing ship mode filled as Unknown</x:v>
      </x:c>
      <x:c r="AD698" t="str">
        <x:f>IF(AND(U698="Completed",T698="Paid",ISERROR(SEARCH("INVALID",AC698)),ISERROR(SEARCH("REVIEW",AC698))),"Include","Exclude")</x:f>
        <x:v>Include</x:v>
      </x:c>
      <x:c r="AE698" t="str">
        <x:f>IF(T698="Refunded","Refunded","")</x:f>
      </x:c>
    </x:row>
    <x:row r="699">
      <x:c r="A699" t="str">
        <x:v>ORD-2025-10698</x:v>
      </x:c>
      <x:c r="B699" s="5" t="n">
        <x:v>45717</x:v>
      </x:c>
      <x:c r="C699" s="5" t="n">
        <x:v>45723</x:v>
      </x:c>
      <x:c r="D699" t="str">
        <x:v>CUST-6205</x:v>
      </x:c>
      <x:c r="E699" t="str">
        <x:v>Arjun Bose</x:v>
      </x:c>
      <x:c r="F699" t="str">
        <x:v>Corporate</x:v>
      </x:c>
      <x:c r="G699" t="str">
        <x:v>South</x:v>
      </x:c>
      <x:c r="H699" t="str">
        <x:v>Andhra Pradesh</x:v>
      </x:c>
      <x:c r="I699" t="str">
        <x:v>Vijayawada</x:v>
      </x:c>
      <x:c r="J699" t="str">
        <x:v>Office Supplies</x:v>
      </x:c>
      <x:c r="K699" t="str">
        <x:v>Labels</x:v>
      </x:c>
      <x:c r="L699" t="str">
        <x:v>Max Labels 970</x:v>
      </x:c>
      <x:c r="M699" t="str">
        <x:v>First Class</x:v>
      </x:c>
      <x:c r="N699" t="n">
        <x:v>7</x:v>
      </x:c>
      <x:c r="O699" s="7" t="n">
        <x:v>567.15</x:v>
      </x:c>
      <x:c r="P699" s="6"/>
      <x:c r="Q699" s="7" t="n">
        <x:v>2977.54</x:v>
      </x:c>
      <x:c r="R699" s="7" t="n">
        <x:v>1849.3</x:v>
      </x:c>
      <x:c r="S699" s="7" t="n">
        <x:v>1128.24</x:v>
      </x:c>
      <x:c r="T699" t="str">
        <x:v>Refunded</x:v>
      </x:c>
      <x:c r="U699" t="str">
        <x:v>Returned</x:v>
      </x:c>
      <x:c r="V699" s="6" t="n">
        <x:f>IF(ISBLANK(P699),IF(AND(ISNUMBER(N699),N699&gt;0,ISNUMBER(O699),O699&gt;=0,ISNUMBER(Q699),Q699&gt;=0,ISNUMBER(R699),R699&gt;=0,ISNUMBER(S699)),0,""),P699)</x:f>
        <x:v>0</x:v>
      </x:c>
      <x:c r="W699" s="7" t="n">
        <x:f>IF(ISBLANK(V699),"",N699*O699*(1-V699))</x:f>
        <x:v>3970.0499999999997</x:v>
      </x:c>
      <x:c r="X699" s="7" t="n">
        <x:f>IF(OR(ISBLANK(W699),ISBLANK(R699)),"",W699-R699)</x:f>
        <x:v>2120.75</x:v>
      </x:c>
      <x:c r="Y699" s="8" t="n">
        <x:f>IF(OR(ISBLANK(W699),W699=0),"",X699/W699)</x:f>
        <x:v>0.5341872268611227</x:v>
      </x:c>
      <x:c r="Z699" s="9" t="n">
        <x:f>IF(OR(ISBLANK(B699),ISBLANK(C699)),"",C699-B699)</x:f>
        <x:v>6</x:v>
      </x:c>
      <x:c r="AA699" t="str">
        <x:f>IF(ISBLANK(B699),"",TEXT(B699,"mmm"))</x:f>
        <x:v>Mar</x:v>
      </x:c>
      <x:c r="AB699" s="9" t="n">
        <x:f>IF(ISBLANK(B699),"",YEAR(B699))</x:f>
        <x:v>2025</x:v>
      </x:c>
      <x:c r="AC699" s="10" t="str">
        <x:v>FLAG: Missing discount treated as 0; REFUND: Summarize separately</x:v>
      </x:c>
      <x:c r="AD699" t="str">
        <x:f>IF(AND(U699="Completed",T699="Paid",ISERROR(SEARCH("INVALID",AC699)),ISERROR(SEARCH("REVIEW",AC699))),"Include","Exclude")</x:f>
        <x:v>Exclude</x:v>
      </x:c>
      <x:c r="AE699" t="str">
        <x:f>IF(T699="Refunded","Refunded","")</x:f>
        <x:v>Refunded</x:v>
      </x:c>
    </x:row>
    <x:row r="700">
      <x:c r="A700" t="str">
        <x:v>ORD-2024-10699</x:v>
      </x:c>
      <x:c r="B700" s="5" t="n">
        <x:v>45549</x:v>
      </x:c>
      <x:c r="C700" s="5" t="n">
        <x:v>45549</x:v>
      </x:c>
      <x:c r="D700" t="str">
        <x:v>CUST-5357</x:v>
      </x:c>
      <x:c r="E700" t="str">
        <x:v>Mira Das</x:v>
      </x:c>
      <x:c r="F700" t="str">
        <x:v>Corporate</x:v>
      </x:c>
      <x:c r="G700" t="str">
        <x:v>North</x:v>
      </x:c>
      <x:c r="H700" t="str">
        <x:v>Rajasthan</x:v>
      </x:c>
      <x:c r="I700" t="str">
        <x:v>Jaipur</x:v>
      </x:c>
      <x:c r="J700" t="str">
        <x:v>Technology</x:v>
      </x:c>
      <x:c r="K700" t="str">
        <x:v>Machines</x:v>
      </x:c>
      <x:c r="L700" t="str">
        <x:v>Classic Machines 648</x:v>
      </x:c>
      <x:c r="M700" t="str">
        <x:v>Standard Class</x:v>
      </x:c>
      <x:c r="N700" t="n">
        <x:v>8</x:v>
      </x:c>
      <x:c r="O700" s="7" t="n">
        <x:v>4081.66</x:v>
      </x:c>
      <x:c r="P700" s="6" t="n">
        <x:v>0.15</x:v>
      </x:c>
      <x:c r="Q700" s="7" t="n">
        <x:v>28208.1</x:v>
      </x:c>
      <x:c r="R700" s="7" t="n">
        <x:v>23751.91</x:v>
      </x:c>
      <x:c r="S700" s="7" t="n">
        <x:v>4003.38</x:v>
      </x:c>
      <x:c r="T700" t="str">
        <x:v>Paid</x:v>
      </x:c>
      <x:c r="U700" t="str">
        <x:v>Returned</x:v>
      </x:c>
      <x:c r="V700" s="6" t="n">
        <x:f>IF(ISBLANK(P700),IF(AND(ISNUMBER(N700),N700&gt;0,ISNUMBER(O700),O700&gt;=0,ISNUMBER(Q700),Q700&gt;=0,ISNUMBER(R700),R700&gt;=0,ISNUMBER(S700)),0,""),P700)</x:f>
        <x:v>0.15</x:v>
      </x:c>
      <x:c r="W700" s="7" t="n">
        <x:f>IF(ISBLANK(V700),"",N700*O700*(1-V700))</x:f>
        <x:v>27755.287999999997</x:v>
      </x:c>
      <x:c r="X700" s="7" t="n">
        <x:f>IF(OR(ISBLANK(W700),ISBLANK(R700)),"",W700-R700)</x:f>
        <x:v>4003.377999999997</x:v>
      </x:c>
      <x:c r="Y700" s="8" t="n">
        <x:f>IF(OR(ISBLANK(W700),W700=0),"",X700/W700)</x:f>
        <x:v>0.14423838801456493</x:v>
      </x:c>
      <x:c r="Z700" s="9" t="n">
        <x:f>IF(OR(ISBLANK(B700),ISBLANK(C700)),"",C700-B700)</x:f>
        <x:v>0</x:v>
      </x:c>
      <x:c r="AA700" t="str">
        <x:f>IF(ISBLANK(B700),"",TEXT(B700,"mmm"))</x:f>
        <x:v>Sep</x:v>
      </x:c>
      <x:c r="AB700" s="9" t="n">
        <x:f>IF(ISBLANK(B700),"",YEAR(B700))</x:f>
        <x:v>2024</x:v>
      </x:c>
      <x:c r="AC700" s="10" t="str"/>
      <x:c r="AD700" t="str">
        <x:f>IF(AND(U700="Completed",T700="Paid",ISERROR(SEARCH("INVALID",AC700)),ISERROR(SEARCH("REVIEW",AC700))),"Include","Exclude")</x:f>
        <x:v>Exclude</x:v>
      </x:c>
      <x:c r="AE700" t="str">
        <x:f>IF(T700="Refunded","Refunded","")</x:f>
      </x:c>
    </x:row>
    <x:row r="701">
      <x:c r="A701" t="str">
        <x:v>ORD-2024-10700</x:v>
      </x:c>
      <x:c r="B701" s="5" t="n">
        <x:v>45454</x:v>
      </x:c>
      <x:c r="C701" s="5" t="n">
        <x:v>45454</x:v>
      </x:c>
      <x:c r="D701" t="str">
        <x:v>CUST-9802</x:v>
      </x:c>
      <x:c r="E701" t="str">
        <x:v>Arjun Bose</x:v>
      </x:c>
      <x:c r="F701" t="str">
        <x:v>Small Business</x:v>
      </x:c>
      <x:c r="G701" t="str">
        <x:v>South</x:v>
      </x:c>
      <x:c r="H701" t="str">
        <x:v>Karnataka</x:v>
      </x:c>
      <x:c r="I701" t="str">
        <x:v>Bengaluru</x:v>
      </x:c>
      <x:c r="J701" t="str">
        <x:v>Furniture</x:v>
      </x:c>
      <x:c r="K701" t="str">
        <x:v>Bookcases</x:v>
      </x:c>
      <x:c r="L701" t="str">
        <x:v>Max Bookcases 565</x:v>
      </x:c>
      <x:c r="M701" t="str">
        <x:v>Standard Class</x:v>
      </x:c>
      <x:c r="N701" t="n">
        <x:v>9</x:v>
      </x:c>
      <x:c r="O701" s="7" t="n">
        <x:v>1400.11</x:v>
      </x:c>
      <x:c r="P701" s="6" t="n">
        <x:v>0.25</x:v>
      </x:c>
      <x:c r="Q701" s="7" t="n">
        <x:v>9450.74</x:v>
      </x:c>
      <x:c r="R701" s="7" t="n">
        <x:v>7798.56</x:v>
      </x:c>
      <x:c r="S701" s="7" t="n">
        <x:v>1652.18</x:v>
      </x:c>
      <x:c r="T701" t="str">
        <x:v>Paid</x:v>
      </x:c>
      <x:c r="U701" t="str">
        <x:v>Completed</x:v>
      </x:c>
      <x:c r="V701" s="6" t="n">
        <x:f>IF(ISBLANK(P701),IF(AND(ISNUMBER(N701),N701&gt;0,ISNUMBER(O701),O701&gt;=0,ISNUMBER(Q701),Q701&gt;=0,ISNUMBER(R701),R701&gt;=0,ISNUMBER(S701)),0,""),P701)</x:f>
        <x:v>0.25</x:v>
      </x:c>
      <x:c r="W701" s="7" t="n">
        <x:f>IF(ISBLANK(V701),"",N701*O701*(1-V701))</x:f>
        <x:v>9450.7425</x:v>
      </x:c>
      <x:c r="X701" s="7" t="n">
        <x:f>IF(OR(ISBLANK(W701),ISBLANK(R701)),"",W701-R701)</x:f>
        <x:v>1652.1825</x:v>
      </x:c>
      <x:c r="Y701" s="8" t="n">
        <x:f>IF(OR(ISBLANK(W701),W701=0),"",X701/W701)</x:f>
        <x:v>0.1748203910962551</x:v>
      </x:c>
      <x:c r="Z701" s="9" t="n">
        <x:f>IF(OR(ISBLANK(B701),ISBLANK(C701)),"",C701-B701)</x:f>
        <x:v>0</x:v>
      </x:c>
      <x:c r="AA701" t="str">
        <x:f>IF(ISBLANK(B701),"",TEXT(B701,"mmm"))</x:f>
        <x:v>Jun</x:v>
      </x:c>
      <x:c r="AB701" s="9" t="n">
        <x:f>IF(ISBLANK(B701),"",YEAR(B701))</x:f>
        <x:v>2024</x:v>
      </x:c>
      <x:c r="AC701" s="10" t="str"/>
      <x:c r="AD701" t="str">
        <x:f>IF(AND(U701="Completed",T701="Paid",ISERROR(SEARCH("INVALID",AC701)),ISERROR(SEARCH("REVIEW",AC701))),"Include","Exclude")</x:f>
        <x:v>Include</x:v>
      </x:c>
      <x:c r="AE701" t="str">
        <x:f>IF(T701="Refunded","Refunded","")</x:f>
      </x:c>
    </x:row>
    <x:row r="702">
      <x:c r="A702" t="str">
        <x:v>ORD-2024-10701</x:v>
      </x:c>
      <x:c r="B702" s="5" t="n">
        <x:v>45553</x:v>
      </x:c>
      <x:c r="C702" s="5" t="n">
        <x:v>45556</x:v>
      </x:c>
      <x:c r="D702" t="str">
        <x:v>CUST-5646</x:v>
      </x:c>
      <x:c r="E702" t="str">
        <x:v>Neha Gupta</x:v>
      </x:c>
      <x:c r="F702" t="str">
        <x:v>Corporate</x:v>
      </x:c>
      <x:c r="G702" t="str">
        <x:v>East</x:v>
      </x:c>
      <x:c r="H702" t="str">
        <x:v>West Bengal</x:v>
      </x:c>
      <x:c r="I702" t="str">
        <x:v>Kolkata</x:v>
      </x:c>
      <x:c r="J702" t="str">
        <x:v>Technology</x:v>
      </x:c>
      <x:c r="K702" t="str">
        <x:v>Machines</x:v>
      </x:c>
      <x:c r="L702" t="str">
        <x:v>Basic Machines 220</x:v>
      </x:c>
      <x:c r="M702" t="str">
        <x:v>Standard Class</x:v>
      </x:c>
      <x:c r="N702" t="n">
        <x:v>3</x:v>
      </x:c>
      <x:c r="O702" s="7" t="n">
        <x:v>3055.9</x:v>
      </x:c>
      <x:c r="P702" s="6" t="n">
        <x:v>0.15</x:v>
      </x:c>
      <x:c r="Q702" s="7" t="n">
        <x:v>7792.55</x:v>
      </x:c>
      <x:c r="R702" s="7" t="n">
        <x:v>4691.73</x:v>
      </x:c>
      <x:c r="S702" s="7" t="n">
        <x:v>3100.82</x:v>
      </x:c>
      <x:c r="T702" t="str">
        <x:v>Paid</x:v>
      </x:c>
      <x:c r="U702" t="str">
        <x:v>Completed</x:v>
      </x:c>
      <x:c r="V702" s="6" t="n">
        <x:f>IF(ISBLANK(P702),IF(AND(ISNUMBER(N702),N702&gt;0,ISNUMBER(O702),O702&gt;=0,ISNUMBER(Q702),Q702&gt;=0,ISNUMBER(R702),R702&gt;=0,ISNUMBER(S702)),0,""),P702)</x:f>
        <x:v>0.15</x:v>
      </x:c>
      <x:c r="W702" s="7" t="n">
        <x:f>IF(ISBLANK(V702),"",N702*O702*(1-V702))</x:f>
        <x:v>7792.545</x:v>
      </x:c>
      <x:c r="X702" s="7" t="n">
        <x:f>IF(OR(ISBLANK(W702),ISBLANK(R702)),"",W702-R702)</x:f>
        <x:v>3100.8150000000005</x:v>
      </x:c>
      <x:c r="Y702" s="8" t="n">
        <x:f>IF(OR(ISBLANK(W702),W702=0),"",X702/W702)</x:f>
        <x:v>0.397920704981492</x:v>
      </x:c>
      <x:c r="Z702" s="9" t="n">
        <x:f>IF(OR(ISBLANK(B702),ISBLANK(C702)),"",C702-B702)</x:f>
        <x:v>3</x:v>
      </x:c>
      <x:c r="AA702" t="str">
        <x:f>IF(ISBLANK(B702),"",TEXT(B702,"mmm"))</x:f>
        <x:v>Sep</x:v>
      </x:c>
      <x:c r="AB702" s="9" t="n">
        <x:f>IF(ISBLANK(B702),"",YEAR(B702))</x:f>
        <x:v>2024</x:v>
      </x:c>
      <x:c r="AC702" s="10" t="str"/>
      <x:c r="AD702" t="str">
        <x:f>IF(AND(U702="Completed",T702="Paid",ISERROR(SEARCH("INVALID",AC702)),ISERROR(SEARCH("REVIEW",AC702))),"Include","Exclude")</x:f>
        <x:v>Include</x:v>
      </x:c>
      <x:c r="AE702" t="str">
        <x:f>IF(T702="Refunded","Refunded","")</x:f>
      </x:c>
    </x:row>
    <x:row r="703">
      <x:c r="A703" t="str">
        <x:v>ORD-2024-10702</x:v>
      </x:c>
      <x:c r="B703" s="5" t="n">
        <x:v>45412</x:v>
      </x:c>
      <x:c r="C703" s="5" t="n">
        <x:v>45416</x:v>
      </x:c>
      <x:c r="D703" t="str">
        <x:v>CUST-7171</x:v>
      </x:c>
      <x:c r="E703" t="str">
        <x:v>Rohan Mehta</x:v>
      </x:c>
      <x:c r="F703" t="str">
        <x:v>Small Business</x:v>
      </x:c>
      <x:c r="G703" t="str">
        <x:v>West</x:v>
      </x:c>
      <x:c r="H703" t="str">
        <x:v>Gujarat</x:v>
      </x:c>
      <x:c r="I703" t="str">
        <x:v>Ahmedabad</x:v>
      </x:c>
      <x:c r="J703" t="str">
        <x:v>Office Supplies</x:v>
      </x:c>
      <x:c r="K703" t="str">
        <x:v>Art</x:v>
      </x:c>
      <x:c r="L703" t="str">
        <x:v>Pro Art 151</x:v>
      </x:c>
      <x:c r="M703" t="str">
        <x:v>Same Day</x:v>
      </x:c>
      <x:c r="N703" t="n">
        <x:v>7</x:v>
      </x:c>
      <x:c r="O703" s="7" t="n">
        <x:v>1224.94</x:v>
      </x:c>
      <x:c r="P703" s="6" t="n">
        <x:v>0</x:v>
      </x:c>
      <x:c r="Q703" s="7" t="n">
        <x:v>8574.58</x:v>
      </x:c>
      <x:c r="R703" s="7" t="n">
        <x:v>6685.81</x:v>
      </x:c>
      <x:c r="S703" s="7" t="n">
        <x:v>1888.77</x:v>
      </x:c>
      <x:c r="T703" t="str">
        <x:v>Paid</x:v>
      </x:c>
      <x:c r="U703" t="str">
        <x:v>Returned</x:v>
      </x:c>
      <x:c r="V703" s="6" t="n">
        <x:f>IF(ISBLANK(P703),IF(AND(ISNUMBER(N703),N703&gt;0,ISNUMBER(O703),O703&gt;=0,ISNUMBER(Q703),Q703&gt;=0,ISNUMBER(R703),R703&gt;=0,ISNUMBER(S703)),0,""),P703)</x:f>
        <x:v>0</x:v>
      </x:c>
      <x:c r="W703" s="7" t="n">
        <x:f>IF(ISBLANK(V703),"",N703*O703*(1-V703))</x:f>
        <x:v>8574.58</x:v>
      </x:c>
      <x:c r="X703" s="7" t="n">
        <x:f>IF(OR(ISBLANK(W703),ISBLANK(R703)),"",W703-R703)</x:f>
        <x:v>1888.7699999999995</x:v>
      </x:c>
      <x:c r="Y703" s="8" t="n">
        <x:f>IF(OR(ISBLANK(W703),W703=0),"",X703/W703)</x:f>
        <x:v>0.22027551203674112</x:v>
      </x:c>
      <x:c r="Z703" s="9" t="n">
        <x:f>IF(OR(ISBLANK(B703),ISBLANK(C703)),"",C703-B703)</x:f>
        <x:v>4</x:v>
      </x:c>
      <x:c r="AA703" t="str">
        <x:f>IF(ISBLANK(B703),"",TEXT(B703,"mmm"))</x:f>
        <x:v>Apr</x:v>
      </x:c>
      <x:c r="AB703" s="9" t="n">
        <x:f>IF(ISBLANK(B703),"",YEAR(B703))</x:f>
        <x:v>2024</x:v>
      </x:c>
      <x:c r="AC703" s="10" t="str"/>
      <x:c r="AD703" t="str">
        <x:f>IF(AND(U703="Completed",T703="Paid",ISERROR(SEARCH("INVALID",AC703)),ISERROR(SEARCH("REVIEW",AC703))),"Include","Exclude")</x:f>
        <x:v>Exclude</x:v>
      </x:c>
      <x:c r="AE703" t="str">
        <x:f>IF(T703="Refunded","Refunded","")</x:f>
      </x:c>
    </x:row>
    <x:row r="704">
      <x:c r="A704" t="str">
        <x:v>ORD-2025-10703</x:v>
      </x:c>
      <x:c r="B704" s="5" t="n">
        <x:v>45690</x:v>
      </x:c>
      <x:c r="C704" s="5" t="n">
        <x:v>45694</x:v>
      </x:c>
      <x:c r="D704" t="str">
        <x:v>CUST-5231</x:v>
      </x:c>
      <x:c r="E704" t="str">
        <x:v>Karan Malhotra</x:v>
      </x:c>
      <x:c r="F704" t="str">
        <x:v>Small Business</x:v>
      </x:c>
      <x:c r="G704" t="str">
        <x:v>West</x:v>
      </x:c>
      <x:c r="H704" t="str">
        <x:v>Rajasthan</x:v>
      </x:c>
      <x:c r="I704" t="str">
        <x:v>Udaipur</x:v>
      </x:c>
      <x:c r="J704" t="str">
        <x:v>Furniture</x:v>
      </x:c>
      <x:c r="K704" t="str">
        <x:v>Tables</x:v>
      </x:c>
      <x:c r="L704" t="str">
        <x:v>Pro Tables 980</x:v>
      </x:c>
      <x:c r="M704" t="str">
        <x:v>Second Class</x:v>
      </x:c>
      <x:c r="N704" t="n">
        <x:v>3</x:v>
      </x:c>
      <x:c r="O704" s="7" t="n">
        <x:v>997.34</x:v>
      </x:c>
      <x:c r="P704" s="6" t="n">
        <x:v>0.1</x:v>
      </x:c>
      <x:c r="Q704" s="7" t="n">
        <x:v>2692.82</x:v>
      </x:c>
      <x:c r="R704" s="7" t="n">
        <x:v>1820.08</x:v>
      </x:c>
      <x:c r="S704" s="7" t="n">
        <x:v>872.74</x:v>
      </x:c>
      <x:c r="T704" t="str">
        <x:v>Paid</x:v>
      </x:c>
      <x:c r="U704" t="str">
        <x:v>Completed</x:v>
      </x:c>
      <x:c r="V704" s="6" t="n">
        <x:f>IF(ISBLANK(P704),IF(AND(ISNUMBER(N704),N704&gt;0,ISNUMBER(O704),O704&gt;=0,ISNUMBER(Q704),Q704&gt;=0,ISNUMBER(R704),R704&gt;=0,ISNUMBER(S704)),0,""),P704)</x:f>
        <x:v>0.1</x:v>
      </x:c>
      <x:c r="W704" s="7" t="n">
        <x:f>IF(ISBLANK(V704),"",N704*O704*(1-V704))</x:f>
        <x:v>2692.818</x:v>
      </x:c>
      <x:c r="X704" s="7" t="n">
        <x:f>IF(OR(ISBLANK(W704),ISBLANK(R704)),"",W704-R704)</x:f>
        <x:v>872.7380000000003</x:v>
      </x:c>
      <x:c r="Y704" s="8" t="n">
        <x:f>IF(OR(ISBLANK(W704),W704=0),"",X704/W704)</x:f>
        <x:v>0.3240983980350697</x:v>
      </x:c>
      <x:c r="Z704" s="9" t="n">
        <x:f>IF(OR(ISBLANK(B704),ISBLANK(C704)),"",C704-B704)</x:f>
        <x:v>4</x:v>
      </x:c>
      <x:c r="AA704" t="str">
        <x:f>IF(ISBLANK(B704),"",TEXT(B704,"mmm"))</x:f>
        <x:v>Feb</x:v>
      </x:c>
      <x:c r="AB704" s="9" t="n">
        <x:f>IF(ISBLANK(B704),"",YEAR(B704))</x:f>
        <x:v>2025</x:v>
      </x:c>
      <x:c r="AC704" s="10" t="str"/>
      <x:c r="AD704" t="str">
        <x:f>IF(AND(U704="Completed",T704="Paid",ISERROR(SEARCH("INVALID",AC704)),ISERROR(SEARCH("REVIEW",AC704))),"Include","Exclude")</x:f>
        <x:v>Include</x:v>
      </x:c>
      <x:c r="AE704" t="str">
        <x:f>IF(T704="Refunded","Refunded","")</x:f>
      </x:c>
    </x:row>
    <x:row r="705">
      <x:c r="A705" t="str">
        <x:v>ORD-2024-10704</x:v>
      </x:c>
      <x:c r="B705" s="5" t="n">
        <x:v>45584</x:v>
      </x:c>
      <x:c r="C705" s="5" t="n">
        <x:v>45585</x:v>
      </x:c>
      <x:c r="D705" t="str">
        <x:v>CUST-8734</x:v>
      </x:c>
      <x:c r="E705" t="str">
        <x:v>Aditi Sen</x:v>
      </x:c>
      <x:c r="F705" t="str">
        <x:v>Corporate</x:v>
      </x:c>
      <x:c r="G705" t="str">
        <x:v>North</x:v>
      </x:c>
      <x:c r="H705" t="str">
        <x:v>Rajasthan</x:v>
      </x:c>
      <x:c r="I705" t="str">
        <x:v>Jaipur</x:v>
      </x:c>
      <x:c r="J705" t="str">
        <x:v>Furniture</x:v>
      </x:c>
      <x:c r="K705" t="str">
        <x:v>Tables</x:v>
      </x:c>
      <x:c r="L705" t="str">
        <x:v>Classic Tables 997</x:v>
      </x:c>
      <x:c r="M705" t="str">
        <x:v>First Class</x:v>
      </x:c>
      <x:c r="N705" t="n">
        <x:v>1</x:v>
      </x:c>
      <x:c r="O705" s="7" t="n">
        <x:v>1150.03</x:v>
      </x:c>
      <x:c r="P705" s="6" t="n">
        <x:v>0.1</x:v>
      </x:c>
      <x:c r="Q705" s="7" t="n">
        <x:v>1035.03</x:v>
      </x:c>
      <x:c r="R705" s="7" t="n">
        <x:v>854.35</x:v>
      </x:c>
      <x:c r="S705" s="7" t="n">
        <x:v>180.68</x:v>
      </x:c>
      <x:c r="T705" t="str">
        <x:v>Paid</x:v>
      </x:c>
      <x:c r="U705" t="str">
        <x:v>Completed</x:v>
      </x:c>
      <x:c r="V705" s="6" t="n">
        <x:f>IF(ISBLANK(P705),IF(AND(ISNUMBER(N705),N705&gt;0,ISNUMBER(O705),O705&gt;=0,ISNUMBER(Q705),Q705&gt;=0,ISNUMBER(R705),R705&gt;=0,ISNUMBER(S705)),0,""),P705)</x:f>
        <x:v>0.1</x:v>
      </x:c>
      <x:c r="W705" s="7" t="n">
        <x:f>IF(ISBLANK(V705),"",N705*O705*(1-V705))</x:f>
        <x:v>1035.027</x:v>
      </x:c>
      <x:c r="X705" s="7" t="n">
        <x:f>IF(OR(ISBLANK(W705),ISBLANK(R705)),"",W705-R705)</x:f>
        <x:v>180.67700000000002</x:v>
      </x:c>
      <x:c r="Y705" s="8" t="n">
        <x:f>IF(OR(ISBLANK(W705),W705=0),"",X705/W705)</x:f>
        <x:v>0.1745625959516032</x:v>
      </x:c>
      <x:c r="Z705" s="9" t="n">
        <x:f>IF(OR(ISBLANK(B705),ISBLANK(C705)),"",C705-B705)</x:f>
        <x:v>1</x:v>
      </x:c>
      <x:c r="AA705" t="str">
        <x:f>IF(ISBLANK(B705),"",TEXT(B705,"mmm"))</x:f>
        <x:v>Oct</x:v>
      </x:c>
      <x:c r="AB705" s="9" t="n">
        <x:f>IF(ISBLANK(B705),"",YEAR(B705))</x:f>
        <x:v>2024</x:v>
      </x:c>
      <x:c r="AC705" s="10" t="str"/>
      <x:c r="AD705" t="str">
        <x:f>IF(AND(U705="Completed",T705="Paid",ISERROR(SEARCH("INVALID",AC705)),ISERROR(SEARCH("REVIEW",AC705))),"Include","Exclude")</x:f>
        <x:v>Include</x:v>
      </x:c>
      <x:c r="AE705" t="str">
        <x:f>IF(T705="Refunded","Refunded","")</x:f>
      </x:c>
    </x:row>
    <x:row r="706">
      <x:c r="A706" t="str">
        <x:v>ORD-2024-10705</x:v>
      </x:c>
      <x:c r="B706" s="5" t="n">
        <x:v>45364</x:v>
      </x:c>
      <x:c r="C706" s="5" t="n">
        <x:v>45371</x:v>
      </x:c>
      <x:c r="D706" t="str">
        <x:v>CUST-4916</x:v>
      </x:c>
      <x:c r="E706" t="str">
        <x:v>Priya Menon</x:v>
      </x:c>
      <x:c r="F706" t="str">
        <x:v>Home Office</x:v>
      </x:c>
      <x:c r="G706" t="str">
        <x:v>South</x:v>
      </x:c>
      <x:c r="H706" t="str">
        <x:v>Tamil Nadu</x:v>
      </x:c>
      <x:c r="I706" t="str">
        <x:v>Chennai</x:v>
      </x:c>
      <x:c r="J706" t="str">
        <x:v>Furniture</x:v>
      </x:c>
      <x:c r="K706" t="str">
        <x:v>Bookcases</x:v>
      </x:c>
      <x:c r="L706" t="str">
        <x:v>Max Bookcases 738</x:v>
      </x:c>
      <x:c r="M706" t="str">
        <x:v>Unknown</x:v>
      </x:c>
      <x:c r="N706" t="n">
        <x:v>1</x:v>
      </x:c>
      <x:c r="O706" s="7" t="n">
        <x:v>2825.63</x:v>
      </x:c>
      <x:c r="P706" s="6" t="n">
        <x:v>0.15</x:v>
      </x:c>
      <x:c r="Q706" s="7" t="n">
        <x:v>2401.79</x:v>
      </x:c>
      <x:c r="R706" s="7" t="n">
        <x:v>1820.34</x:v>
      </x:c>
      <x:c r="S706" s="7" t="n">
        <x:v>581.45</x:v>
      </x:c>
      <x:c r="T706" t="str">
        <x:v>Paid</x:v>
      </x:c>
      <x:c r="U706" t="str">
        <x:v>Completed</x:v>
      </x:c>
      <x:c r="V706" s="6" t="n">
        <x:f>IF(ISBLANK(P706),IF(AND(ISNUMBER(N706),N706&gt;0,ISNUMBER(O706),O706&gt;=0,ISNUMBER(Q706),Q706&gt;=0,ISNUMBER(R706),R706&gt;=0,ISNUMBER(S706)),0,""),P706)</x:f>
        <x:v>0.15</x:v>
      </x:c>
      <x:c r="W706" s="7" t="n">
        <x:f>IF(ISBLANK(V706),"",N706*O706*(1-V706))</x:f>
        <x:v>2401.7855</x:v>
      </x:c>
      <x:c r="X706" s="7" t="n">
        <x:f>IF(OR(ISBLANK(W706),ISBLANK(R706)),"",W706-R706)</x:f>
        <x:v>581.4455</x:v>
      </x:c>
      <x:c r="Y706" s="8" t="n">
        <x:f>IF(OR(ISBLANK(W706),W706=0),"",X706/W706)</x:f>
        <x:v>0.24208885431276025</x:v>
      </x:c>
      <x:c r="Z706" s="9" t="n">
        <x:f>IF(OR(ISBLANK(B706),ISBLANK(C706)),"",C706-B706)</x:f>
        <x:v>7</x:v>
      </x:c>
      <x:c r="AA706" t="str">
        <x:f>IF(ISBLANK(B706),"",TEXT(B706,"mmm"))</x:f>
        <x:v>Mar</x:v>
      </x:c>
      <x:c r="AB706" s="9" t="n">
        <x:f>IF(ISBLANK(B706),"",YEAR(B706))</x:f>
        <x:v>2024</x:v>
      </x:c>
      <x:c r="AC706" s="10" t="str">
        <x:v>FLAG: Missing ship mode filled as Unknown</x:v>
      </x:c>
      <x:c r="AD706" t="str">
        <x:f>IF(AND(U706="Completed",T706="Paid",ISERROR(SEARCH("INVALID",AC706)),ISERROR(SEARCH("REVIEW",AC706))),"Include","Exclude")</x:f>
        <x:v>Include</x:v>
      </x:c>
      <x:c r="AE706" t="str">
        <x:f>IF(T706="Refunded","Refunded","")</x:f>
      </x:c>
    </x:row>
    <x:row r="707">
      <x:c r="A707" t="str">
        <x:v>ORD-2024-10706</x:v>
      </x:c>
      <x:c r="B707" s="5" t="n">
        <x:v>45543</x:v>
      </x:c>
      <x:c r="C707" s="5" t="n">
        <x:v>45549</x:v>
      </x:c>
      <x:c r="D707" t="str">
        <x:v>CUST-3289</x:v>
      </x:c>
      <x:c r="E707" t="str">
        <x:v>Rohan Mehta</x:v>
      </x:c>
      <x:c r="F707" t="str">
        <x:v>Consumer</x:v>
      </x:c>
      <x:c r="G707" t="str">
        <x:v>North</x:v>
      </x:c>
      <x:c r="H707" t="str">
        <x:v>Rajasthan</x:v>
      </x:c>
      <x:c r="I707" t="str">
        <x:v>Jaipur</x:v>
      </x:c>
      <x:c r="J707" t="str">
        <x:v>Office Supplies</x:v>
      </x:c>
      <x:c r="K707" t="str">
        <x:v>Binders</x:v>
      </x:c>
      <x:c r="L707" t="str">
        <x:v>Max Binders 411</x:v>
      </x:c>
      <x:c r="M707" t="str">
        <x:v>Standard Class</x:v>
      </x:c>
      <x:c r="N707" t="n">
        <x:v>5</x:v>
      </x:c>
      <x:c r="O707" s="7" t="n">
        <x:v>3371.75</x:v>
      </x:c>
      <x:c r="P707" s="6" t="n">
        <x:v>0.05</x:v>
      </x:c>
      <x:c r="Q707" s="7" t="n">
        <x:v>16015.81</x:v>
      </x:c>
      <x:c r="R707" s="7" t="n">
        <x:v>11352.38</x:v>
      </x:c>
      <x:c r="S707" s="7" t="n">
        <x:v>4663.43</x:v>
      </x:c>
      <x:c r="T707" t="str">
        <x:v>Paid</x:v>
      </x:c>
      <x:c r="U707" t="str">
        <x:v>Completed</x:v>
      </x:c>
      <x:c r="V707" s="6" t="n">
        <x:f>IF(ISBLANK(P707),IF(AND(ISNUMBER(N707),N707&gt;0,ISNUMBER(O707),O707&gt;=0,ISNUMBER(Q707),Q707&gt;=0,ISNUMBER(R707),R707&gt;=0,ISNUMBER(S707)),0,""),P707)</x:f>
        <x:v>0.05</x:v>
      </x:c>
      <x:c r="W707" s="7" t="n">
        <x:f>IF(ISBLANK(V707),"",N707*O707*(1-V707))</x:f>
        <x:v>16015.8125</x:v>
      </x:c>
      <x:c r="X707" s="7" t="n">
        <x:f>IF(OR(ISBLANK(W707),ISBLANK(R707)),"",W707-R707)</x:f>
        <x:v>4663.432500000001</x:v>
      </x:c>
      <x:c r="Y707" s="8" t="n">
        <x:f>IF(OR(ISBLANK(W707),W707=0),"",X707/W707)</x:f>
        <x:v>0.29117676671102394</x:v>
      </x:c>
      <x:c r="Z707" s="9" t="n">
        <x:f>IF(OR(ISBLANK(B707),ISBLANK(C707)),"",C707-B707)</x:f>
        <x:v>6</x:v>
      </x:c>
      <x:c r="AA707" t="str">
        <x:f>IF(ISBLANK(B707),"",TEXT(B707,"mmm"))</x:f>
        <x:v>Sep</x:v>
      </x:c>
      <x:c r="AB707" s="9" t="n">
        <x:f>IF(ISBLANK(B707),"",YEAR(B707))</x:f>
        <x:v>2024</x:v>
      </x:c>
      <x:c r="AC707" s="10" t="str"/>
      <x:c r="AD707" t="str">
        <x:f>IF(AND(U707="Completed",T707="Paid",ISERROR(SEARCH("INVALID",AC707)),ISERROR(SEARCH("REVIEW",AC707))),"Include","Exclude")</x:f>
        <x:v>Include</x:v>
      </x:c>
      <x:c r="AE707" t="str">
        <x:f>IF(T707="Refunded","Refunded","")</x:f>
      </x:c>
    </x:row>
    <x:row r="708">
      <x:c r="A708" t="str">
        <x:v>ORD-2024-10707</x:v>
      </x:c>
      <x:c r="B708" s="5" t="n">
        <x:v>45467</x:v>
      </x:c>
      <x:c r="C708" s="5" t="n">
        <x:v>45471</x:v>
      </x:c>
      <x:c r="D708" t="str">
        <x:v>CUST-4928</x:v>
      </x:c>
      <x:c r="E708" t="str">
        <x:v>Isha Nair</x:v>
      </x:c>
      <x:c r="F708" t="str">
        <x:v>Small Business</x:v>
      </x:c>
      <x:c r="G708" t="str">
        <x:v>East</x:v>
      </x:c>
      <x:c r="H708" t="str">
        <x:v>Odisha</x:v>
      </x:c>
      <x:c r="I708" t="str">
        <x:v>Bhubaneswar</x:v>
      </x:c>
      <x:c r="J708" t="str">
        <x:v>Office Supplies</x:v>
      </x:c>
      <x:c r="K708" t="str">
        <x:v>Paper</x:v>
      </x:c>
      <x:c r="L708" t="str">
        <x:v>Max Paper 343</x:v>
      </x:c>
      <x:c r="M708" t="str">
        <x:v>Same Day</x:v>
      </x:c>
      <x:c r="N708" t="n">
        <x:v>1</x:v>
      </x:c>
      <x:c r="O708" s="7" t="n">
        <x:v>2112.75</x:v>
      </x:c>
      <x:c r="P708" s="6" t="n">
        <x:v>0.1</x:v>
      </x:c>
      <x:c r="Q708" s="7" t="n">
        <x:v>1901.48</x:v>
      </x:c>
      <x:c r="R708" s="7" t="n">
        <x:v>1354.28</x:v>
      </x:c>
      <x:c r="S708" s="7" t="n">
        <x:v>547.2</x:v>
      </x:c>
      <x:c r="T708" t="str">
        <x:v>Paid</x:v>
      </x:c>
      <x:c r="U708" t="str">
        <x:v>Completed</x:v>
      </x:c>
      <x:c r="V708" s="6" t="n">
        <x:f>IF(ISBLANK(P708),IF(AND(ISNUMBER(N708),N708&gt;0,ISNUMBER(O708),O708&gt;=0,ISNUMBER(Q708),Q708&gt;=0,ISNUMBER(R708),R708&gt;=0,ISNUMBER(S708)),0,""),P708)</x:f>
        <x:v>0.1</x:v>
      </x:c>
      <x:c r="W708" s="7" t="n">
        <x:f>IF(ISBLANK(V708),"",N708*O708*(1-V708))</x:f>
        <x:v>1901.4750000000001</x:v>
      </x:c>
      <x:c r="X708" s="7" t="n">
        <x:f>IF(OR(ISBLANK(W708),ISBLANK(R708)),"",W708-R708)</x:f>
        <x:v>547.1950000000002</x:v>
      </x:c>
      <x:c r="Y708" s="8" t="n">
        <x:f>IF(OR(ISBLANK(W708),W708=0),"",X708/W708)</x:f>
        <x:v>0.2877739649482639</x:v>
      </x:c>
      <x:c r="Z708" s="9" t="n">
        <x:f>IF(OR(ISBLANK(B708),ISBLANK(C708)),"",C708-B708)</x:f>
        <x:v>4</x:v>
      </x:c>
      <x:c r="AA708" t="str">
        <x:f>IF(ISBLANK(B708),"",TEXT(B708,"mmm"))</x:f>
        <x:v>Jun</x:v>
      </x:c>
      <x:c r="AB708" s="9" t="n">
        <x:f>IF(ISBLANK(B708),"",YEAR(B708))</x:f>
        <x:v>2024</x:v>
      </x:c>
      <x:c r="AC708" s="10" t="str"/>
      <x:c r="AD708" t="str">
        <x:f>IF(AND(U708="Completed",T708="Paid",ISERROR(SEARCH("INVALID",AC708)),ISERROR(SEARCH("REVIEW",AC708))),"Include","Exclude")</x:f>
        <x:v>Include</x:v>
      </x:c>
      <x:c r="AE708" t="str">
        <x:f>IF(T708="Refunded","Refunded","")</x:f>
      </x:c>
    </x:row>
    <x:row r="709">
      <x:c r="A709" t="str">
        <x:v>ORD-2025-10708</x:v>
      </x:c>
      <x:c r="B709" s="5" t="n">
        <x:v>45832</x:v>
      </x:c>
      <x:c r="C709" s="5" t="n">
        <x:v>45834</x:v>
      </x:c>
      <x:c r="D709" t="str">
        <x:v>CUST-4902</x:v>
      </x:c>
      <x:c r="E709" t="str">
        <x:v>Vikram Iyer</x:v>
      </x:c>
      <x:c r="F709" t="str">
        <x:v>Consumer</x:v>
      </x:c>
      <x:c r="G709" t="str">
        <x:v>North</x:v>
      </x:c>
      <x:c r="H709" t="str">
        <x:v>Rajasthan</x:v>
      </x:c>
      <x:c r="I709" t="str">
        <x:v>Jaipur</x:v>
      </x:c>
      <x:c r="J709" t="str">
        <x:v>Technology</x:v>
      </x:c>
      <x:c r="K709" t="str">
        <x:v>Accessories</x:v>
      </x:c>
      <x:c r="L709" t="str">
        <x:v>Pro Accessories 485</x:v>
      </x:c>
      <x:c r="M709" t="str">
        <x:v>Same Day</x:v>
      </x:c>
      <x:c r="N709" t="n">
        <x:v>5</x:v>
      </x:c>
      <x:c r="O709" s="7" t="n">
        <x:v>3722.66</x:v>
      </x:c>
      <x:c r="P709" s="6" t="n">
        <x:v>0.55</x:v>
      </x:c>
      <x:c r="Q709" s="7" t="n">
        <x:v>16751.97</x:v>
      </x:c>
      <x:c r="R709" s="7" t="n">
        <x:v>11678.32</x:v>
      </x:c>
      <x:c r="S709" s="7" t="n">
        <x:v>5073.65</x:v>
      </x:c>
      <x:c r="T709" t="str">
        <x:v>Paid</x:v>
      </x:c>
      <x:c r="U709" t="str">
        <x:v>Completed</x:v>
      </x:c>
      <x:c r="V709" s="6" t="n">
        <x:f>IF(ISBLANK(P709),IF(AND(ISNUMBER(N709),N709&gt;0,ISNUMBER(O709),O709&gt;=0,ISNUMBER(Q709),Q709&gt;=0,ISNUMBER(R709),R709&gt;=0,ISNUMBER(S709)),0,""),P709)</x:f>
        <x:v>0.55</x:v>
      </x:c>
      <x:c r="W709" s="7" t="n">
        <x:f>IF(ISBLANK(V709),"",N709*O709*(1-V709))</x:f>
        <x:v>8375.984999999999</x:v>
      </x:c>
      <x:c r="X709" s="7" t="n">
        <x:f>IF(OR(ISBLANK(W709),ISBLANK(R709)),"",W709-R709)</x:f>
        <x:v>-3302.335000000001</x:v>
      </x:c>
      <x:c r="Y709" s="8" t="n">
        <x:f>IF(OR(ISBLANK(W709),W709=0),"",X709/W709)</x:f>
        <x:v>-0.39426228676388525</x:v>
      </x:c>
      <x:c r="Z709" s="9" t="n">
        <x:f>IF(OR(ISBLANK(B709),ISBLANK(C709)),"",C709-B709)</x:f>
        <x:v>2</x:v>
      </x:c>
      <x:c r="AA709" t="str">
        <x:f>IF(ISBLANK(B709),"",TEXT(B709,"mmm"))</x:f>
        <x:v>Jun</x:v>
      </x:c>
      <x:c r="AB709" s="9" t="n">
        <x:f>IF(ISBLANK(B709),"",YEAR(B709))</x:f>
        <x:v>2025</x:v>
      </x:c>
      <x:c r="AC709" s="10" t="str">
        <x:v>INVALID: Discount above allowed range</x:v>
      </x:c>
      <x:c r="AD709" t="str">
        <x:f>IF(AND(U709="Completed",T709="Paid",ISERROR(SEARCH("INVALID",AC709)),ISERROR(SEARCH("REVIEW",AC709))),"Include","Exclude")</x:f>
        <x:v>Exclude</x:v>
      </x:c>
      <x:c r="AE709" t="str">
        <x:f>IF(T709="Refunded","Refunded","")</x:f>
      </x:c>
    </x:row>
    <x:row r="710">
      <x:c r="A710" t="str">
        <x:v>ORD-2025-10709</x:v>
      </x:c>
      <x:c r="B710" s="5" t="n">
        <x:v>45736</x:v>
      </x:c>
      <x:c r="C710" s="5" t="n">
        <x:v>45742</x:v>
      </x:c>
      <x:c r="D710" t="str">
        <x:v>CUST-6504</x:v>
      </x:c>
      <x:c r="E710" t="str">
        <x:v>Sneha Kapoor</x:v>
      </x:c>
      <x:c r="F710" t="str">
        <x:v>Consumer</x:v>
      </x:c>
      <x:c r="G710" t="str">
        <x:v>East</x:v>
      </x:c>
      <x:c r="H710" t="str">
        <x:v>Assam</x:v>
      </x:c>
      <x:c r="I710" t="str">
        <x:v>Guwahati</x:v>
      </x:c>
      <x:c r="J710" t="str">
        <x:v>Furniture</x:v>
      </x:c>
      <x:c r="K710" t="str">
        <x:v>Bookcases</x:v>
      </x:c>
      <x:c r="L710" t="str">
        <x:v>Elite Bookcases 113</x:v>
      </x:c>
      <x:c r="M710" t="str">
        <x:v>First Class</x:v>
      </x:c>
      <x:c r="N710" t="n">
        <x:v>4</x:v>
      </x:c>
      <x:c r="O710" s="7" t="n">
        <x:v>4357.66</x:v>
      </x:c>
      <x:c r="P710" s="6" t="n">
        <x:v>0.05</x:v>
      </x:c>
      <x:c r="Q710" s="7" t="n">
        <x:v>16559.11</x:v>
      </x:c>
      <x:c r="R710" s="7" t="n">
        <x:v>13233.79</x:v>
      </x:c>
      <x:c r="S710" s="7" t="n">
        <x:v>3325.32</x:v>
      </x:c>
      <x:c r="T710" t="str">
        <x:v>Paid</x:v>
      </x:c>
      <x:c r="U710" t="str">
        <x:v>Completed</x:v>
      </x:c>
      <x:c r="V710" s="6" t="n">
        <x:f>IF(ISBLANK(P710),IF(AND(ISNUMBER(N710),N710&gt;0,ISNUMBER(O710),O710&gt;=0,ISNUMBER(Q710),Q710&gt;=0,ISNUMBER(R710),R710&gt;=0,ISNUMBER(S710)),0,""),P710)</x:f>
        <x:v>0.05</x:v>
      </x:c>
      <x:c r="W710" s="7" t="n">
        <x:f>IF(ISBLANK(V710),"",N710*O710*(1-V710))</x:f>
        <x:v>16559.108</x:v>
      </x:c>
      <x:c r="X710" s="7" t="n">
        <x:f>IF(OR(ISBLANK(W710),ISBLANK(R710)),"",W710-R710)</x:f>
        <x:v>3325.3179999999993</x:v>
      </x:c>
      <x:c r="Y710" s="8" t="n">
        <x:f>IF(OR(ISBLANK(W710),W710=0),"",X710/W710)</x:f>
        <x:v>0.20081504390212318</x:v>
      </x:c>
      <x:c r="Z710" s="9" t="n">
        <x:f>IF(OR(ISBLANK(B710),ISBLANK(C710)),"",C710-B710)</x:f>
        <x:v>6</x:v>
      </x:c>
      <x:c r="AA710" t="str">
        <x:f>IF(ISBLANK(B710),"",TEXT(B710,"mmm"))</x:f>
        <x:v>Mar</x:v>
      </x:c>
      <x:c r="AB710" s="9" t="n">
        <x:f>IF(ISBLANK(B710),"",YEAR(B710))</x:f>
        <x:v>2025</x:v>
      </x:c>
      <x:c r="AC710" s="10" t="str"/>
      <x:c r="AD710" t="str">
        <x:f>IF(AND(U710="Completed",T710="Paid",ISERROR(SEARCH("INVALID",AC710)),ISERROR(SEARCH("REVIEW",AC710))),"Include","Exclude")</x:f>
        <x:v>Include</x:v>
      </x:c>
      <x:c r="AE710" t="str">
        <x:f>IF(T710="Refunded","Refunded","")</x:f>
      </x:c>
    </x:row>
    <x:row r="711">
      <x:c r="A711" t="str">
        <x:v>ORD-2025-10710</x:v>
      </x:c>
      <x:c r="B711" s="5" t="n">
        <x:v>45676</x:v>
      </x:c>
      <x:c r="C711" s="5" t="n">
        <x:v>45680</x:v>
      </x:c>
      <x:c r="D711" t="str">
        <x:v>CUST-8036</x:v>
      </x:c>
      <x:c r="E711" t="str">
        <x:v>Kabir Singh</x:v>
      </x:c>
      <x:c r="F711" t="str">
        <x:v>Home Office</x:v>
      </x:c>
      <x:c r="G711" t="str">
        <x:v>North</x:v>
      </x:c>
      <x:c r="H711" t="str">
        <x:v>Punjab</x:v>
      </x:c>
      <x:c r="I711" t="str">
        <x:v>Ludhiana</x:v>
      </x:c>
      <x:c r="J711" t="str">
        <x:v>Technology</x:v>
      </x:c>
      <x:c r="K711" t="str">
        <x:v>Phones</x:v>
      </x:c>
      <x:c r="L711" t="str">
        <x:v>Eco Phones 787</x:v>
      </x:c>
      <x:c r="M711" t="str">
        <x:v>Same Day</x:v>
      </x:c>
      <x:c r="N711" t="n">
        <x:v>7</x:v>
      </x:c>
      <x:c r="O711" s="7" t="n">
        <x:v>1363.04</x:v>
      </x:c>
      <x:c r="P711" s="6" t="n">
        <x:v>0.15</x:v>
      </x:c>
      <x:c r="Q711" s="7" t="n">
        <x:v>8110.09</x:v>
      </x:c>
      <x:c r="R711" s="7" t="n">
        <x:v>6417.32</x:v>
      </x:c>
      <x:c r="S711" s="7" t="n">
        <x:v>1692.77</x:v>
      </x:c>
      <x:c r="T711" t="str">
        <x:v>Paid</x:v>
      </x:c>
      <x:c r="U711" t="str">
        <x:v>Cancelled</x:v>
      </x:c>
      <x:c r="V711" s="6" t="n">
        <x:f>IF(ISBLANK(P711),IF(AND(ISNUMBER(N711),N711&gt;0,ISNUMBER(O711),O711&gt;=0,ISNUMBER(Q711),Q711&gt;=0,ISNUMBER(R711),R711&gt;=0,ISNUMBER(S711)),0,""),P711)</x:f>
        <x:v>0.15</x:v>
      </x:c>
      <x:c r="W711" s="7" t="n">
        <x:f>IF(ISBLANK(V711),"",N711*O711*(1-V711))</x:f>
        <x:v>8110.087999999999</x:v>
      </x:c>
      <x:c r="X711" s="7" t="n">
        <x:f>IF(OR(ISBLANK(W711),ISBLANK(R711)),"",W711-R711)</x:f>
        <x:v>1692.7679999999991</x:v>
      </x:c>
      <x:c r="Y711" s="8" t="n">
        <x:f>IF(OR(ISBLANK(W711),W711=0),"",X711/W711)</x:f>
        <x:v>0.2087237524426368</x:v>
      </x:c>
      <x:c r="Z711" s="9" t="n">
        <x:f>IF(OR(ISBLANK(B711),ISBLANK(C711)),"",C711-B711)</x:f>
        <x:v>4</x:v>
      </x:c>
      <x:c r="AA711" t="str">
        <x:f>IF(ISBLANK(B711),"",TEXT(B711,"mmm"))</x:f>
        <x:v>Jan</x:v>
      </x:c>
      <x:c r="AB711" s="9" t="n">
        <x:f>IF(ISBLANK(B711),"",YEAR(B711))</x:f>
        <x:v>2025</x:v>
      </x:c>
      <x:c r="AC711" s="10" t="str">
        <x:v>EXCLUDE: Cancelled order</x:v>
      </x:c>
      <x:c r="AD711" t="str">
        <x:f>IF(AND(U711="Completed",T711="Paid",ISERROR(SEARCH("INVALID",AC711)),ISERROR(SEARCH("REVIEW",AC711))),"Include","Exclude")</x:f>
        <x:v>Exclude</x:v>
      </x:c>
      <x:c r="AE711" t="str">
        <x:f>IF(T711="Refunded","Refunded","")</x:f>
      </x:c>
    </x:row>
    <x:row r="712">
      <x:c r="A712" t="str">
        <x:v>ORD-2024-10711</x:v>
      </x:c>
      <x:c r="B712" s="5" t="n">
        <x:v>45485</x:v>
      </x:c>
      <x:c r="C712" s="5" t="n">
        <x:v>45492</x:v>
      </x:c>
      <x:c r="D712" t="str">
        <x:v>CUST-7199</x:v>
      </x:c>
      <x:c r="E712" t="str">
        <x:v>Vikram Iyer</x:v>
      </x:c>
      <x:c r="F712" t="str">
        <x:v>Corporate</x:v>
      </x:c>
      <x:c r="G712" t="str">
        <x:v>North</x:v>
      </x:c>
      <x:c r="H712" t="str">
        <x:v>Punjab</x:v>
      </x:c>
      <x:c r="I712" t="str">
        <x:v>Ludhiana</x:v>
      </x:c>
      <x:c r="J712" t="str">
        <x:v>Office Supplies</x:v>
      </x:c>
      <x:c r="K712" t="str">
        <x:v>Art</x:v>
      </x:c>
      <x:c r="L712" t="str">
        <x:v>Smart Art 279</x:v>
      </x:c>
      <x:c r="M712" t="str">
        <x:v>Second Class</x:v>
      </x:c>
      <x:c r="N712" t="n">
        <x:v>5</x:v>
      </x:c>
      <x:c r="O712" s="7" t="n">
        <x:v>1559.16</x:v>
      </x:c>
      <x:c r="P712" s="6" t="n">
        <x:v>0.05</x:v>
      </x:c>
      <x:c r="Q712" s="7" t="n">
        <x:v>7406.01</x:v>
      </x:c>
      <x:c r="R712" s="7" t="n">
        <x:v>5941.74</x:v>
      </x:c>
      <x:c r="S712" s="7" t="n">
        <x:v>1464.27</x:v>
      </x:c>
      <x:c r="T712" t="str">
        <x:v>Paid</x:v>
      </x:c>
      <x:c r="U712" t="str">
        <x:v>Completed</x:v>
      </x:c>
      <x:c r="V712" s="6" t="n">
        <x:f>IF(ISBLANK(P712),IF(AND(ISNUMBER(N712),N712&gt;0,ISNUMBER(O712),O712&gt;=0,ISNUMBER(Q712),Q712&gt;=0,ISNUMBER(R712),R712&gt;=0,ISNUMBER(S712)),0,""),P712)</x:f>
        <x:v>0.05</x:v>
      </x:c>
      <x:c r="W712" s="7" t="n">
        <x:f>IF(ISBLANK(V712),"",N712*O712*(1-V712))</x:f>
        <x:v>7406.01</x:v>
      </x:c>
      <x:c r="X712" s="7" t="n">
        <x:f>IF(OR(ISBLANK(W712),ISBLANK(R712)),"",W712-R712)</x:f>
        <x:v>1464.2700000000004</x:v>
      </x:c>
      <x:c r="Y712" s="8" t="n">
        <x:f>IF(OR(ISBLANK(W712),W712=0),"",X712/W712)</x:f>
        <x:v>0.19771374869869207</x:v>
      </x:c>
      <x:c r="Z712" s="9" t="n">
        <x:f>IF(OR(ISBLANK(B712),ISBLANK(C712)),"",C712-B712)</x:f>
        <x:v>7</x:v>
      </x:c>
      <x:c r="AA712" t="str">
        <x:f>IF(ISBLANK(B712),"",TEXT(B712,"mmm"))</x:f>
        <x:v>Jul</x:v>
      </x:c>
      <x:c r="AB712" s="9" t="n">
        <x:f>IF(ISBLANK(B712),"",YEAR(B712))</x:f>
        <x:v>2024</x:v>
      </x:c>
      <x:c r="AC712" s="10" t="str"/>
      <x:c r="AD712" t="str">
        <x:f>IF(AND(U712="Completed",T712="Paid",ISERROR(SEARCH("INVALID",AC712)),ISERROR(SEARCH("REVIEW",AC712))),"Include","Exclude")</x:f>
        <x:v>Include</x:v>
      </x:c>
      <x:c r="AE712" t="str">
        <x:f>IF(T712="Refunded","Refunded","")</x:f>
      </x:c>
    </x:row>
    <x:row r="713">
      <x:c r="A713" t="str">
        <x:v>ORD-2025-10712</x:v>
      </x:c>
      <x:c r="B713" s="5" t="n">
        <x:v>45690</x:v>
      </x:c>
      <x:c r="C713" s="5" t="n">
        <x:v>45690</x:v>
      </x:c>
      <x:c r="D713" t="str">
        <x:v>CUST-6176</x:v>
      </x:c>
      <x:c r="E713" t="str">
        <x:v>Kabir Singh</x:v>
      </x:c>
      <x:c r="F713" t="str">
        <x:v>Corporate</x:v>
      </x:c>
      <x:c r="G713" t="str">
        <x:v>East</x:v>
      </x:c>
      <x:c r="H713" t="str">
        <x:v>West Bengal</x:v>
      </x:c>
      <x:c r="I713" t="str">
        <x:v>Kolkata</x:v>
      </x:c>
      <x:c r="J713" t="str">
        <x:v>Technology</x:v>
      </x:c>
      <x:c r="K713" t="str">
        <x:v>Machines</x:v>
      </x:c>
      <x:c r="L713" t="str">
        <x:v>Basic Machines 172</x:v>
      </x:c>
      <x:c r="M713" t="str">
        <x:v>First Class</x:v>
      </x:c>
      <x:c r="N713" t="n">
        <x:v>1</x:v>
      </x:c>
      <x:c r="O713" s="7" t="n">
        <x:v>4326.75</x:v>
      </x:c>
      <x:c r="P713" s="6" t="n">
        <x:v>0.05</x:v>
      </x:c>
      <x:c r="Q713" s="7" t="n">
        <x:v>4110.41</x:v>
      </x:c>
      <x:c r="R713" s="7" t="n">
        <x:v>2394.14</x:v>
      </x:c>
      <x:c r="S713" s="7" t="n">
        <x:v>1716.27</x:v>
      </x:c>
      <x:c r="T713" t="str">
        <x:v>Pending</x:v>
      </x:c>
      <x:c r="U713" t="str">
        <x:v>Returned</x:v>
      </x:c>
      <x:c r="V713" s="6" t="n">
        <x:f>IF(ISBLANK(P713),IF(AND(ISNUMBER(N713),N713&gt;0,ISNUMBER(O713),O713&gt;=0,ISNUMBER(Q713),Q713&gt;=0,ISNUMBER(R713),R713&gt;=0,ISNUMBER(S713)),0,""),P713)</x:f>
        <x:v>0.05</x:v>
      </x:c>
      <x:c r="W713" s="7" t="n">
        <x:f>IF(ISBLANK(V713),"",N713*O713*(1-V713))</x:f>
        <x:v>4110.412499999999</x:v>
      </x:c>
      <x:c r="X713" s="7" t="n">
        <x:f>IF(OR(ISBLANK(W713),ISBLANK(R713)),"",W713-R713)</x:f>
        <x:v>1716.2724999999996</x:v>
      </x:c>
      <x:c r="Y713" s="8" t="n">
        <x:f>IF(OR(ISBLANK(W713),W713=0),"",X713/W713)</x:f>
        <x:v>0.41754264322619683</x:v>
      </x:c>
      <x:c r="Z713" s="9" t="n">
        <x:f>IF(OR(ISBLANK(B713),ISBLANK(C713)),"",C713-B713)</x:f>
        <x:v>0</x:v>
      </x:c>
      <x:c r="AA713" t="str">
        <x:f>IF(ISBLANK(B713),"",TEXT(B713,"mmm"))</x:f>
        <x:v>Feb</x:v>
      </x:c>
      <x:c r="AB713" s="9" t="n">
        <x:f>IF(ISBLANK(B713),"",YEAR(B713))</x:f>
        <x:v>2025</x:v>
      </x:c>
      <x:c r="AC713" s="10" t="str"/>
      <x:c r="AD713" t="str">
        <x:f>IF(AND(U713="Completed",T713="Paid",ISERROR(SEARCH("INVALID",AC713)),ISERROR(SEARCH("REVIEW",AC713))),"Include","Exclude")</x:f>
        <x:v>Exclude</x:v>
      </x:c>
      <x:c r="AE713" t="str">
        <x:f>IF(T713="Refunded","Refunded","")</x:f>
      </x:c>
    </x:row>
    <x:row r="714">
      <x:c r="A714" t="str">
        <x:v>ORD-2024-10713</x:v>
      </x:c>
      <x:c r="B714" s="5" t="n">
        <x:v>45332</x:v>
      </x:c>
      <x:c r="C714" s="5" t="n">
        <x:v>45340</x:v>
      </x:c>
      <x:c r="D714" t="str">
        <x:v>CUST-5127</x:v>
      </x:c>
      <x:c r="E714" t="str">
        <x:v>Isha Nair</x:v>
      </x:c>
      <x:c r="F714" t="str">
        <x:v>Home Office</x:v>
      </x:c>
      <x:c r="G714" t="str">
        <x:v>West</x:v>
      </x:c>
      <x:c r="H714" t="str">
        <x:v>Madhya Pradesh</x:v>
      </x:c>
      <x:c r="I714" t="str">
        <x:v>Indore</x:v>
      </x:c>
      <x:c r="J714" t="str">
        <x:v>Furniture</x:v>
      </x:c>
      <x:c r="K714" t="str">
        <x:v>Chairs</x:v>
      </x:c>
      <x:c r="L714" t="str">
        <x:v>Smart Chairs 259</x:v>
      </x:c>
      <x:c r="M714" t="str">
        <x:v>First Class</x:v>
      </x:c>
      <x:c r="N714" t="n">
        <x:v>7</x:v>
      </x:c>
      <x:c r="O714" s="7" t="n">
        <x:v>1382.86</x:v>
      </x:c>
      <x:c r="P714" s="6" t="n">
        <x:v>0</x:v>
      </x:c>
      <x:c r="Q714" s="7" t="n">
        <x:v>9680.02</x:v>
      </x:c>
      <x:c r="R714" s="7" t="n">
        <x:v>6876.66</x:v>
      </x:c>
      <x:c r="S714" s="7" t="n">
        <x:v>2803.36</x:v>
      </x:c>
      <x:c r="T714" t="str">
        <x:v>Paid</x:v>
      </x:c>
      <x:c r="U714" t="str">
        <x:v>Completed</x:v>
      </x:c>
      <x:c r="V714" s="6" t="n">
        <x:f>IF(ISBLANK(P714),IF(AND(ISNUMBER(N714),N714&gt;0,ISNUMBER(O714),O714&gt;=0,ISNUMBER(Q714),Q714&gt;=0,ISNUMBER(R714),R714&gt;=0,ISNUMBER(S714)),0,""),P714)</x:f>
        <x:v>0</x:v>
      </x:c>
      <x:c r="W714" s="7" t="n">
        <x:f>IF(ISBLANK(V714),"",N714*O714*(1-V714))</x:f>
        <x:v>9680.019999999999</x:v>
      </x:c>
      <x:c r="X714" s="7" t="n">
        <x:f>IF(OR(ISBLANK(W714),ISBLANK(R714)),"",W714-R714)</x:f>
        <x:v>2803.3599999999988</x:v>
      </x:c>
      <x:c r="Y714" s="8" t="n">
        <x:f>IF(OR(ISBLANK(W714),W714=0),"",X714/W714)</x:f>
        <x:v>0.28960270743242256</x:v>
      </x:c>
      <x:c r="Z714" s="9" t="n">
        <x:f>IF(OR(ISBLANK(B714),ISBLANK(C714)),"",C714-B714)</x:f>
        <x:v>8</x:v>
      </x:c>
      <x:c r="AA714" t="str">
        <x:f>IF(ISBLANK(B714),"",TEXT(B714,"mmm"))</x:f>
        <x:v>Feb</x:v>
      </x:c>
      <x:c r="AB714" s="9" t="n">
        <x:f>IF(ISBLANK(B714),"",YEAR(B714))</x:f>
        <x:v>2024</x:v>
      </x:c>
      <x:c r="AC714" s="10" t="str"/>
      <x:c r="AD714" t="str">
        <x:f>IF(AND(U714="Completed",T714="Paid",ISERROR(SEARCH("INVALID",AC714)),ISERROR(SEARCH("REVIEW",AC714))),"Include","Exclude")</x:f>
        <x:v>Include</x:v>
      </x:c>
      <x:c r="AE714" t="str">
        <x:f>IF(T714="Refunded","Refunded","")</x:f>
      </x:c>
    </x:row>
    <x:row r="715">
      <x:c r="A715" t="str">
        <x:v>ORD-2025-10714</x:v>
      </x:c>
      <x:c r="B715" s="5" t="n">
        <x:v>45814</x:v>
      </x:c>
      <x:c r="C715" s="5" t="n">
        <x:v>45818</x:v>
      </x:c>
      <x:c r="D715" t="str">
        <x:v>CUST-2548</x:v>
      </x:c>
      <x:c r="E715" t="str">
        <x:v>Mira Das</x:v>
      </x:c>
      <x:c r="F715" t="str">
        <x:v>Consumer</x:v>
      </x:c>
      <x:c r="G715" t="str">
        <x:v>West</x:v>
      </x:c>
      <x:c r="H715" t="str">
        <x:v>Rajasthan</x:v>
      </x:c>
      <x:c r="I715" t="str">
        <x:v>Udaipur</x:v>
      </x:c>
      <x:c r="J715" t="str">
        <x:v>Technology</x:v>
      </x:c>
      <x:c r="K715" t="str">
        <x:v>Machines</x:v>
      </x:c>
      <x:c r="L715" t="str">
        <x:v>Pro Machines 987</x:v>
      </x:c>
      <x:c r="M715" t="str">
        <x:v>Second Class</x:v>
      </x:c>
      <x:c r="N715" t="n">
        <x:v>1</x:v>
      </x:c>
      <x:c r="O715" s="7" t="n">
        <x:v>289.97</x:v>
      </x:c>
      <x:c r="P715" s="6" t="n">
        <x:v>0.25</x:v>
      </x:c>
      <x:c r="Q715" s="7" t="n">
        <x:v>217.48</x:v>
      </x:c>
      <x:c r="R715" s="7" t="n">
        <x:v>132.13</x:v>
      </x:c>
      <x:c r="S715" s="7" t="n">
        <x:v>85.35</x:v>
      </x:c>
      <x:c r="T715" t="str">
        <x:v>Paid</x:v>
      </x:c>
      <x:c r="U715" t="str">
        <x:v>Completed</x:v>
      </x:c>
      <x:c r="V715" s="6" t="n">
        <x:f>IF(ISBLANK(P715),IF(AND(ISNUMBER(N715),N715&gt;0,ISNUMBER(O715),O715&gt;=0,ISNUMBER(Q715),Q715&gt;=0,ISNUMBER(R715),R715&gt;=0,ISNUMBER(S715)),0,""),P715)</x:f>
        <x:v>0.25</x:v>
      </x:c>
      <x:c r="W715" s="7" t="n">
        <x:f>IF(ISBLANK(V715),"",N715*O715*(1-V715))</x:f>
        <x:v>217.47750000000002</x:v>
      </x:c>
      <x:c r="X715" s="7" t="n">
        <x:f>IF(OR(ISBLANK(W715),ISBLANK(R715)),"",W715-R715)</x:f>
        <x:v>85.34750000000003</x:v>
      </x:c>
      <x:c r="Y715" s="8" t="n">
        <x:f>IF(OR(ISBLANK(W715),W715=0),"",X715/W715)</x:f>
        <x:v>0.3924428963915808</x:v>
      </x:c>
      <x:c r="Z715" s="9" t="n">
        <x:f>IF(OR(ISBLANK(B715),ISBLANK(C715)),"",C715-B715)</x:f>
        <x:v>4</x:v>
      </x:c>
      <x:c r="AA715" t="str">
        <x:f>IF(ISBLANK(B715),"",TEXT(B715,"mmm"))</x:f>
        <x:v>Jun</x:v>
      </x:c>
      <x:c r="AB715" s="9" t="n">
        <x:f>IF(ISBLANK(B715),"",YEAR(B715))</x:f>
        <x:v>2025</x:v>
      </x:c>
      <x:c r="AC715" s="10" t="str"/>
      <x:c r="AD715" t="str">
        <x:f>IF(AND(U715="Completed",T715="Paid",ISERROR(SEARCH("INVALID",AC715)),ISERROR(SEARCH("REVIEW",AC715))),"Include","Exclude")</x:f>
        <x:v>Include</x:v>
      </x:c>
      <x:c r="AE715" t="str">
        <x:f>IF(T715="Refunded","Refunded","")</x:f>
      </x:c>
    </x:row>
    <x:row r="716">
      <x:c r="A716" t="str">
        <x:v>ORD-2025-10715</x:v>
      </x:c>
      <x:c r="B716" s="5" t="n">
        <x:v>45738</x:v>
      </x:c>
      <x:c r="C716" s="5" t="n">
        <x:v>45739</x:v>
      </x:c>
      <x:c r="D716" t="str">
        <x:v>CUST-9902</x:v>
      </x:c>
      <x:c r="E716" t="str">
        <x:v>Karan Malhotra</x:v>
      </x:c>
      <x:c r="F716" t="str">
        <x:v>Home Office</x:v>
      </x:c>
      <x:c r="G716" t="str">
        <x:v>North</x:v>
      </x:c>
      <x:c r="H716" t="str">
        <x:v>Delhi</x:v>
      </x:c>
      <x:c r="I716" t="str">
        <x:v>New Delhi</x:v>
      </x:c>
      <x:c r="J716" t="str">
        <x:v>Technology</x:v>
      </x:c>
      <x:c r="K716" t="str">
        <x:v>Copiers</x:v>
      </x:c>
      <x:c r="L716" t="str">
        <x:v>Pro Copiers 206</x:v>
      </x:c>
      <x:c r="M716" t="str">
        <x:v>Standard Class</x:v>
      </x:c>
      <x:c r="N716" t="n">
        <x:v>9</x:v>
      </x:c>
      <x:c r="O716" s="7" t="n">
        <x:v>2075.02</x:v>
      </x:c>
      <x:c r="P716" s="6" t="n">
        <x:v>0</x:v>
      </x:c>
      <x:c r="Q716" s="7" t="n">
        <x:v>18675.18</x:v>
      </x:c>
      <x:c r="R716" s="7" t="n">
        <x:v>13974.7</x:v>
      </x:c>
      <x:c r="S716" s="7" t="n">
        <x:v>4700.48</x:v>
      </x:c>
      <x:c r="T716" t="str">
        <x:v>Paid</x:v>
      </x:c>
      <x:c r="U716" t="str">
        <x:v>Completed</x:v>
      </x:c>
      <x:c r="V716" s="6" t="n">
        <x:f>IF(ISBLANK(P716),IF(AND(ISNUMBER(N716),N716&gt;0,ISNUMBER(O716),O716&gt;=0,ISNUMBER(Q716),Q716&gt;=0,ISNUMBER(R716),R716&gt;=0,ISNUMBER(S716)),0,""),P716)</x:f>
        <x:v>0</x:v>
      </x:c>
      <x:c r="W716" s="7" t="n">
        <x:f>IF(ISBLANK(V716),"",N716*O716*(1-V716))</x:f>
        <x:v>18675.18</x:v>
      </x:c>
      <x:c r="X716" s="7" t="n">
        <x:f>IF(OR(ISBLANK(W716),ISBLANK(R716)),"",W716-R716)</x:f>
        <x:v>4700.48</x:v>
      </x:c>
      <x:c r="Y716" s="8" t="n">
        <x:f>IF(OR(ISBLANK(W716),W716=0),"",X716/W716)</x:f>
        <x:v>0.2516966369266588</x:v>
      </x:c>
      <x:c r="Z716" s="9" t="n">
        <x:f>IF(OR(ISBLANK(B716),ISBLANK(C716)),"",C716-B716)</x:f>
        <x:v>1</x:v>
      </x:c>
      <x:c r="AA716" t="str">
        <x:f>IF(ISBLANK(B716),"",TEXT(B716,"mmm"))</x:f>
        <x:v>Mar</x:v>
      </x:c>
      <x:c r="AB716" s="9" t="n">
        <x:f>IF(ISBLANK(B716),"",YEAR(B716))</x:f>
        <x:v>2025</x:v>
      </x:c>
      <x:c r="AC716" s="10" t="str"/>
      <x:c r="AD716" t="str">
        <x:f>IF(AND(U716="Completed",T716="Paid",ISERROR(SEARCH("INVALID",AC716)),ISERROR(SEARCH("REVIEW",AC716))),"Include","Exclude")</x:f>
        <x:v>Include</x:v>
      </x:c>
      <x:c r="AE716" t="str">
        <x:f>IF(T716="Refunded","Refunded","")</x:f>
      </x:c>
    </x:row>
    <x:row r="717">
      <x:c r="A717" t="str">
        <x:v>ORD-2025-10716</x:v>
      </x:c>
      <x:c r="B717" s="5" t="n">
        <x:v>45891</x:v>
      </x:c>
      <x:c r="C717" s="5" t="n">
        <x:v>45896</x:v>
      </x:c>
      <x:c r="D717" t="str">
        <x:v>CUST-7446</x:v>
      </x:c>
      <x:c r="E717" t="str">
        <x:v>Priya Menon</x:v>
      </x:c>
      <x:c r="F717" t="str">
        <x:v>Consumer</x:v>
      </x:c>
      <x:c r="G717" t="str">
        <x:v>North</x:v>
      </x:c>
      <x:c r="H717" t="str">
        <x:v>Haryana</x:v>
      </x:c>
      <x:c r="I717" t="str">
        <x:v>Gurugram</x:v>
      </x:c>
      <x:c r="J717" t="str">
        <x:v>Furniture</x:v>
      </x:c>
      <x:c r="K717" t="str">
        <x:v>Chairs</x:v>
      </x:c>
      <x:c r="L717" t="str">
        <x:v>Max Chairs 372</x:v>
      </x:c>
      <x:c r="M717" t="str">
        <x:v>Second Class</x:v>
      </x:c>
      <x:c r="N717" t="n">
        <x:v>7</x:v>
      </x:c>
      <x:c r="O717" s="7" t="n">
        <x:v>2843.09</x:v>
      </x:c>
      <x:c r="P717" s="6" t="n">
        <x:v>0</x:v>
      </x:c>
      <x:c r="Q717" s="7" t="n">
        <x:v>19901.63</x:v>
      </x:c>
      <x:c r="R717" s="7" t="n">
        <x:v>15492.03</x:v>
      </x:c>
      <x:c r="S717" s="7" t="n">
        <x:v>4409.6</x:v>
      </x:c>
      <x:c r="T717" t="str">
        <x:v>Refunded</x:v>
      </x:c>
      <x:c r="U717" t="str">
        <x:v>Cancelled</x:v>
      </x:c>
      <x:c r="V717" s="6" t="n">
        <x:f>IF(ISBLANK(P717),IF(AND(ISNUMBER(N717),N717&gt;0,ISNUMBER(O717),O717&gt;=0,ISNUMBER(Q717),Q717&gt;=0,ISNUMBER(R717),R717&gt;=0,ISNUMBER(S717)),0,""),P717)</x:f>
        <x:v>0</x:v>
      </x:c>
      <x:c r="W717" s="7" t="n">
        <x:f>IF(ISBLANK(V717),"",N717*O717*(1-V717))</x:f>
        <x:v>19901.63</x:v>
      </x:c>
      <x:c r="X717" s="7" t="n">
        <x:f>IF(OR(ISBLANK(W717),ISBLANK(R717)),"",W717-R717)</x:f>
        <x:v>4409.6</x:v>
      </x:c>
      <x:c r="Y717" s="8" t="n">
        <x:f>IF(OR(ISBLANK(W717),W717=0),"",X717/W717)</x:f>
        <x:v>0.2215697910171177</x:v>
      </x:c>
      <x:c r="Z717" s="9" t="n">
        <x:f>IF(OR(ISBLANK(B717),ISBLANK(C717)),"",C717-B717)</x:f>
        <x:v>5</x:v>
      </x:c>
      <x:c r="AA717" t="str">
        <x:f>IF(ISBLANK(B717),"",TEXT(B717,"mmm"))</x:f>
        <x:v>Aug</x:v>
      </x:c>
      <x:c r="AB717" s="9" t="n">
        <x:f>IF(ISBLANK(B717),"",YEAR(B717))</x:f>
        <x:v>2025</x:v>
      </x:c>
      <x:c r="AC717" s="10" t="str">
        <x:v>EXCLUDE: Cancelled order; REFUND: Summarize separately</x:v>
      </x:c>
      <x:c r="AD717" t="str">
        <x:f>IF(AND(U717="Completed",T717="Paid",ISERROR(SEARCH("INVALID",AC717)),ISERROR(SEARCH("REVIEW",AC717))),"Include","Exclude")</x:f>
        <x:v>Exclude</x:v>
      </x:c>
      <x:c r="AE717" t="str">
        <x:f>IF(T717="Refunded","Refunded","")</x:f>
        <x:v>Refunded</x:v>
      </x:c>
    </x:row>
    <x:row r="718">
      <x:c r="A718" t="str">
        <x:v>ORD-2025-10717</x:v>
      </x:c>
      <x:c r="B718" s="5" t="n">
        <x:v>45895</x:v>
      </x:c>
      <x:c r="C718" s="5" t="n">
        <x:v>45900</x:v>
      </x:c>
      <x:c r="D718" t="str">
        <x:v>CUST-7540</x:v>
      </x:c>
      <x:c r="E718" t="str">
        <x:v>Diya Patel</x:v>
      </x:c>
      <x:c r="F718" t="str">
        <x:v>Small Business</x:v>
      </x:c>
      <x:c r="G718" t="str">
        <x:v>North</x:v>
      </x:c>
      <x:c r="H718" t="str">
        <x:v>Haryana</x:v>
      </x:c>
      <x:c r="I718" t="str">
        <x:v>Gurugram</x:v>
      </x:c>
      <x:c r="J718" t="str">
        <x:v>Technology</x:v>
      </x:c>
      <x:c r="K718" t="str">
        <x:v>Phones</x:v>
      </x:c>
      <x:c r="L718" t="str">
        <x:v>Basic Phones 496</x:v>
      </x:c>
      <x:c r="M718" t="str">
        <x:v>First Class</x:v>
      </x:c>
      <x:c r="N718" t="n">
        <x:v>1</x:v>
      </x:c>
      <x:c r="O718" s="7" t="n">
        <x:v>3388.02</x:v>
      </x:c>
      <x:c r="P718" s="6" t="n">
        <x:v>0.15</x:v>
      </x:c>
      <x:c r="Q718" s="7" t="n">
        <x:v>2879.82</x:v>
      </x:c>
      <x:c r="R718" s="7" t="n">
        <x:v>1824.88</x:v>
      </x:c>
      <x:c r="S718" s="7" t="n">
        <x:v>1054.94</x:v>
      </x:c>
      <x:c r="T718" t="str">
        <x:v>Paid</x:v>
      </x:c>
      <x:c r="U718" t="str">
        <x:v>Completed</x:v>
      </x:c>
      <x:c r="V718" s="6" t="n">
        <x:f>IF(ISBLANK(P718),IF(AND(ISNUMBER(N718),N718&gt;0,ISNUMBER(O718),O718&gt;=0,ISNUMBER(Q718),Q718&gt;=0,ISNUMBER(R718),R718&gt;=0,ISNUMBER(S718)),0,""),P718)</x:f>
        <x:v>0.15</x:v>
      </x:c>
      <x:c r="W718" s="7" t="n">
        <x:f>IF(ISBLANK(V718),"",N718*O718*(1-V718))</x:f>
        <x:v>2879.817</x:v>
      </x:c>
      <x:c r="X718" s="7" t="n">
        <x:f>IF(OR(ISBLANK(W718),ISBLANK(R718)),"",W718-R718)</x:f>
        <x:v>1054.937</x:v>
      </x:c>
      <x:c r="Y718" s="8" t="n">
        <x:f>IF(OR(ISBLANK(W718),W718=0),"",X718/W718)</x:f>
        <x:v>0.3663208460815392</x:v>
      </x:c>
      <x:c r="Z718" s="9" t="n">
        <x:f>IF(OR(ISBLANK(B718),ISBLANK(C718)),"",C718-B718)</x:f>
        <x:v>5</x:v>
      </x:c>
      <x:c r="AA718" t="str">
        <x:f>IF(ISBLANK(B718),"",TEXT(B718,"mmm"))</x:f>
        <x:v>Aug</x:v>
      </x:c>
      <x:c r="AB718" s="9" t="n">
        <x:f>IF(ISBLANK(B718),"",YEAR(B718))</x:f>
        <x:v>2025</x:v>
      </x:c>
      <x:c r="AC718" s="10" t="str"/>
      <x:c r="AD718" t="str">
        <x:f>IF(AND(U718="Completed",T718="Paid",ISERROR(SEARCH("INVALID",AC718)),ISERROR(SEARCH("REVIEW",AC718))),"Include","Exclude")</x:f>
        <x:v>Include</x:v>
      </x:c>
      <x:c r="AE718" t="str">
        <x:f>IF(T718="Refunded","Refunded","")</x:f>
      </x:c>
    </x:row>
    <x:row r="719">
      <x:c r="A719" t="str">
        <x:v>ORD-2025-10718</x:v>
      </x:c>
      <x:c r="B719" s="5" t="n">
        <x:v>45942</x:v>
      </x:c>
      <x:c r="C719" s="5" t="n">
        <x:v>45945</x:v>
      </x:c>
      <x:c r="D719" t="str">
        <x:v>CUST-8351</x:v>
      </x:c>
      <x:c r="E719" t="str">
        <x:v>Kabir Singh</x:v>
      </x:c>
      <x:c r="F719" t="str">
        <x:v>Small Business</x:v>
      </x:c>
      <x:c r="G719" t="str">
        <x:v>North</x:v>
      </x:c>
      <x:c r="H719" t="str">
        <x:v>Haryana</x:v>
      </x:c>
      <x:c r="I719" t="str">
        <x:v>Gurugram</x:v>
      </x:c>
      <x:c r="J719" t="str">
        <x:v>Technology</x:v>
      </x:c>
      <x:c r="K719" t="str">
        <x:v>Machines</x:v>
      </x:c>
      <x:c r="L719" t="str">
        <x:v>Prime Machines 612</x:v>
      </x:c>
      <x:c r="M719" t="str">
        <x:v>Standard Class</x:v>
      </x:c>
      <x:c r="N719" t="n">
        <x:v>9</x:v>
      </x:c>
      <x:c r="O719" s="7" t="n">
        <x:v>2598.92</x:v>
      </x:c>
      <x:c r="P719" s="6" t="n">
        <x:v>0.2</x:v>
      </x:c>
      <x:c r="Q719" s="7" t="n">
        <x:v>18712.22</x:v>
      </x:c>
      <x:c r="R719" s="7" t="n">
        <x:v>11852.22</x:v>
      </x:c>
      <x:c r="S719" s="7" t="n">
        <x:v>6860</x:v>
      </x:c>
      <x:c r="T719" t="str">
        <x:v>Pending</x:v>
      </x:c>
      <x:c r="U719" t="str">
        <x:v>Cancelled</x:v>
      </x:c>
      <x:c r="V719" s="6" t="n">
        <x:f>IF(ISBLANK(P719),IF(AND(ISNUMBER(N719),N719&gt;0,ISNUMBER(O719),O719&gt;=0,ISNUMBER(Q719),Q719&gt;=0,ISNUMBER(R719),R719&gt;=0,ISNUMBER(S719)),0,""),P719)</x:f>
        <x:v>0.2</x:v>
      </x:c>
      <x:c r="W719" s="7" t="n">
        <x:f>IF(ISBLANK(V719),"",N719*O719*(1-V719))</x:f>
        <x:v>18712.224</x:v>
      </x:c>
      <x:c r="X719" s="7" t="n">
        <x:f>IF(OR(ISBLANK(W719),ISBLANK(R719)),"",W719-R719)</x:f>
        <x:v>6860.003999999999</x:v>
      </x:c>
      <x:c r="Y719" s="8" t="n">
        <x:f>IF(OR(ISBLANK(W719),W719=0),"",X719/W719)</x:f>
        <x:v>0.3666054874075898</x:v>
      </x:c>
      <x:c r="Z719" s="9" t="n">
        <x:f>IF(OR(ISBLANK(B719),ISBLANK(C719)),"",C719-B719)</x:f>
        <x:v>3</x:v>
      </x:c>
      <x:c r="AA719" t="str">
        <x:f>IF(ISBLANK(B719),"",TEXT(B719,"mmm"))</x:f>
        <x:v>Oct</x:v>
      </x:c>
      <x:c r="AB719" s="9" t="n">
        <x:f>IF(ISBLANK(B719),"",YEAR(B719))</x:f>
        <x:v>2025</x:v>
      </x:c>
      <x:c r="AC719" s="10" t="str">
        <x:v>EXCLUDE: Cancelled order</x:v>
      </x:c>
      <x:c r="AD719" t="str">
        <x:f>IF(AND(U719="Completed",T719="Paid",ISERROR(SEARCH("INVALID",AC719)),ISERROR(SEARCH("REVIEW",AC719))),"Include","Exclude")</x:f>
        <x:v>Exclude</x:v>
      </x:c>
      <x:c r="AE719" t="str">
        <x:f>IF(T719="Refunded","Refunded","")</x:f>
      </x:c>
    </x:row>
    <x:row r="720">
      <x:c r="A720" t="str">
        <x:v>ORD-2024-10719</x:v>
      </x:c>
      <x:c r="B720" s="5" t="n">
        <x:v>45541</x:v>
      </x:c>
      <x:c r="C720" s="5" t="n">
        <x:v>45544</x:v>
      </x:c>
      <x:c r="D720" t="str">
        <x:v>CUST-3918</x:v>
      </x:c>
      <x:c r="E720" t="str">
        <x:v>Mira Das</x:v>
      </x:c>
      <x:c r="F720" t="str">
        <x:v>Consumer</x:v>
      </x:c>
      <x:c r="G720" t="str">
        <x:v>West</x:v>
      </x:c>
      <x:c r="H720" t="str">
        <x:v>Maharashtra</x:v>
      </x:c>
      <x:c r="I720" t="str">
        <x:v>Mumbai</x:v>
      </x:c>
      <x:c r="J720" t="str">
        <x:v>Office Supplies</x:v>
      </x:c>
      <x:c r="K720" t="str">
        <x:v>Art</x:v>
      </x:c>
      <x:c r="L720" t="str">
        <x:v>Smart Art 866</x:v>
      </x:c>
      <x:c r="M720" t="str">
        <x:v>Same Day</x:v>
      </x:c>
      <x:c r="N720" t="n">
        <x:v>3</x:v>
      </x:c>
      <x:c r="O720" s="7" t="n">
        <x:v>1972.27</x:v>
      </x:c>
      <x:c r="P720" s="6" t="n">
        <x:v>0.2</x:v>
      </x:c>
      <x:c r="Q720" s="7" t="n">
        <x:v>4733.45</x:v>
      </x:c>
      <x:c r="R720" s="7" t="n">
        <x:v>3672.32</x:v>
      </x:c>
      <x:c r="S720" s="7" t="n">
        <x:v>1061.13</x:v>
      </x:c>
      <x:c r="T720" t="str">
        <x:v>Paid</x:v>
      </x:c>
      <x:c r="U720" t="str">
        <x:v>Completed</x:v>
      </x:c>
      <x:c r="V720" s="6" t="n">
        <x:f>IF(ISBLANK(P720),IF(AND(ISNUMBER(N720),N720&gt;0,ISNUMBER(O720),O720&gt;=0,ISNUMBER(Q720),Q720&gt;=0,ISNUMBER(R720),R720&gt;=0,ISNUMBER(S720)),0,""),P720)</x:f>
        <x:v>0.2</x:v>
      </x:c>
      <x:c r="W720" s="7" t="n">
        <x:f>IF(ISBLANK(V720),"",N720*O720*(1-V720))</x:f>
        <x:v>4733.447999999999</x:v>
      </x:c>
      <x:c r="X720" s="7" t="n">
        <x:f>IF(OR(ISBLANK(W720),ISBLANK(R720)),"",W720-R720)</x:f>
        <x:v>1061.1279999999992</x:v>
      </x:c>
      <x:c r="Y720" s="8" t="n">
        <x:f>IF(OR(ISBLANK(W720),W720=0),"",X720/W720)</x:f>
        <x:v>0.22417654107534282</x:v>
      </x:c>
      <x:c r="Z720" s="9" t="n">
        <x:f>IF(OR(ISBLANK(B720),ISBLANK(C720)),"",C720-B720)</x:f>
        <x:v>3</x:v>
      </x:c>
      <x:c r="AA720" t="str">
        <x:f>IF(ISBLANK(B720),"",TEXT(B720,"mmm"))</x:f>
        <x:v>Sep</x:v>
      </x:c>
      <x:c r="AB720" s="9" t="n">
        <x:f>IF(ISBLANK(B720),"",YEAR(B720))</x:f>
        <x:v>2024</x:v>
      </x:c>
      <x:c r="AC720" s="10" t="str"/>
      <x:c r="AD720" t="str">
        <x:f>IF(AND(U720="Completed",T720="Paid",ISERROR(SEARCH("INVALID",AC720)),ISERROR(SEARCH("REVIEW",AC720))),"Include","Exclude")</x:f>
        <x:v>Include</x:v>
      </x:c>
      <x:c r="AE720" t="str">
        <x:f>IF(T720="Refunded","Refunded","")</x:f>
      </x:c>
    </x:row>
    <x:row r="721">
      <x:c r="A721" t="str">
        <x:v>ORD-2025-10720</x:v>
      </x:c>
      <x:c r="B721" s="5" t="n">
        <x:v>45908</x:v>
      </x:c>
      <x:c r="C721" s="5" t="n">
        <x:v>45909</x:v>
      </x:c>
      <x:c r="D721" t="str">
        <x:v>CUST-3190</x:v>
      </x:c>
      <x:c r="E721" t="str">
        <x:v>Kabir Singh</x:v>
      </x:c>
      <x:c r="F721" t="str">
        <x:v>Corporate</x:v>
      </x:c>
      <x:c r="G721" t="str">
        <x:v>West</x:v>
      </x:c>
      <x:c r="H721" t="str">
        <x:v>Gujarat</x:v>
      </x:c>
      <x:c r="I721" t="str">
        <x:v>Ahmedabad</x:v>
      </x:c>
      <x:c r="J721" t="str">
        <x:v>Office Supplies</x:v>
      </x:c>
      <x:c r="K721" t="str">
        <x:v>Art</x:v>
      </x:c>
      <x:c r="L721" t="str">
        <x:v>Pro Art 447</x:v>
      </x:c>
      <x:c r="M721" t="str">
        <x:v>Same Day</x:v>
      </x:c>
      <x:c r="N721" t="n">
        <x:v>2</x:v>
      </x:c>
      <x:c r="O721" s="7" t="n">
        <x:v>2372.41</x:v>
      </x:c>
      <x:c r="P721" s="6" t="n">
        <x:v>0.2</x:v>
      </x:c>
      <x:c r="Q721" s="7" t="n">
        <x:v>3795.86</x:v>
      </x:c>
      <x:c r="R721" s="7" t="n">
        <x:v>2264.92</x:v>
      </x:c>
      <x:c r="S721" s="7" t="n">
        <x:v>1530.94</x:v>
      </x:c>
      <x:c r="T721" t="str">
        <x:v>Paid</x:v>
      </x:c>
      <x:c r="U721" t="str">
        <x:v>Completed</x:v>
      </x:c>
      <x:c r="V721" s="6" t="n">
        <x:f>IF(ISBLANK(P721),IF(AND(ISNUMBER(N721),N721&gt;0,ISNUMBER(O721),O721&gt;=0,ISNUMBER(Q721),Q721&gt;=0,ISNUMBER(R721),R721&gt;=0,ISNUMBER(S721)),0,""),P721)</x:f>
        <x:v>0.2</x:v>
      </x:c>
      <x:c r="W721" s="7" t="n">
        <x:f>IF(ISBLANK(V721),"",N721*O721*(1-V721))</x:f>
        <x:v>3795.8559999999998</x:v>
      </x:c>
      <x:c r="X721" s="7" t="n">
        <x:f>IF(OR(ISBLANK(W721),ISBLANK(R721)),"",W721-R721)</x:f>
        <x:v>1530.9359999999997</x:v>
      </x:c>
      <x:c r="Y721" s="8" t="n">
        <x:f>IF(OR(ISBLANK(W721),W721=0),"",X721/W721)</x:f>
        <x:v>0.4033177233277553</x:v>
      </x:c>
      <x:c r="Z721" s="9" t="n">
        <x:f>IF(OR(ISBLANK(B721),ISBLANK(C721)),"",C721-B721)</x:f>
        <x:v>1</x:v>
      </x:c>
      <x:c r="AA721" t="str">
        <x:f>IF(ISBLANK(B721),"",TEXT(B721,"mmm"))</x:f>
        <x:v>Sep</x:v>
      </x:c>
      <x:c r="AB721" s="9" t="n">
        <x:f>IF(ISBLANK(B721),"",YEAR(B721))</x:f>
        <x:v>2025</x:v>
      </x:c>
      <x:c r="AC721" s="10" t="str"/>
      <x:c r="AD721" t="str">
        <x:f>IF(AND(U721="Completed",T721="Paid",ISERROR(SEARCH("INVALID",AC721)),ISERROR(SEARCH("REVIEW",AC721))),"Include","Exclude")</x:f>
        <x:v>Include</x:v>
      </x:c>
      <x:c r="AE721" t="str">
        <x:f>IF(T721="Refunded","Refunded","")</x:f>
      </x:c>
    </x:row>
    <x:row r="722">
      <x:c r="A722" t="str">
        <x:v>ORD-2024-10721</x:v>
      </x:c>
      <x:c r="B722" s="5" t="n">
        <x:v>45489</x:v>
      </x:c>
      <x:c r="C722" s="5" t="n">
        <x:v>45489</x:v>
      </x:c>
      <x:c r="D722" t="str">
        <x:v>CUST-1991</x:v>
      </x:c>
      <x:c r="E722" t="str">
        <x:v>Aditi Sen</x:v>
      </x:c>
      <x:c r="F722" t="str">
        <x:v>Home Office</x:v>
      </x:c>
      <x:c r="G722" t="str">
        <x:v>West</x:v>
      </x:c>
      <x:c r="H722" t="str">
        <x:v>Madhya Pradesh</x:v>
      </x:c>
      <x:c r="I722" t="str">
        <x:v>Indore</x:v>
      </x:c>
      <x:c r="J722" t="str">
        <x:v>Technology</x:v>
      </x:c>
      <x:c r="K722" t="str">
        <x:v>Copiers</x:v>
      </x:c>
      <x:c r="L722" t="str">
        <x:v>Smart Copiers 196</x:v>
      </x:c>
      <x:c r="M722" t="str">
        <x:v>Same Day</x:v>
      </x:c>
      <x:c r="N722" t="n">
        <x:v>4</x:v>
      </x:c>
      <x:c r="O722" s="7" t="n">
        <x:v>4479.92</x:v>
      </x:c>
      <x:c r="P722" s="6" t="n">
        <x:v>0.15</x:v>
      </x:c>
      <x:c r="Q722" s="7" t="n">
        <x:v>15231.73</x:v>
      </x:c>
      <x:c r="R722" s="7" t="n">
        <x:v>12451.46</x:v>
      </x:c>
      <x:c r="S722" s="7" t="n">
        <x:v>2780.27</x:v>
      </x:c>
      <x:c r="T722" t="str">
        <x:v>Paid</x:v>
      </x:c>
      <x:c r="U722" t="str">
        <x:v>Completed</x:v>
      </x:c>
      <x:c r="V722" s="6" t="n">
        <x:f>IF(ISBLANK(P722),IF(AND(ISNUMBER(N722),N722&gt;0,ISNUMBER(O722),O722&gt;=0,ISNUMBER(Q722),Q722&gt;=0,ISNUMBER(R722),R722&gt;=0,ISNUMBER(S722)),0,""),P722)</x:f>
        <x:v>0.15</x:v>
      </x:c>
      <x:c r="W722" s="7" t="n">
        <x:f>IF(ISBLANK(V722),"",N722*O722*(1-V722))</x:f>
        <x:v>15231.728</x:v>
      </x:c>
      <x:c r="X722" s="7" t="n">
        <x:f>IF(OR(ISBLANK(W722),ISBLANK(R722)),"",W722-R722)</x:f>
        <x:v>2780.268</x:v>
      </x:c>
      <x:c r="Y722" s="8" t="n">
        <x:f>IF(OR(ISBLANK(W722),W722=0),"",X722/W722)</x:f>
        <x:v>0.1825313582280356</x:v>
      </x:c>
      <x:c r="Z722" s="9" t="n">
        <x:f>IF(OR(ISBLANK(B722),ISBLANK(C722)),"",C722-B722)</x:f>
        <x:v>0</x:v>
      </x:c>
      <x:c r="AA722" t="str">
        <x:f>IF(ISBLANK(B722),"",TEXT(B722,"mmm"))</x:f>
        <x:v>Jul</x:v>
      </x:c>
      <x:c r="AB722" s="9" t="n">
        <x:f>IF(ISBLANK(B722),"",YEAR(B722))</x:f>
        <x:v>2024</x:v>
      </x:c>
      <x:c r="AC722" s="10" t="str"/>
      <x:c r="AD722" t="str">
        <x:f>IF(AND(U722="Completed",T722="Paid",ISERROR(SEARCH("INVALID",AC722)),ISERROR(SEARCH("REVIEW",AC722))),"Include","Exclude")</x:f>
        <x:v>Include</x:v>
      </x:c>
      <x:c r="AE722" t="str">
        <x:f>IF(T722="Refunded","Refunded","")</x:f>
      </x:c>
    </x:row>
    <x:row r="723">
      <x:c r="A723" t="str">
        <x:v>ORD-2025-10722</x:v>
      </x:c>
      <x:c r="B723" s="5" t="n">
        <x:v>45827</x:v>
      </x:c>
      <x:c r="C723" s="5" t="n">
        <x:v>45831</x:v>
      </x:c>
      <x:c r="D723" t="str">
        <x:v>CUST-7606</x:v>
      </x:c>
      <x:c r="E723" t="str">
        <x:v>Sneha Kapoor</x:v>
      </x:c>
      <x:c r="F723" t="str">
        <x:v>Consumer</x:v>
      </x:c>
      <x:c r="G723" t="str">
        <x:v>South</x:v>
      </x:c>
      <x:c r="H723" t="str">
        <x:v>Karnataka</x:v>
      </x:c>
      <x:c r="I723" t="str">
        <x:v>Bengaluru</x:v>
      </x:c>
      <x:c r="J723" t="str">
        <x:v>Technology</x:v>
      </x:c>
      <x:c r="K723" t="str">
        <x:v>Copiers</x:v>
      </x:c>
      <x:c r="L723" t="str">
        <x:v>Pro Copiers 532</x:v>
      </x:c>
      <x:c r="M723" t="str">
        <x:v>First Class</x:v>
      </x:c>
      <x:c r="N723" t="n">
        <x:v>5</x:v>
      </x:c>
      <x:c r="O723" s="7" t="n">
        <x:v>2729.95</x:v>
      </x:c>
      <x:c r="P723" s="6" t="n">
        <x:v>0</x:v>
      </x:c>
      <x:c r="Q723" s="7" t="n">
        <x:v>13649.75</x:v>
      </x:c>
      <x:c r="R723" s="7" t="n">
        <x:v>10288.03</x:v>
      </x:c>
      <x:c r="S723" s="7" t="n">
        <x:v>3361.72</x:v>
      </x:c>
      <x:c r="T723" t="str">
        <x:v>Paid</x:v>
      </x:c>
      <x:c r="U723" t="str">
        <x:v>Completed</x:v>
      </x:c>
      <x:c r="V723" s="6" t="n">
        <x:f>IF(ISBLANK(P723),IF(AND(ISNUMBER(N723),N723&gt;0,ISNUMBER(O723),O723&gt;=0,ISNUMBER(Q723),Q723&gt;=0,ISNUMBER(R723),R723&gt;=0,ISNUMBER(S723)),0,""),P723)</x:f>
        <x:v>0</x:v>
      </x:c>
      <x:c r="W723" s="7" t="n">
        <x:f>IF(ISBLANK(V723),"",N723*O723*(1-V723))</x:f>
        <x:v>13649.75</x:v>
      </x:c>
      <x:c r="X723" s="7" t="n">
        <x:f>IF(OR(ISBLANK(W723),ISBLANK(R723)),"",W723-R723)</x:f>
        <x:v>3361.7199999999993</x:v>
      </x:c>
      <x:c r="Y723" s="8" t="n">
        <x:f>IF(OR(ISBLANK(W723),W723=0),"",X723/W723)</x:f>
        <x:v>0.24628436418249414</x:v>
      </x:c>
      <x:c r="Z723" s="9" t="n">
        <x:f>IF(OR(ISBLANK(B723),ISBLANK(C723)),"",C723-B723)</x:f>
        <x:v>4</x:v>
      </x:c>
      <x:c r="AA723" t="str">
        <x:f>IF(ISBLANK(B723),"",TEXT(B723,"mmm"))</x:f>
        <x:v>Jun</x:v>
      </x:c>
      <x:c r="AB723" s="9" t="n">
        <x:f>IF(ISBLANK(B723),"",YEAR(B723))</x:f>
        <x:v>2025</x:v>
      </x:c>
      <x:c r="AC723" s="10" t="str"/>
      <x:c r="AD723" t="str">
        <x:f>IF(AND(U723="Completed",T723="Paid",ISERROR(SEARCH("INVALID",AC723)),ISERROR(SEARCH("REVIEW",AC723))),"Include","Exclude")</x:f>
        <x:v>Include</x:v>
      </x:c>
      <x:c r="AE723" t="str">
        <x:f>IF(T723="Refunded","Refunded","")</x:f>
      </x:c>
    </x:row>
    <x:row r="724">
      <x:c r="A724" t="str">
        <x:v>ORD-2024-10723</x:v>
      </x:c>
      <x:c r="B724" s="5" t="n">
        <x:v>45572</x:v>
      </x:c>
      <x:c r="C724" s="5" t="n">
        <x:v>45575</x:v>
      </x:c>
      <x:c r="D724" t="str">
        <x:v>CUST-8844</x:v>
      </x:c>
      <x:c r="E724" t="str">
        <x:v>Vikram Iyer</x:v>
      </x:c>
      <x:c r="F724" t="str">
        <x:v>Consumer</x:v>
      </x:c>
      <x:c r="G724" t="str">
        <x:v>East</x:v>
      </x:c>
      <x:c r="H724" t="str">
        <x:v>West Bengal</x:v>
      </x:c>
      <x:c r="I724" t="str">
        <x:v>Kolkata</x:v>
      </x:c>
      <x:c r="J724" t="str">
        <x:v>Furniture</x:v>
      </x:c>
      <x:c r="K724" t="str">
        <x:v>Chairs</x:v>
      </x:c>
      <x:c r="L724" t="str">
        <x:v>Eco Chairs 442</x:v>
      </x:c>
      <x:c r="M724" t="str">
        <x:v>Second Class</x:v>
      </x:c>
      <x:c r="N724" t="n">
        <x:v>9</x:v>
      </x:c>
      <x:c r="O724" s="7" t="n">
        <x:v>481.51</x:v>
      </x:c>
      <x:c r="P724" s="6"/>
      <x:c r="Q724" s="7" t="n">
        <x:v>4333.59</x:v>
      </x:c>
      <x:c r="R724" s="7" t="n">
        <x:v>2533.59</x:v>
      </x:c>
      <x:c r="S724" s="7" t="n">
        <x:v>1800</x:v>
      </x:c>
      <x:c r="T724" t="str">
        <x:v>Refunded</x:v>
      </x:c>
      <x:c r="U724" t="str">
        <x:v>Cancelled</x:v>
      </x:c>
      <x:c r="V724" s="6" t="n">
        <x:f>IF(ISBLANK(P724),IF(AND(ISNUMBER(N724),N724&gt;0,ISNUMBER(O724),O724&gt;=0,ISNUMBER(Q724),Q724&gt;=0,ISNUMBER(R724),R724&gt;=0,ISNUMBER(S724)),0,""),P724)</x:f>
        <x:v>0</x:v>
      </x:c>
      <x:c r="W724" s="7" t="n">
        <x:f>IF(ISBLANK(V724),"",N724*O724*(1-V724))</x:f>
        <x:v>4333.59</x:v>
      </x:c>
      <x:c r="X724" s="7" t="n">
        <x:f>IF(OR(ISBLANK(W724),ISBLANK(R724)),"",W724-R724)</x:f>
        <x:v>1800</x:v>
      </x:c>
      <x:c r="Y724" s="8" t="n">
        <x:f>IF(OR(ISBLANK(W724),W724=0),"",X724/W724)</x:f>
        <x:v>0.4153600132915204</x:v>
      </x:c>
      <x:c r="Z724" s="9" t="n">
        <x:f>IF(OR(ISBLANK(B724),ISBLANK(C724)),"",C724-B724)</x:f>
        <x:v>3</x:v>
      </x:c>
      <x:c r="AA724" t="str">
        <x:f>IF(ISBLANK(B724),"",TEXT(B724,"mmm"))</x:f>
        <x:v>Oct</x:v>
      </x:c>
      <x:c r="AB724" s="9" t="n">
        <x:f>IF(ISBLANK(B724),"",YEAR(B724))</x:f>
        <x:v>2024</x:v>
      </x:c>
      <x:c r="AC724" s="10" t="str">
        <x:v>FLAG: Missing discount treated as 0; EXCLUDE: Cancelled order; REFUND: Summarize separately</x:v>
      </x:c>
      <x:c r="AD724" t="str">
        <x:f>IF(AND(U724="Completed",T724="Paid",ISERROR(SEARCH("INVALID",AC724)),ISERROR(SEARCH("REVIEW",AC724))),"Include","Exclude")</x:f>
        <x:v>Exclude</x:v>
      </x:c>
      <x:c r="AE724" t="str">
        <x:f>IF(T724="Refunded","Refunded","")</x:f>
        <x:v>Refunded</x:v>
      </x:c>
    </x:row>
    <x:row r="725">
      <x:c r="A725" t="str">
        <x:v>ORD-2025-10724</x:v>
      </x:c>
      <x:c r="B725" s="5" t="n">
        <x:v>45936</x:v>
      </x:c>
      <x:c r="C725" s="5" t="n">
        <x:v>45943</x:v>
      </x:c>
      <x:c r="D725" t="str">
        <x:v>CUST-4335</x:v>
      </x:c>
      <x:c r="E725" t="str">
        <x:v>Kabir Singh</x:v>
      </x:c>
      <x:c r="F725" t="str">
        <x:v>Home Office</x:v>
      </x:c>
      <x:c r="G725" t="str">
        <x:v>East</x:v>
      </x:c>
      <x:c r="H725" t="str">
        <x:v>Jharkhand</x:v>
      </x:c>
      <x:c r="I725" t="str">
        <x:v>Ranchi</x:v>
      </x:c>
      <x:c r="J725" t="str">
        <x:v>Technology</x:v>
      </x:c>
      <x:c r="K725" t="str">
        <x:v>Accessories</x:v>
      </x:c>
      <x:c r="L725" t="str">
        <x:v>Eco Accessories 364</x:v>
      </x:c>
      <x:c r="M725" t="str">
        <x:v>Standard Class</x:v>
      </x:c>
      <x:c r="N725" t="n">
        <x:v>6</x:v>
      </x:c>
      <x:c r="O725" s="7" t="n">
        <x:v>2391.93</x:v>
      </x:c>
      <x:c r="P725" s="6" t="n">
        <x:v>0.05</x:v>
      </x:c>
      <x:c r="Q725" s="7" t="n">
        <x:v>13634</x:v>
      </x:c>
      <x:c r="R725" s="7" t="n">
        <x:v>9589.81</x:v>
      </x:c>
      <x:c r="S725" s="7" t="n">
        <x:v>4044.19</x:v>
      </x:c>
      <x:c r="T725" t="str">
        <x:v>Failed</x:v>
      </x:c>
      <x:c r="U725" t="str">
        <x:v>Returned</x:v>
      </x:c>
      <x:c r="V725" s="6" t="n">
        <x:f>IF(ISBLANK(P725),IF(AND(ISNUMBER(N725),N725&gt;0,ISNUMBER(O725),O725&gt;=0,ISNUMBER(Q725),Q725&gt;=0,ISNUMBER(R725),R725&gt;=0,ISNUMBER(S725)),0,""),P725)</x:f>
        <x:v>0.05</x:v>
      </x:c>
      <x:c r="W725" s="7" t="n">
        <x:f>IF(ISBLANK(V725),"",N725*O725*(1-V725))</x:f>
        <x:v>13634.000999999998</x:v>
      </x:c>
      <x:c r="X725" s="7" t="n">
        <x:f>IF(OR(ISBLANK(W725),ISBLANK(R725)),"",W725-R725)</x:f>
        <x:v>4044.190999999999</x:v>
      </x:c>
      <x:c r="Y725" s="8" t="n">
        <x:f>IF(OR(ISBLANK(W725),W725=0),"",X725/W725)</x:f>
        <x:v>0.29662539998346776</x:v>
      </x:c>
      <x:c r="Z725" s="9" t="n">
        <x:f>IF(OR(ISBLANK(B725),ISBLANK(C725)),"",C725-B725)</x:f>
        <x:v>7</x:v>
      </x:c>
      <x:c r="AA725" t="str">
        <x:f>IF(ISBLANK(B725),"",TEXT(B725,"mmm"))</x:f>
        <x:v>Oct</x:v>
      </x:c>
      <x:c r="AB725" s="9" t="n">
        <x:f>IF(ISBLANK(B725),"",YEAR(B725))</x:f>
        <x:v>2025</x:v>
      </x:c>
      <x:c r="AC725" s="10" t="str">
        <x:v>EXCLUDE: Failed payment</x:v>
      </x:c>
      <x:c r="AD725" t="str">
        <x:f>IF(AND(U725="Completed",T725="Paid",ISERROR(SEARCH("INVALID",AC725)),ISERROR(SEARCH("REVIEW",AC725))),"Include","Exclude")</x:f>
        <x:v>Exclude</x:v>
      </x:c>
      <x:c r="AE725" t="str">
        <x:f>IF(T725="Refunded","Refunded","")</x:f>
      </x:c>
    </x:row>
    <x:row r="726">
      <x:c r="A726" t="str">
        <x:v>ORD-2024-10725</x:v>
      </x:c>
      <x:c r="B726" s="5" t="n">
        <x:v>45332</x:v>
      </x:c>
      <x:c r="C726" s="5" t="n">
        <x:v>45338</x:v>
      </x:c>
      <x:c r="D726" t="str">
        <x:v>CUST-5891</x:v>
      </x:c>
      <x:c r="E726" t="str">
        <x:v>Karan Malhotra</x:v>
      </x:c>
      <x:c r="F726" t="str">
        <x:v>Consumer</x:v>
      </x:c>
      <x:c r="G726" t="str">
        <x:v>West</x:v>
      </x:c>
      <x:c r="H726" t="str">
        <x:v>Goa</x:v>
      </x:c>
      <x:c r="I726" t="str">
        <x:v>Panaji</x:v>
      </x:c>
      <x:c r="J726" t="str">
        <x:v>Furniture</x:v>
      </x:c>
      <x:c r="K726" t="str">
        <x:v>Furnishings</x:v>
      </x:c>
      <x:c r="L726" t="str">
        <x:v>Elite Furnishings 921</x:v>
      </x:c>
      <x:c r="M726" t="str">
        <x:v>Second Class</x:v>
      </x:c>
      <x:c r="N726" t="n">
        <x:v>3</x:v>
      </x:c>
      <x:c r="O726" s="7" t="n">
        <x:v>253.43</x:v>
      </x:c>
      <x:c r="P726" s="6" t="n">
        <x:v>0</x:v>
      </x:c>
      <x:c r="Q726" s="7" t="n">
        <x:v>760.29</x:v>
      </x:c>
      <x:c r="R726" s="7" t="n">
        <x:v>497.77</x:v>
      </x:c>
      <x:c r="S726" s="7" t="n">
        <x:v>262.52</x:v>
      </x:c>
      <x:c r="T726" t="str">
        <x:v>Paid</x:v>
      </x:c>
      <x:c r="U726" t="str">
        <x:v>Completed</x:v>
      </x:c>
      <x:c r="V726" s="6" t="n">
        <x:f>IF(ISBLANK(P726),IF(AND(ISNUMBER(N726),N726&gt;0,ISNUMBER(O726),O726&gt;=0,ISNUMBER(Q726),Q726&gt;=0,ISNUMBER(R726),R726&gt;=0,ISNUMBER(S726)),0,""),P726)</x:f>
        <x:v>0</x:v>
      </x:c>
      <x:c r="W726" s="7" t="n">
        <x:f>IF(ISBLANK(V726),"",N726*O726*(1-V726))</x:f>
        <x:v>760.29</x:v>
      </x:c>
      <x:c r="X726" s="7" t="n">
        <x:f>IF(OR(ISBLANK(W726),ISBLANK(R726)),"",W726-R726)</x:f>
        <x:v>262.52</x:v>
      </x:c>
      <x:c r="Y726" s="8" t="n">
        <x:f>IF(OR(ISBLANK(W726),W726=0),"",X726/W726)</x:f>
        <x:v>0.34528929750489945</x:v>
      </x:c>
      <x:c r="Z726" s="9" t="n">
        <x:f>IF(OR(ISBLANK(B726),ISBLANK(C726)),"",C726-B726)</x:f>
        <x:v>6</x:v>
      </x:c>
      <x:c r="AA726" t="str">
        <x:f>IF(ISBLANK(B726),"",TEXT(B726,"mmm"))</x:f>
        <x:v>Feb</x:v>
      </x:c>
      <x:c r="AB726" s="9" t="n">
        <x:f>IF(ISBLANK(B726),"",YEAR(B726))</x:f>
        <x:v>2024</x:v>
      </x:c>
      <x:c r="AC726" s="10" t="str"/>
      <x:c r="AD726" t="str">
        <x:f>IF(AND(U726="Completed",T726="Paid",ISERROR(SEARCH("INVALID",AC726)),ISERROR(SEARCH("REVIEW",AC726))),"Include","Exclude")</x:f>
        <x:v>Include</x:v>
      </x:c>
      <x:c r="AE726" t="str">
        <x:f>IF(T726="Refunded","Refunded","")</x:f>
      </x:c>
    </x:row>
    <x:row r="727">
      <x:c r="A727" t="str">
        <x:v>ORD-2025-10726</x:v>
      </x:c>
      <x:c r="B727" s="5" t="n">
        <x:v>45935</x:v>
      </x:c>
      <x:c r="C727" s="5" t="n">
        <x:v>45942</x:v>
      </x:c>
      <x:c r="D727" t="str">
        <x:v>CUST-6371</x:v>
      </x:c>
      <x:c r="E727" t="str">
        <x:v>Priya Menon</x:v>
      </x:c>
      <x:c r="F727" t="str">
        <x:v>Corporate</x:v>
      </x:c>
      <x:c r="G727" t="str">
        <x:v>South</x:v>
      </x:c>
      <x:c r="H727" t="str">
        <x:v>Karnataka</x:v>
      </x:c>
      <x:c r="I727" t="str">
        <x:v>Bengaluru</x:v>
      </x:c>
      <x:c r="J727" t="str">
        <x:v>Furniture</x:v>
      </x:c>
      <x:c r="K727" t="str">
        <x:v>Tables</x:v>
      </x:c>
      <x:c r="L727" t="str">
        <x:v>Max Tables 309</x:v>
      </x:c>
      <x:c r="M727" t="str">
        <x:v>Second Class</x:v>
      </x:c>
      <x:c r="N727" t="n">
        <x:v>7</x:v>
      </x:c>
      <x:c r="O727" s="7" t="n">
        <x:v>2134.73</x:v>
      </x:c>
      <x:c r="P727" s="6" t="n">
        <x:v>0</x:v>
      </x:c>
      <x:c r="Q727" s="7" t="n">
        <x:v>14943.11</x:v>
      </x:c>
      <x:c r="R727" s="7" t="n">
        <x:v>8521.5</x:v>
      </x:c>
      <x:c r="S727" s="7" t="n">
        <x:v>6421.61</x:v>
      </x:c>
      <x:c r="T727" t="str">
        <x:v>Paid</x:v>
      </x:c>
      <x:c r="U727" t="str">
        <x:v>Completed</x:v>
      </x:c>
      <x:c r="V727" s="6" t="n">
        <x:f>IF(ISBLANK(P727),IF(AND(ISNUMBER(N727),N727&gt;0,ISNUMBER(O727),O727&gt;=0,ISNUMBER(Q727),Q727&gt;=0,ISNUMBER(R727),R727&gt;=0,ISNUMBER(S727)),0,""),P727)</x:f>
        <x:v>0</x:v>
      </x:c>
      <x:c r="W727" s="7" t="n">
        <x:f>IF(ISBLANK(V727),"",N727*O727*(1-V727))</x:f>
        <x:v>14943.11</x:v>
      </x:c>
      <x:c r="X727" s="7" t="n">
        <x:f>IF(OR(ISBLANK(W727),ISBLANK(R727)),"",W727-R727)</x:f>
        <x:v>6421.610000000001</x:v>
      </x:c>
      <x:c r="Y727" s="8" t="n">
        <x:f>IF(OR(ISBLANK(W727),W727=0),"",X727/W727)</x:f>
        <x:v>0.4297371832235726</x:v>
      </x:c>
      <x:c r="Z727" s="9" t="n">
        <x:f>IF(OR(ISBLANK(B727),ISBLANK(C727)),"",C727-B727)</x:f>
        <x:v>7</x:v>
      </x:c>
      <x:c r="AA727" t="str">
        <x:f>IF(ISBLANK(B727),"",TEXT(B727,"mmm"))</x:f>
        <x:v>Oct</x:v>
      </x:c>
      <x:c r="AB727" s="9" t="n">
        <x:f>IF(ISBLANK(B727),"",YEAR(B727))</x:f>
        <x:v>2025</x:v>
      </x:c>
      <x:c r="AC727" s="10" t="str"/>
      <x:c r="AD727" t="str">
        <x:f>IF(AND(U727="Completed",T727="Paid",ISERROR(SEARCH("INVALID",AC727)),ISERROR(SEARCH("REVIEW",AC727))),"Include","Exclude")</x:f>
        <x:v>Include</x:v>
      </x:c>
      <x:c r="AE727" t="str">
        <x:f>IF(T727="Refunded","Refunded","")</x:f>
      </x:c>
    </x:row>
    <x:row r="728">
      <x:c r="A728" t="str">
        <x:v>ORD-2024-10727</x:v>
      </x:c>
      <x:c r="B728" s="5" t="n">
        <x:v>45308</x:v>
      </x:c>
      <x:c r="C728" s="5" t="n">
        <x:v>45314</x:v>
      </x:c>
      <x:c r="D728" t="str">
        <x:v>CUST-6655</x:v>
      </x:c>
      <x:c r="E728" t="str">
        <x:v>Kabir Singh</x:v>
      </x:c>
      <x:c r="F728" t="str">
        <x:v>Home Office</x:v>
      </x:c>
      <x:c r="G728" t="str">
        <x:v>West</x:v>
      </x:c>
      <x:c r="H728" t="str">
        <x:v>Gujarat</x:v>
      </x:c>
      <x:c r="I728" t="str">
        <x:v>Ahmedabad</x:v>
      </x:c>
      <x:c r="J728" t="str">
        <x:v>Technology</x:v>
      </x:c>
      <x:c r="K728" t="str">
        <x:v>Phones</x:v>
      </x:c>
      <x:c r="L728" t="str">
        <x:v>Pro Phones 857</x:v>
      </x:c>
      <x:c r="M728" t="str">
        <x:v>Standard Class</x:v>
      </x:c>
      <x:c r="N728" t="n">
        <x:v>5</x:v>
      </x:c>
      <x:c r="O728" s="7" t="n">
        <x:v>2018</x:v>
      </x:c>
      <x:c r="P728" s="6" t="n">
        <x:v>0.2</x:v>
      </x:c>
      <x:c r="Q728" s="7" t="n">
        <x:v>8072</x:v>
      </x:c>
      <x:c r="R728" s="7" t="n">
        <x:v>5379.22</x:v>
      </x:c>
      <x:c r="S728" s="7" t="n">
        <x:v>2692.78</x:v>
      </x:c>
      <x:c r="T728" t="str">
        <x:v>Pending</x:v>
      </x:c>
      <x:c r="U728" t="str">
        <x:v>Returned</x:v>
      </x:c>
      <x:c r="V728" s="6" t="n">
        <x:f>IF(ISBLANK(P728),IF(AND(ISNUMBER(N728),N728&gt;0,ISNUMBER(O728),O728&gt;=0,ISNUMBER(Q728),Q728&gt;=0,ISNUMBER(R728),R728&gt;=0,ISNUMBER(S728)),0,""),P728)</x:f>
        <x:v>0.2</x:v>
      </x:c>
      <x:c r="W728" s="7" t="n">
        <x:f>IF(ISBLANK(V728),"",N728*O728*(1-V728))</x:f>
        <x:v>8072</x:v>
      </x:c>
      <x:c r="X728" s="7" t="n">
        <x:f>IF(OR(ISBLANK(W728),ISBLANK(R728)),"",W728-R728)</x:f>
        <x:v>2692.7799999999997</x:v>
      </x:c>
      <x:c r="Y728" s="8" t="n">
        <x:f>IF(OR(ISBLANK(W728),W728=0),"",X728/W728)</x:f>
        <x:v>0.33359514370664023</x:v>
      </x:c>
      <x:c r="Z728" s="9" t="n">
        <x:f>IF(OR(ISBLANK(B728),ISBLANK(C728)),"",C728-B728)</x:f>
        <x:v>6</x:v>
      </x:c>
      <x:c r="AA728" t="str">
        <x:f>IF(ISBLANK(B728),"",TEXT(B728,"mmm"))</x:f>
        <x:v>Jan</x:v>
      </x:c>
      <x:c r="AB728" s="9" t="n">
        <x:f>IF(ISBLANK(B728),"",YEAR(B728))</x:f>
        <x:v>2024</x:v>
      </x:c>
      <x:c r="AC728" s="10" t="str"/>
      <x:c r="AD728" t="str">
        <x:f>IF(AND(U728="Completed",T728="Paid",ISERROR(SEARCH("INVALID",AC728)),ISERROR(SEARCH("REVIEW",AC728))),"Include","Exclude")</x:f>
        <x:v>Exclude</x:v>
      </x:c>
      <x:c r="AE728" t="str">
        <x:f>IF(T728="Refunded","Refunded","")</x:f>
      </x:c>
    </x:row>
    <x:row r="729">
      <x:c r="A729" t="str">
        <x:v>ORD-2024-10728</x:v>
      </x:c>
      <x:c r="B729" s="5" t="n">
        <x:v>45578</x:v>
      </x:c>
      <x:c r="C729" s="5" t="n">
        <x:v>45578</x:v>
      </x:c>
      <x:c r="D729" t="str">
        <x:v>CUST-6492</x:v>
      </x:c>
      <x:c r="E729" t="str">
        <x:v>Aarav Sharma</x:v>
      </x:c>
      <x:c r="F729" t="str">
        <x:v>Small Business</x:v>
      </x:c>
      <x:c r="G729" t="str">
        <x:v>East</x:v>
      </x:c>
      <x:c r="H729" t="str">
        <x:v>Assam</x:v>
      </x:c>
      <x:c r="I729" t="str">
        <x:v>Guwahati</x:v>
      </x:c>
      <x:c r="J729" t="str">
        <x:v>Technology</x:v>
      </x:c>
      <x:c r="K729" t="str">
        <x:v>Accessories</x:v>
      </x:c>
      <x:c r="L729" t="str">
        <x:v>Max Accessories 567</x:v>
      </x:c>
      <x:c r="M729" t="str">
        <x:v>Second Class</x:v>
      </x:c>
      <x:c r="N729" t="n">
        <x:v>8</x:v>
      </x:c>
      <x:c r="O729" s="7" t="n">
        <x:v>3730.66</x:v>
      </x:c>
      <x:c r="P729" s="6" t="n">
        <x:v>0.05</x:v>
      </x:c>
      <x:c r="Q729" s="7" t="n">
        <x:v>28353.02</x:v>
      </x:c>
      <x:c r="R729" s="7" t="n">
        <x:v>19257.85</x:v>
      </x:c>
      <x:c r="S729" s="7" t="n">
        <x:v>9095.17</x:v>
      </x:c>
      <x:c r="T729" t="str">
        <x:v>Paid</x:v>
      </x:c>
      <x:c r="U729" t="str">
        <x:v>Completed</x:v>
      </x:c>
      <x:c r="V729" s="6" t="n">
        <x:f>IF(ISBLANK(P729),IF(AND(ISNUMBER(N729),N729&gt;0,ISNUMBER(O729),O729&gt;=0,ISNUMBER(Q729),Q729&gt;=0,ISNUMBER(R729),R729&gt;=0,ISNUMBER(S729)),0,""),P729)</x:f>
        <x:v>0.05</x:v>
      </x:c>
      <x:c r="W729" s="7" t="n">
        <x:f>IF(ISBLANK(V729),"",N729*O729*(1-V729))</x:f>
        <x:v>28353.015999999996</x:v>
      </x:c>
      <x:c r="X729" s="7" t="n">
        <x:f>IF(OR(ISBLANK(W729),ISBLANK(R729)),"",W729-R729)</x:f>
        <x:v>9095.165999999997</x:v>
      </x:c>
      <x:c r="Y729" s="8" t="n">
        <x:f>IF(OR(ISBLANK(W729),W729=0),"",X729/W729)</x:f>
        <x:v>0.3207830165228277</x:v>
      </x:c>
      <x:c r="Z729" s="9" t="n">
        <x:f>IF(OR(ISBLANK(B729),ISBLANK(C729)),"",C729-B729)</x:f>
        <x:v>0</x:v>
      </x:c>
      <x:c r="AA729" t="str">
        <x:f>IF(ISBLANK(B729),"",TEXT(B729,"mmm"))</x:f>
        <x:v>Oct</x:v>
      </x:c>
      <x:c r="AB729" s="9" t="n">
        <x:f>IF(ISBLANK(B729),"",YEAR(B729))</x:f>
        <x:v>2024</x:v>
      </x:c>
      <x:c r="AC729" s="10" t="str"/>
      <x:c r="AD729" t="str">
        <x:f>IF(AND(U729="Completed",T729="Paid",ISERROR(SEARCH("INVALID",AC729)),ISERROR(SEARCH("REVIEW",AC729))),"Include","Exclude")</x:f>
        <x:v>Include</x:v>
      </x:c>
      <x:c r="AE729" t="str">
        <x:f>IF(T729="Refunded","Refunded","")</x:f>
      </x:c>
    </x:row>
    <x:row r="730">
      <x:c r="A730" t="str">
        <x:v>ORD-2024-10729</x:v>
      </x:c>
      <x:c r="B730" s="5" t="n">
        <x:v>45295</x:v>
      </x:c>
      <x:c r="C730" s="5" t="n">
        <x:v>45298</x:v>
      </x:c>
      <x:c r="D730" t="str">
        <x:v>CUST-1154</x:v>
      </x:c>
      <x:c r="E730" t="str">
        <x:v>Sneha Kapoor</x:v>
      </x:c>
      <x:c r="F730" t="str">
        <x:v>Small Business</x:v>
      </x:c>
      <x:c r="G730" t="str">
        <x:v>South</x:v>
      </x:c>
      <x:c r="H730" t="str">
        <x:v>Karnataka</x:v>
      </x:c>
      <x:c r="I730" t="str">
        <x:v>Bengaluru</x:v>
      </x:c>
      <x:c r="J730" t="str">
        <x:v>Technology</x:v>
      </x:c>
      <x:c r="K730" t="str">
        <x:v>Machines</x:v>
      </x:c>
      <x:c r="L730" t="str">
        <x:v>Max Machines 200</x:v>
      </x:c>
      <x:c r="M730" t="str">
        <x:v>First Class</x:v>
      </x:c>
      <x:c r="N730" t="n">
        <x:v>1</x:v>
      </x:c>
      <x:c r="O730" s="7" t="n">
        <x:v>2363.02</x:v>
      </x:c>
      <x:c r="P730" s="6" t="n">
        <x:v>0.15</x:v>
      </x:c>
      <x:c r="Q730" s="7" t="n">
        <x:v>2008.57</x:v>
      </x:c>
      <x:c r="R730" s="7" t="n">
        <x:v>1194.83</x:v>
      </x:c>
      <x:c r="S730" s="7" t="n">
        <x:v>813.74</x:v>
      </x:c>
      <x:c r="T730" t="str">
        <x:v>Paid</x:v>
      </x:c>
      <x:c r="U730" t="str">
        <x:v>Completed</x:v>
      </x:c>
      <x:c r="V730" s="6" t="n">
        <x:f>IF(ISBLANK(P730),IF(AND(ISNUMBER(N730),N730&gt;0,ISNUMBER(O730),O730&gt;=0,ISNUMBER(Q730),Q730&gt;=0,ISNUMBER(R730),R730&gt;=0,ISNUMBER(S730)),0,""),P730)</x:f>
        <x:v>0.15</x:v>
      </x:c>
      <x:c r="W730" s="7" t="n">
        <x:f>IF(ISBLANK(V730),"",N730*O730*(1-V730))</x:f>
        <x:v>2008.567</x:v>
      </x:c>
      <x:c r="X730" s="7" t="n">
        <x:f>IF(OR(ISBLANK(W730),ISBLANK(R730)),"",W730-R730)</x:f>
        <x:v>813.7370000000001</x:v>
      </x:c>
      <x:c r="Y730" s="8" t="n">
        <x:f>IF(OR(ISBLANK(W730),W730=0),"",X730/W730)</x:f>
        <x:v>0.40513311231340554</x:v>
      </x:c>
      <x:c r="Z730" s="9" t="n">
        <x:f>IF(OR(ISBLANK(B730),ISBLANK(C730)),"",C730-B730)</x:f>
        <x:v>3</x:v>
      </x:c>
      <x:c r="AA730" t="str">
        <x:f>IF(ISBLANK(B730),"",TEXT(B730,"mmm"))</x:f>
        <x:v>Jan</x:v>
      </x:c>
      <x:c r="AB730" s="9" t="n">
        <x:f>IF(ISBLANK(B730),"",YEAR(B730))</x:f>
        <x:v>2024</x:v>
      </x:c>
      <x:c r="AC730" s="10" t="str"/>
      <x:c r="AD730" t="str">
        <x:f>IF(AND(U730="Completed",T730="Paid",ISERROR(SEARCH("INVALID",AC730)),ISERROR(SEARCH("REVIEW",AC730))),"Include","Exclude")</x:f>
        <x:v>Include</x:v>
      </x:c>
      <x:c r="AE730" t="str">
        <x:f>IF(T730="Refunded","Refunded","")</x:f>
      </x:c>
    </x:row>
    <x:row r="731">
      <x:c r="A731" t="str">
        <x:v>ORD-2025-10730</x:v>
      </x:c>
      <x:c r="B731" s="5" t="n">
        <x:v>45794</x:v>
      </x:c>
      <x:c r="C731" s="5" t="n">
        <x:v>45802</x:v>
      </x:c>
      <x:c r="D731" t="str">
        <x:v>CUST-8713</x:v>
      </x:c>
      <x:c r="E731" t="str">
        <x:v>Ananya Rao</x:v>
      </x:c>
      <x:c r="F731" t="str">
        <x:v>Corporate</x:v>
      </x:c>
      <x:c r="G731" t="str">
        <x:v>South</x:v>
      </x:c>
      <x:c r="H731" t="str">
        <x:v>Tamil Nadu</x:v>
      </x:c>
      <x:c r="I731" t="str">
        <x:v>Chennai</x:v>
      </x:c>
      <x:c r="J731" t="str">
        <x:v>Technology</x:v>
      </x:c>
      <x:c r="K731" t="str">
        <x:v>Machines</x:v>
      </x:c>
      <x:c r="L731" t="str">
        <x:v>Pro Machines 563</x:v>
      </x:c>
      <x:c r="M731" t="str">
        <x:v>Same Day</x:v>
      </x:c>
      <x:c r="N731" t="n">
        <x:v>6</x:v>
      </x:c>
      <x:c r="O731" s="7" t="n">
        <x:v>1810.63</x:v>
      </x:c>
      <x:c r="P731" s="6" t="n">
        <x:v>0.15</x:v>
      </x:c>
      <x:c r="Q731" s="7" t="n">
        <x:v>9234.21</x:v>
      </x:c>
      <x:c r="R731" s="7" t="n">
        <x:v>5516.52</x:v>
      </x:c>
      <x:c r="S731" s="7" t="n">
        <x:v>3717.69</x:v>
      </x:c>
      <x:c r="T731" t="str">
        <x:v>Paid</x:v>
      </x:c>
      <x:c r="U731" t="str">
        <x:v>Completed</x:v>
      </x:c>
      <x:c r="V731" s="6" t="n">
        <x:f>IF(ISBLANK(P731),IF(AND(ISNUMBER(N731),N731&gt;0,ISNUMBER(O731),O731&gt;=0,ISNUMBER(Q731),Q731&gt;=0,ISNUMBER(R731),R731&gt;=0,ISNUMBER(S731)),0,""),P731)</x:f>
        <x:v>0.15</x:v>
      </x:c>
      <x:c r="W731" s="7" t="n">
        <x:f>IF(ISBLANK(V731),"",N731*O731*(1-V731))</x:f>
        <x:v>9234.213</x:v>
      </x:c>
      <x:c r="X731" s="7" t="n">
        <x:f>IF(OR(ISBLANK(W731),ISBLANK(R731)),"",W731-R731)</x:f>
        <x:v>3717.6929999999993</x:v>
      </x:c>
      <x:c r="Y731" s="8" t="n">
        <x:f>IF(OR(ISBLANK(W731),W731=0),"",X731/W731)</x:f>
        <x:v>0.40259987505161504</x:v>
      </x:c>
      <x:c r="Z731" s="9" t="n">
        <x:f>IF(OR(ISBLANK(B731),ISBLANK(C731)),"",C731-B731)</x:f>
        <x:v>8</x:v>
      </x:c>
      <x:c r="AA731" t="str">
        <x:f>IF(ISBLANK(B731),"",TEXT(B731,"mmm"))</x:f>
        <x:v>May</x:v>
      </x:c>
      <x:c r="AB731" s="9" t="n">
        <x:f>IF(ISBLANK(B731),"",YEAR(B731))</x:f>
        <x:v>2025</x:v>
      </x:c>
      <x:c r="AC731" s="10" t="str"/>
      <x:c r="AD731" t="str">
        <x:f>IF(AND(U731="Completed",T731="Paid",ISERROR(SEARCH("INVALID",AC731)),ISERROR(SEARCH("REVIEW",AC731))),"Include","Exclude")</x:f>
        <x:v>Include</x:v>
      </x:c>
      <x:c r="AE731" t="str">
        <x:f>IF(T731="Refunded","Refunded","")</x:f>
      </x:c>
    </x:row>
    <x:row r="732">
      <x:c r="A732" t="str">
        <x:v>ORD-2025-10731</x:v>
      </x:c>
      <x:c r="B732" s="5" t="n">
        <x:v>45827</x:v>
      </x:c>
      <x:c r="C732" s="5" t="n">
        <x:v>45832</x:v>
      </x:c>
      <x:c r="D732" t="str">
        <x:v>CUST-6765</x:v>
      </x:c>
      <x:c r="E732" t="str">
        <x:v>Arjun Bose</x:v>
      </x:c>
      <x:c r="F732" t="str">
        <x:v>Consumer</x:v>
      </x:c>
      <x:c r="G732" t="str">
        <x:v>East</x:v>
      </x:c>
      <x:c r="H732" t="str">
        <x:v>West Bengal</x:v>
      </x:c>
      <x:c r="I732" t="str">
        <x:v>Kolkata</x:v>
      </x:c>
      <x:c r="J732" t="str">
        <x:v>Office Supplies</x:v>
      </x:c>
      <x:c r="K732" t="str">
        <x:v>Art</x:v>
      </x:c>
      <x:c r="L732" t="str">
        <x:v>Elite Art 696</x:v>
      </x:c>
      <x:c r="M732" t="str">
        <x:v>Second Class</x:v>
      </x:c>
      <x:c r="N732" t="n">
        <x:v>4</x:v>
      </x:c>
      <x:c r="O732" s="7" t="n">
        <x:v>782.01</x:v>
      </x:c>
      <x:c r="P732" s="6" t="n">
        <x:v>0.15</x:v>
      </x:c>
      <x:c r="Q732" s="7" t="n">
        <x:v>2658.83</x:v>
      </x:c>
      <x:c r="R732" s="7" t="n">
        <x:v>2226.97</x:v>
      </x:c>
      <x:c r="S732" s="7" t="n">
        <x:v>431.86</x:v>
      </x:c>
      <x:c r="T732" t="str">
        <x:v>Refunded</x:v>
      </x:c>
      <x:c r="U732" t="str">
        <x:v>Returned</x:v>
      </x:c>
      <x:c r="V732" s="6" t="n">
        <x:f>IF(ISBLANK(P732),IF(AND(ISNUMBER(N732),N732&gt;0,ISNUMBER(O732),O732&gt;=0,ISNUMBER(Q732),Q732&gt;=0,ISNUMBER(R732),R732&gt;=0,ISNUMBER(S732)),0,""),P732)</x:f>
        <x:v>0.15</x:v>
      </x:c>
      <x:c r="W732" s="7" t="n">
        <x:f>IF(ISBLANK(V732),"",N732*O732*(1-V732))</x:f>
        <x:v>2658.834</x:v>
      </x:c>
      <x:c r="X732" s="7" t="n">
        <x:f>IF(OR(ISBLANK(W732),ISBLANK(R732)),"",W732-R732)</x:f>
        <x:v>431.86400000000003</x:v>
      </x:c>
      <x:c r="Y732" s="8" t="n">
        <x:f>IF(OR(ISBLANK(W732),W732=0),"",X732/W732)</x:f>
        <x:v>0.16242608602116568</x:v>
      </x:c>
      <x:c r="Z732" s="9" t="n">
        <x:f>IF(OR(ISBLANK(B732),ISBLANK(C732)),"",C732-B732)</x:f>
        <x:v>5</x:v>
      </x:c>
      <x:c r="AA732" t="str">
        <x:f>IF(ISBLANK(B732),"",TEXT(B732,"mmm"))</x:f>
        <x:v>Jun</x:v>
      </x:c>
      <x:c r="AB732" s="9" t="n">
        <x:f>IF(ISBLANK(B732),"",YEAR(B732))</x:f>
        <x:v>2025</x:v>
      </x:c>
      <x:c r="AC732" s="10" t="str">
        <x:v>REFUND: Summarize separately</x:v>
      </x:c>
      <x:c r="AD732" t="str">
        <x:f>IF(AND(U732="Completed",T732="Paid",ISERROR(SEARCH("INVALID",AC732)),ISERROR(SEARCH("REVIEW",AC732))),"Include","Exclude")</x:f>
        <x:v>Exclude</x:v>
      </x:c>
      <x:c r="AE732" t="str">
        <x:f>IF(T732="Refunded","Refunded","")</x:f>
        <x:v>Refunded</x:v>
      </x:c>
    </x:row>
    <x:row r="733">
      <x:c r="A733" t="str">
        <x:v>ORD-2024-10732</x:v>
      </x:c>
      <x:c r="B733" s="5" t="n">
        <x:v>45368</x:v>
      </x:c>
      <x:c r="C733" s="5" t="n">
        <x:v>45370</x:v>
      </x:c>
      <x:c r="D733" t="str">
        <x:v>CUST-6849</x:v>
      </x:c>
      <x:c r="E733" t="str">
        <x:v>Ananya Rao</x:v>
      </x:c>
      <x:c r="F733" t="str">
        <x:v>Corporate</x:v>
      </x:c>
      <x:c r="G733" t="str">
        <x:v>East</x:v>
      </x:c>
      <x:c r="H733" t="str">
        <x:v>Odisha</x:v>
      </x:c>
      <x:c r="I733" t="str">
        <x:v>Bhubaneswar</x:v>
      </x:c>
      <x:c r="J733" t="str">
        <x:v>Office Supplies</x:v>
      </x:c>
      <x:c r="K733" t="str">
        <x:v>Binders</x:v>
      </x:c>
      <x:c r="L733" t="str">
        <x:v>Eco Binders 178</x:v>
      </x:c>
      <x:c r="M733" t="str">
        <x:v>First Class</x:v>
      </x:c>
      <x:c r="N733" t="n">
        <x:v>4</x:v>
      </x:c>
      <x:c r="O733" s="7" t="n">
        <x:v>4376.68</x:v>
      </x:c>
      <x:c r="P733" s="6" t="n">
        <x:v>0.1</x:v>
      </x:c>
      <x:c r="Q733" s="7" t="n">
        <x:v>15756.05</x:v>
      </x:c>
      <x:c r="R733" s="7" t="n">
        <x:v>10245.44</x:v>
      </x:c>
      <x:c r="S733" s="7" t="n">
        <x:v>5510.61</x:v>
      </x:c>
      <x:c r="T733" t="str">
        <x:v>Paid</x:v>
      </x:c>
      <x:c r="U733" t="str">
        <x:v>Completed</x:v>
      </x:c>
      <x:c r="V733" s="6" t="n">
        <x:f>IF(ISBLANK(P733),IF(AND(ISNUMBER(N733),N733&gt;0,ISNUMBER(O733),O733&gt;=0,ISNUMBER(Q733),Q733&gt;=0,ISNUMBER(R733),R733&gt;=0,ISNUMBER(S733)),0,""),P733)</x:f>
        <x:v>0.1</x:v>
      </x:c>
      <x:c r="W733" s="7" t="n">
        <x:f>IF(ISBLANK(V733),"",N733*O733*(1-V733))</x:f>
        <x:v>15756.048</x:v>
      </x:c>
      <x:c r="X733" s="7" t="n">
        <x:f>IF(OR(ISBLANK(W733),ISBLANK(R733)),"",W733-R733)</x:f>
        <x:v>5510.608</x:v>
      </x:c>
      <x:c r="Y733" s="8" t="n">
        <x:f>IF(OR(ISBLANK(W733),W733=0),"",X733/W733)</x:f>
        <x:v>0.3497455707167178</x:v>
      </x:c>
      <x:c r="Z733" s="9" t="n">
        <x:f>IF(OR(ISBLANK(B733),ISBLANK(C733)),"",C733-B733)</x:f>
        <x:v>2</x:v>
      </x:c>
      <x:c r="AA733" t="str">
        <x:f>IF(ISBLANK(B733),"",TEXT(B733,"mmm"))</x:f>
        <x:v>Mar</x:v>
      </x:c>
      <x:c r="AB733" s="9" t="n">
        <x:f>IF(ISBLANK(B733),"",YEAR(B733))</x:f>
        <x:v>2024</x:v>
      </x:c>
      <x:c r="AC733" s="10" t="str"/>
      <x:c r="AD733" t="str">
        <x:f>IF(AND(U733="Completed",T733="Paid",ISERROR(SEARCH("INVALID",AC733)),ISERROR(SEARCH("REVIEW",AC733))),"Include","Exclude")</x:f>
        <x:v>Include</x:v>
      </x:c>
      <x:c r="AE733" t="str">
        <x:f>IF(T733="Refunded","Refunded","")</x:f>
      </x:c>
    </x:row>
    <x:row r="734">
      <x:c r="A734" t="str">
        <x:v>ORD-2024-10733</x:v>
      </x:c>
      <x:c r="B734" s="5" t="n">
        <x:v>45624</x:v>
      </x:c>
      <x:c r="C734" s="5" t="n">
        <x:v>45632</x:v>
      </x:c>
      <x:c r="D734" t="str">
        <x:v>CUST-4973</x:v>
      </x:c>
      <x:c r="E734" t="str">
        <x:v>Arjun Bose</x:v>
      </x:c>
      <x:c r="F734" t="str">
        <x:v>Small Business</x:v>
      </x:c>
      <x:c r="G734" t="str">
        <x:v>North</x:v>
      </x:c>
      <x:c r="H734" t="str">
        <x:v>Punjab</x:v>
      </x:c>
      <x:c r="I734" t="str">
        <x:v>Ludhiana</x:v>
      </x:c>
      <x:c r="J734" t="str">
        <x:v>Technology</x:v>
      </x:c>
      <x:c r="K734" t="str">
        <x:v>Phones</x:v>
      </x:c>
      <x:c r="L734" t="str">
        <x:v>Max Phones 678</x:v>
      </x:c>
      <x:c r="M734" t="str">
        <x:v>Standard Class</x:v>
      </x:c>
      <x:c r="N734" t="n">
        <x:v>6</x:v>
      </x:c>
      <x:c r="O734" s="7" t="n">
        <x:v>2464.63</x:v>
      </x:c>
      <x:c r="P734" s="6" t="n">
        <x:v>0</x:v>
      </x:c>
      <x:c r="Q734" s="7" t="n">
        <x:v>14787.78</x:v>
      </x:c>
      <x:c r="R734" s="7" t="n">
        <x:v>8596.65</x:v>
      </x:c>
      <x:c r="S734" s="7" t="n">
        <x:v>6191.13</x:v>
      </x:c>
      <x:c r="T734" t="str">
        <x:v>Paid</x:v>
      </x:c>
      <x:c r="U734" t="str">
        <x:v>Completed</x:v>
      </x:c>
      <x:c r="V734" s="6" t="n">
        <x:f>IF(ISBLANK(P734),IF(AND(ISNUMBER(N734),N734&gt;0,ISNUMBER(O734),O734&gt;=0,ISNUMBER(Q734),Q734&gt;=0,ISNUMBER(R734),R734&gt;=0,ISNUMBER(S734)),0,""),P734)</x:f>
        <x:v>0</x:v>
      </x:c>
      <x:c r="W734" s="7" t="n">
        <x:f>IF(ISBLANK(V734),"",N734*O734*(1-V734))</x:f>
        <x:v>14787.78</x:v>
      </x:c>
      <x:c r="X734" s="7" t="n">
        <x:f>IF(OR(ISBLANK(W734),ISBLANK(R734)),"",W734-R734)</x:f>
        <x:v>6191.130000000001</x:v>
      </x:c>
      <x:c r="Y734" s="8" t="n">
        <x:f>IF(OR(ISBLANK(W734),W734=0),"",X734/W734)</x:f>
        <x:v>0.41866527632950995</x:v>
      </x:c>
      <x:c r="Z734" s="9" t="n">
        <x:f>IF(OR(ISBLANK(B734),ISBLANK(C734)),"",C734-B734)</x:f>
        <x:v>8</x:v>
      </x:c>
      <x:c r="AA734" t="str">
        <x:f>IF(ISBLANK(B734),"",TEXT(B734,"mmm"))</x:f>
        <x:v>Nov</x:v>
      </x:c>
      <x:c r="AB734" s="9" t="n">
        <x:f>IF(ISBLANK(B734),"",YEAR(B734))</x:f>
        <x:v>2024</x:v>
      </x:c>
      <x:c r="AC734" s="10" t="str"/>
      <x:c r="AD734" t="str">
        <x:f>IF(AND(U734="Completed",T734="Paid",ISERROR(SEARCH("INVALID",AC734)),ISERROR(SEARCH("REVIEW",AC734))),"Include","Exclude")</x:f>
        <x:v>Include</x:v>
      </x:c>
      <x:c r="AE734" t="str">
        <x:f>IF(T734="Refunded","Refunded","")</x:f>
      </x:c>
    </x:row>
    <x:row r="735">
      <x:c r="A735" t="str">
        <x:v>ORD-2024-10734</x:v>
      </x:c>
      <x:c r="B735" s="5" t="n">
        <x:v>45464</x:v>
      </x:c>
      <x:c r="C735" s="5" t="n">
        <x:v>45471</x:v>
      </x:c>
      <x:c r="D735" t="str">
        <x:v>CUST-2394</x:v>
      </x:c>
      <x:c r="E735" t="str">
        <x:v>Aarav Sharma</x:v>
      </x:c>
      <x:c r="F735" t="str">
        <x:v>Home Office</x:v>
      </x:c>
      <x:c r="G735" t="str">
        <x:v>North</x:v>
      </x:c>
      <x:c r="H735" t="str">
        <x:v>Rajasthan</x:v>
      </x:c>
      <x:c r="I735" t="str">
        <x:v>Jaipur</x:v>
      </x:c>
      <x:c r="J735" t="str">
        <x:v>Furniture</x:v>
      </x:c>
      <x:c r="K735" t="str">
        <x:v>Furnishings</x:v>
      </x:c>
      <x:c r="L735" t="str">
        <x:v>Classic Furnishings 582</x:v>
      </x:c>
      <x:c r="M735" t="str">
        <x:v>First Class</x:v>
      </x:c>
      <x:c r="N735" t="n">
        <x:v>9</x:v>
      </x:c>
      <x:c r="O735" s="7" t="n">
        <x:v>2797.96</x:v>
      </x:c>
      <x:c r="P735" s="6" t="n">
        <x:v>0</x:v>
      </x:c>
      <x:c r="Q735" s="7" t="n">
        <x:v>25181.64</x:v>
      </x:c>
      <x:c r="R735" s="7" t="n">
        <x:v>15337.9</x:v>
      </x:c>
      <x:c r="S735" s="7" t="n">
        <x:v>9843.74</x:v>
      </x:c>
      <x:c r="T735" t="str">
        <x:v>Paid</x:v>
      </x:c>
      <x:c r="U735" t="str">
        <x:v>Completed</x:v>
      </x:c>
      <x:c r="V735" s="6" t="n">
        <x:f>IF(ISBLANK(P735),IF(AND(ISNUMBER(N735),N735&gt;0,ISNUMBER(O735),O735&gt;=0,ISNUMBER(Q735),Q735&gt;=0,ISNUMBER(R735),R735&gt;=0,ISNUMBER(S735)),0,""),P735)</x:f>
        <x:v>0</x:v>
      </x:c>
      <x:c r="W735" s="7" t="n">
        <x:f>IF(ISBLANK(V735),"",N735*O735*(1-V735))</x:f>
        <x:v>25181.64</x:v>
      </x:c>
      <x:c r="X735" s="7" t="n">
        <x:f>IF(OR(ISBLANK(W735),ISBLANK(R735)),"",W735-R735)</x:f>
        <x:v>9843.74</x:v>
      </x:c>
      <x:c r="Y735" s="8" t="n">
        <x:f>IF(OR(ISBLANK(W735),W735=0),"",X735/W735)</x:f>
        <x:v>0.39090940860086953</x:v>
      </x:c>
      <x:c r="Z735" s="9" t="n">
        <x:f>IF(OR(ISBLANK(B735),ISBLANK(C735)),"",C735-B735)</x:f>
        <x:v>7</x:v>
      </x:c>
      <x:c r="AA735" t="str">
        <x:f>IF(ISBLANK(B735),"",TEXT(B735,"mmm"))</x:f>
        <x:v>Jun</x:v>
      </x:c>
      <x:c r="AB735" s="9" t="n">
        <x:f>IF(ISBLANK(B735),"",YEAR(B735))</x:f>
        <x:v>2024</x:v>
      </x:c>
      <x:c r="AC735" s="10" t="str"/>
      <x:c r="AD735" t="str">
        <x:f>IF(AND(U735="Completed",T735="Paid",ISERROR(SEARCH("INVALID",AC735)),ISERROR(SEARCH("REVIEW",AC735))),"Include","Exclude")</x:f>
        <x:v>Include</x:v>
      </x:c>
      <x:c r="AE735" t="str">
        <x:f>IF(T735="Refunded","Refunded","")</x:f>
      </x:c>
    </x:row>
    <x:row r="736">
      <x:c r="A736" t="str">
        <x:v>ORD-2024-10735</x:v>
      </x:c>
      <x:c r="B736" s="5" t="n">
        <x:v>45528</x:v>
      </x:c>
      <x:c r="C736" s="5" t="n">
        <x:v>45528</x:v>
      </x:c>
      <x:c r="D736" t="str">
        <x:v>CUST-5406</x:v>
      </x:c>
      <x:c r="E736" t="str">
        <x:v>Ananya Rao</x:v>
      </x:c>
      <x:c r="F736" t="str">
        <x:v>Small Business</x:v>
      </x:c>
      <x:c r="G736" t="str">
        <x:v>North</x:v>
      </x:c>
      <x:c r="H736" t="str">
        <x:v>Rajasthan</x:v>
      </x:c>
      <x:c r="I736" t="str">
        <x:v>Jaipur</x:v>
      </x:c>
      <x:c r="J736" t="str">
        <x:v>Technology</x:v>
      </x:c>
      <x:c r="K736" t="str">
        <x:v>Accessories</x:v>
      </x:c>
      <x:c r="L736" t="str">
        <x:v>Classic Accessories 981</x:v>
      </x:c>
      <x:c r="M736" t="str">
        <x:v>First Class</x:v>
      </x:c>
      <x:c r="N736" t="n">
        <x:v>4</x:v>
      </x:c>
      <x:c r="O736" s="7" t="n">
        <x:v>2761.86</x:v>
      </x:c>
      <x:c r="P736" s="6" t="n">
        <x:v>0.2</x:v>
      </x:c>
      <x:c r="Q736" s="7" t="n">
        <x:v>8837.95</x:v>
      </x:c>
      <x:c r="R736" s="7" t="n">
        <x:v>6157.27</x:v>
      </x:c>
      <x:c r="S736" s="7" t="n">
        <x:v>2680.68</x:v>
      </x:c>
      <x:c r="T736" t="str">
        <x:v>Paid</x:v>
      </x:c>
      <x:c r="U736" t="str">
        <x:v>Completed</x:v>
      </x:c>
      <x:c r="V736" s="6" t="n">
        <x:f>IF(ISBLANK(P736),IF(AND(ISNUMBER(N736),N736&gt;0,ISNUMBER(O736),O736&gt;=0,ISNUMBER(Q736),Q736&gt;=0,ISNUMBER(R736),R736&gt;=0,ISNUMBER(S736)),0,""),P736)</x:f>
        <x:v>0.2</x:v>
      </x:c>
      <x:c r="W736" s="7" t="n">
        <x:f>IF(ISBLANK(V736),"",N736*O736*(1-V736))</x:f>
        <x:v>8837.952000000001</x:v>
      </x:c>
      <x:c r="X736" s="7" t="n">
        <x:f>IF(OR(ISBLANK(W736),ISBLANK(R736)),"",W736-R736)</x:f>
        <x:v>2680.6820000000007</x:v>
      </x:c>
      <x:c r="Y736" s="8" t="n">
        <x:f>IF(OR(ISBLANK(W736),W736=0),"",X736/W736)</x:f>
        <x:v>0.3033148403612059</x:v>
      </x:c>
      <x:c r="Z736" s="9" t="n">
        <x:f>IF(OR(ISBLANK(B736),ISBLANK(C736)),"",C736-B736)</x:f>
        <x:v>0</x:v>
      </x:c>
      <x:c r="AA736" t="str">
        <x:f>IF(ISBLANK(B736),"",TEXT(B736,"mmm"))</x:f>
        <x:v>Aug</x:v>
      </x:c>
      <x:c r="AB736" s="9" t="n">
        <x:f>IF(ISBLANK(B736),"",YEAR(B736))</x:f>
        <x:v>2024</x:v>
      </x:c>
      <x:c r="AC736" s="10" t="str"/>
      <x:c r="AD736" t="str">
        <x:f>IF(AND(U736="Completed",T736="Paid",ISERROR(SEARCH("INVALID",AC736)),ISERROR(SEARCH("REVIEW",AC736))),"Include","Exclude")</x:f>
        <x:v>Include</x:v>
      </x:c>
      <x:c r="AE736" t="str">
        <x:f>IF(T736="Refunded","Refunded","")</x:f>
      </x:c>
    </x:row>
    <x:row r="737">
      <x:c r="A737" t="str">
        <x:v>ORD-2024-10736</x:v>
      </x:c>
      <x:c r="B737" s="5" t="n">
        <x:v>45515</x:v>
      </x:c>
      <x:c r="C737" s="5" t="n">
        <x:v>45523</x:v>
      </x:c>
      <x:c r="D737" t="str">
        <x:v>CUST-1963</x:v>
      </x:c>
      <x:c r="E737" t="str">
        <x:v>Mira Das</x:v>
      </x:c>
      <x:c r="F737" t="str">
        <x:v>Consumer</x:v>
      </x:c>
      <x:c r="G737" t="str">
        <x:v>West</x:v>
      </x:c>
      <x:c r="H737" t="str">
        <x:v>Maharashtra</x:v>
      </x:c>
      <x:c r="I737" t="str">
        <x:v>Mumbai</x:v>
      </x:c>
      <x:c r="J737" t="str">
        <x:v>Furniture</x:v>
      </x:c>
      <x:c r="K737" t="str">
        <x:v>Tables</x:v>
      </x:c>
      <x:c r="L737" t="str">
        <x:v>Classic Tables 534</x:v>
      </x:c>
      <x:c r="M737" t="str">
        <x:v>Standard Class</x:v>
      </x:c>
      <x:c r="N737" t="n">
        <x:v>6</x:v>
      </x:c>
      <x:c r="O737" s="7" t="n">
        <x:v>1515.79</x:v>
      </x:c>
      <x:c r="P737" s="6" t="n">
        <x:v>0.2</x:v>
      </x:c>
      <x:c r="Q737" s="7" t="n">
        <x:v>7275.79</x:v>
      </x:c>
      <x:c r="R737" s="7" t="n">
        <x:v>6152.87</x:v>
      </x:c>
      <x:c r="S737" s="7" t="n">
        <x:v>1122.92</x:v>
      </x:c>
      <x:c r="T737" t="str">
        <x:v>Paid</x:v>
      </x:c>
      <x:c r="U737" t="str">
        <x:v>Completed</x:v>
      </x:c>
      <x:c r="V737" s="6" t="n">
        <x:f>IF(ISBLANK(P737),IF(AND(ISNUMBER(N737),N737&gt;0,ISNUMBER(O737),O737&gt;=0,ISNUMBER(Q737),Q737&gt;=0,ISNUMBER(R737),R737&gt;=0,ISNUMBER(S737)),0,""),P737)</x:f>
        <x:v>0.2</x:v>
      </x:c>
      <x:c r="W737" s="7" t="n">
        <x:f>IF(ISBLANK(V737),"",N737*O737*(1-V737))</x:f>
        <x:v>7275.792</x:v>
      </x:c>
      <x:c r="X737" s="7" t="n">
        <x:f>IF(OR(ISBLANK(W737),ISBLANK(R737)),"",W737-R737)</x:f>
        <x:v>1122.9220000000005</x:v>
      </x:c>
      <x:c r="Y737" s="8" t="n">
        <x:f>IF(OR(ISBLANK(W737),W737=0),"",X737/W737)</x:f>
        <x:v>0.15433673749881804</x:v>
      </x:c>
      <x:c r="Z737" s="9" t="n">
        <x:f>IF(OR(ISBLANK(B737),ISBLANK(C737)),"",C737-B737)</x:f>
        <x:v>8</x:v>
      </x:c>
      <x:c r="AA737" t="str">
        <x:f>IF(ISBLANK(B737),"",TEXT(B737,"mmm"))</x:f>
        <x:v>Aug</x:v>
      </x:c>
      <x:c r="AB737" s="9" t="n">
        <x:f>IF(ISBLANK(B737),"",YEAR(B737))</x:f>
        <x:v>2024</x:v>
      </x:c>
      <x:c r="AC737" s="10" t="str"/>
      <x:c r="AD737" t="str">
        <x:f>IF(AND(U737="Completed",T737="Paid",ISERROR(SEARCH("INVALID",AC737)),ISERROR(SEARCH("REVIEW",AC737))),"Include","Exclude")</x:f>
        <x:v>Include</x:v>
      </x:c>
      <x:c r="AE737" t="str">
        <x:f>IF(T737="Refunded","Refunded","")</x:f>
      </x:c>
    </x:row>
    <x:row r="738">
      <x:c r="A738" t="str">
        <x:v>ORD-2024-10737</x:v>
      </x:c>
      <x:c r="B738" s="5" t="n">
        <x:v>45632</x:v>
      </x:c>
      <x:c r="C738" s="5" t="n">
        <x:v>45635</x:v>
      </x:c>
      <x:c r="D738" t="str">
        <x:v>CUST-9017</x:v>
      </x:c>
      <x:c r="E738" t="str">
        <x:v>Aditi Sen</x:v>
      </x:c>
      <x:c r="F738" t="str">
        <x:v>Consumer</x:v>
      </x:c>
      <x:c r="G738" t="str">
        <x:v>West</x:v>
      </x:c>
      <x:c r="H738" t="str">
        <x:v>Maharashtra</x:v>
      </x:c>
      <x:c r="I738" t="str">
        <x:v>Mumbai</x:v>
      </x:c>
      <x:c r="J738" t="str">
        <x:v>Furniture</x:v>
      </x:c>
      <x:c r="K738" t="str">
        <x:v>Chairs</x:v>
      </x:c>
      <x:c r="L738" t="str">
        <x:v>Pro Chairs 383</x:v>
      </x:c>
      <x:c r="M738" t="str">
        <x:v>Second Class</x:v>
      </x:c>
      <x:c r="N738" t="n">
        <x:v>9</x:v>
      </x:c>
      <x:c r="O738" s="7" t="n">
        <x:v>290.75</x:v>
      </x:c>
      <x:c r="P738" s="6" t="n">
        <x:v>0.1</x:v>
      </x:c>
      <x:c r="Q738" s="7" t="n">
        <x:v>2355.08</x:v>
      </x:c>
      <x:c r="R738" s="7" t="n">
        <x:v>1350.03</x:v>
      </x:c>
      <x:c r="S738" s="7" t="n">
        <x:v>1005.05</x:v>
      </x:c>
      <x:c r="T738" t="str">
        <x:v>Paid</x:v>
      </x:c>
      <x:c r="U738" t="str">
        <x:v>Completed</x:v>
      </x:c>
      <x:c r="V738" s="6" t="n">
        <x:f>IF(ISBLANK(P738),IF(AND(ISNUMBER(N738),N738&gt;0,ISNUMBER(O738),O738&gt;=0,ISNUMBER(Q738),Q738&gt;=0,ISNUMBER(R738),R738&gt;=0,ISNUMBER(S738)),0,""),P738)</x:f>
        <x:v>0.1</x:v>
      </x:c>
      <x:c r="W738" s="7" t="n">
        <x:f>IF(ISBLANK(V738),"",N738*O738*(1-V738))</x:f>
        <x:v>2355.0750000000003</x:v>
      </x:c>
      <x:c r="X738" s="7" t="n">
        <x:f>IF(OR(ISBLANK(W738),ISBLANK(R738)),"",W738-R738)</x:f>
        <x:v>1005.0450000000003</x:v>
      </x:c>
      <x:c r="Y738" s="8" t="n">
        <x:f>IF(OR(ISBLANK(W738),W738=0),"",X738/W738)</x:f>
        <x:v>0.4267571096461897</x:v>
      </x:c>
      <x:c r="Z738" s="9" t="n">
        <x:f>IF(OR(ISBLANK(B738),ISBLANK(C738)),"",C738-B738)</x:f>
        <x:v>3</x:v>
      </x:c>
      <x:c r="AA738" t="str">
        <x:f>IF(ISBLANK(B738),"",TEXT(B738,"mmm"))</x:f>
        <x:v>Dec</x:v>
      </x:c>
      <x:c r="AB738" s="9" t="n">
        <x:f>IF(ISBLANK(B738),"",YEAR(B738))</x:f>
        <x:v>2024</x:v>
      </x:c>
      <x:c r="AC738" s="10" t="str"/>
      <x:c r="AD738" t="str">
        <x:f>IF(AND(U738="Completed",T738="Paid",ISERROR(SEARCH("INVALID",AC738)),ISERROR(SEARCH("REVIEW",AC738))),"Include","Exclude")</x:f>
        <x:v>Include</x:v>
      </x:c>
      <x:c r="AE738" t="str">
        <x:f>IF(T738="Refunded","Refunded","")</x:f>
      </x:c>
    </x:row>
    <x:row r="739">
      <x:c r="A739" t="str">
        <x:v>ORD-2024-10738</x:v>
      </x:c>
      <x:c r="B739" s="5" t="n">
        <x:v>45332</x:v>
      </x:c>
      <x:c r="C739" s="5" t="n">
        <x:v>45332</x:v>
      </x:c>
      <x:c r="D739" t="str">
        <x:v>CUST-7967</x:v>
      </x:c>
      <x:c r="E739" t="str">
        <x:v>Isha Nair</x:v>
      </x:c>
      <x:c r="F739" t="str">
        <x:v>Home Office</x:v>
      </x:c>
      <x:c r="G739" t="str">
        <x:v>West</x:v>
      </x:c>
      <x:c r="H739" t="str">
        <x:v>Maharashtra</x:v>
      </x:c>
      <x:c r="I739" t="str">
        <x:v>Mumbai</x:v>
      </x:c>
      <x:c r="J739" t="str">
        <x:v>Furniture</x:v>
      </x:c>
      <x:c r="K739" t="str">
        <x:v>Chairs</x:v>
      </x:c>
      <x:c r="L739" t="str">
        <x:v>Max Chairs 845</x:v>
      </x:c>
      <x:c r="M739" t="str">
        <x:v>Same Day</x:v>
      </x:c>
      <x:c r="N739" t="n">
        <x:v>6</x:v>
      </x:c>
      <x:c r="O739" s="7" t="n">
        <x:v>601.52</x:v>
      </x:c>
      <x:c r="P739" s="6" t="n">
        <x:v>0</x:v>
      </x:c>
      <x:c r="Q739" s="7" t="n">
        <x:v>3609.12</x:v>
      </x:c>
      <x:c r="R739" s="7" t="n">
        <x:v>2645.5</x:v>
      </x:c>
      <x:c r="S739" s="7" t="n">
        <x:v>963.62</x:v>
      </x:c>
      <x:c r="T739" t="str">
        <x:v>Paid</x:v>
      </x:c>
      <x:c r="U739" t="str">
        <x:v>Completed</x:v>
      </x:c>
      <x:c r="V739" s="6" t="n">
        <x:f>IF(ISBLANK(P739),IF(AND(ISNUMBER(N739),N739&gt;0,ISNUMBER(O739),O739&gt;=0,ISNUMBER(Q739),Q739&gt;=0,ISNUMBER(R739),R739&gt;=0,ISNUMBER(S739)),0,""),P739)</x:f>
        <x:v>0</x:v>
      </x:c>
      <x:c r="W739" s="7" t="n">
        <x:f>IF(ISBLANK(V739),"",N739*O739*(1-V739))</x:f>
        <x:v>3609.12</x:v>
      </x:c>
      <x:c r="X739" s="7" t="n">
        <x:f>IF(OR(ISBLANK(W739),ISBLANK(R739)),"",W739-R739)</x:f>
        <x:v>963.6199999999999</x:v>
      </x:c>
      <x:c r="Y739" s="8" t="n">
        <x:f>IF(OR(ISBLANK(W739),W739=0),"",X739/W739)</x:f>
        <x:v>0.2669958327791816</x:v>
      </x:c>
      <x:c r="Z739" s="9" t="n">
        <x:f>IF(OR(ISBLANK(B739),ISBLANK(C739)),"",C739-B739)</x:f>
        <x:v>0</x:v>
      </x:c>
      <x:c r="AA739" t="str">
        <x:f>IF(ISBLANK(B739),"",TEXT(B739,"mmm"))</x:f>
        <x:v>Feb</x:v>
      </x:c>
      <x:c r="AB739" s="9" t="n">
        <x:f>IF(ISBLANK(B739),"",YEAR(B739))</x:f>
        <x:v>2024</x:v>
      </x:c>
      <x:c r="AC739" s="10" t="str"/>
      <x:c r="AD739" t="str">
        <x:f>IF(AND(U739="Completed",T739="Paid",ISERROR(SEARCH("INVALID",AC739)),ISERROR(SEARCH("REVIEW",AC739))),"Include","Exclude")</x:f>
        <x:v>Include</x:v>
      </x:c>
      <x:c r="AE739" t="str">
        <x:f>IF(T739="Refunded","Refunded","")</x:f>
      </x:c>
    </x:row>
    <x:row r="740">
      <x:c r="A740" t="str">
        <x:v>ORD-2025-10739</x:v>
      </x:c>
      <x:c r="B740" s="5" t="n">
        <x:v>45708</x:v>
      </x:c>
      <x:c r="C740" s="5" t="n">
        <x:v>45710</x:v>
      </x:c>
      <x:c r="D740" t="str">
        <x:v>CUST-5334</x:v>
      </x:c>
      <x:c r="E740" t="str">
        <x:v>Priya Menon</x:v>
      </x:c>
      <x:c r="F740" t="str">
        <x:v>Corporate</x:v>
      </x:c>
      <x:c r="G740" t="str">
        <x:v>South</x:v>
      </x:c>
      <x:c r="H740" t="str">
        <x:v>Kerala</x:v>
      </x:c>
      <x:c r="I740" t="str">
        <x:v>Kochi</x:v>
      </x:c>
      <x:c r="J740" t="str">
        <x:v>Office Supplies</x:v>
      </x:c>
      <x:c r="K740" t="str">
        <x:v>Paper</x:v>
      </x:c>
      <x:c r="L740" t="str">
        <x:v>Prime Paper 307</x:v>
      </x:c>
      <x:c r="M740" t="str">
        <x:v>First Class</x:v>
      </x:c>
      <x:c r="N740" t="n">
        <x:v>1</x:v>
      </x:c>
      <x:c r="O740" s="7" t="n">
        <x:v>2188.19</x:v>
      </x:c>
      <x:c r="P740" s="6" t="n">
        <x:v>0</x:v>
      </x:c>
      <x:c r="Q740" s="7" t="n">
        <x:v>2188.19</x:v>
      </x:c>
      <x:c r="R740" s="7" t="n">
        <x:v>1298.84</x:v>
      </x:c>
      <x:c r="S740" s="7" t="n">
        <x:v>889.35</x:v>
      </x:c>
      <x:c r="T740" t="str">
        <x:v>Paid</x:v>
      </x:c>
      <x:c r="U740" t="str">
        <x:v>Completed</x:v>
      </x:c>
      <x:c r="V740" s="6" t="n">
        <x:f>IF(ISBLANK(P740),IF(AND(ISNUMBER(N740),N740&gt;0,ISNUMBER(O740),O740&gt;=0,ISNUMBER(Q740),Q740&gt;=0,ISNUMBER(R740),R740&gt;=0,ISNUMBER(S740)),0,""),P740)</x:f>
        <x:v>0</x:v>
      </x:c>
      <x:c r="W740" s="7" t="n">
        <x:f>IF(ISBLANK(V740),"",N740*O740*(1-V740))</x:f>
        <x:v>2188.19</x:v>
      </x:c>
      <x:c r="X740" s="7" t="n">
        <x:f>IF(OR(ISBLANK(W740),ISBLANK(R740)),"",W740-R740)</x:f>
        <x:v>889.3500000000001</x:v>
      </x:c>
      <x:c r="Y740" s="8" t="n">
        <x:f>IF(OR(ISBLANK(W740),W740=0),"",X740/W740)</x:f>
        <x:v>0.40643179979800664</x:v>
      </x:c>
      <x:c r="Z740" s="9" t="n">
        <x:f>IF(OR(ISBLANK(B740),ISBLANK(C740)),"",C740-B740)</x:f>
        <x:v>2</x:v>
      </x:c>
      <x:c r="AA740" t="str">
        <x:f>IF(ISBLANK(B740),"",TEXT(B740,"mmm"))</x:f>
        <x:v>Feb</x:v>
      </x:c>
      <x:c r="AB740" s="9" t="n">
        <x:f>IF(ISBLANK(B740),"",YEAR(B740))</x:f>
        <x:v>2025</x:v>
      </x:c>
      <x:c r="AC740" s="10" t="str"/>
      <x:c r="AD740" t="str">
        <x:f>IF(AND(U740="Completed",T740="Paid",ISERROR(SEARCH("INVALID",AC740)),ISERROR(SEARCH("REVIEW",AC740))),"Include","Exclude")</x:f>
        <x:v>Include</x:v>
      </x:c>
      <x:c r="AE740" t="str">
        <x:f>IF(T740="Refunded","Refunded","")</x:f>
      </x:c>
    </x:row>
    <x:row r="741">
      <x:c r="A741" t="str">
        <x:v>ORD-2024-10740</x:v>
      </x:c>
      <x:c r="B741" s="5" t="n">
        <x:v>45629</x:v>
      </x:c>
      <x:c r="C741" s="5" t="n">
        <x:v>45636</x:v>
      </x:c>
      <x:c r="D741" t="str">
        <x:v>CUST-5846</x:v>
      </x:c>
      <x:c r="E741" t="str">
        <x:v>Neha Gupta</x:v>
      </x:c>
      <x:c r="F741" t="str">
        <x:v>Corporate</x:v>
      </x:c>
      <x:c r="G741" t="str">
        <x:v>North</x:v>
      </x:c>
      <x:c r="H741" t="str">
        <x:v>Rajasthan</x:v>
      </x:c>
      <x:c r="I741" t="str">
        <x:v>Jaipur</x:v>
      </x:c>
      <x:c r="J741" t="str">
        <x:v>Technology</x:v>
      </x:c>
      <x:c r="K741" t="str">
        <x:v>Phones</x:v>
      </x:c>
      <x:c r="L741" t="str">
        <x:v>Basic Phones 859</x:v>
      </x:c>
      <x:c r="M741" t="str">
        <x:v>Standard Class</x:v>
      </x:c>
      <x:c r="N741" t="n">
        <x:v>5</x:v>
      </x:c>
      <x:c r="O741" s="7" t="n">
        <x:v>2393.86</x:v>
      </x:c>
      <x:c r="P741" s="6" t="n">
        <x:v>0.05</x:v>
      </x:c>
      <x:c r="Q741" s="7" t="n">
        <x:v>11370.84</x:v>
      </x:c>
      <x:c r="R741" s="7" t="n">
        <x:v>7469.58</x:v>
      </x:c>
      <x:c r="S741" s="7" t="n">
        <x:v>3901.26</x:v>
      </x:c>
      <x:c r="T741" t="str">
        <x:v>Paid</x:v>
      </x:c>
      <x:c r="U741" t="str">
        <x:v>Completed</x:v>
      </x:c>
      <x:c r="V741" s="6" t="n">
        <x:f>IF(ISBLANK(P741),IF(AND(ISNUMBER(N741),N741&gt;0,ISNUMBER(O741),O741&gt;=0,ISNUMBER(Q741),Q741&gt;=0,ISNUMBER(R741),R741&gt;=0,ISNUMBER(S741)),0,""),P741)</x:f>
        <x:v>0.05</x:v>
      </x:c>
      <x:c r="W741" s="7" t="n">
        <x:f>IF(ISBLANK(V741),"",N741*O741*(1-V741))</x:f>
        <x:v>11370.835000000001</x:v>
      </x:c>
      <x:c r="X741" s="7" t="n">
        <x:f>IF(OR(ISBLANK(W741),ISBLANK(R741)),"",W741-R741)</x:f>
        <x:v>3901.255000000001</x:v>
      </x:c>
      <x:c r="Y741" s="8" t="n">
        <x:f>IF(OR(ISBLANK(W741),W741=0),"",X741/W741)</x:f>
        <x:v>0.3430930973846688</x:v>
      </x:c>
      <x:c r="Z741" s="9" t="n">
        <x:f>IF(OR(ISBLANK(B741),ISBLANK(C741)),"",C741-B741)</x:f>
        <x:v>7</x:v>
      </x:c>
      <x:c r="AA741" t="str">
        <x:f>IF(ISBLANK(B741),"",TEXT(B741,"mmm"))</x:f>
        <x:v>Dec</x:v>
      </x:c>
      <x:c r="AB741" s="9" t="n">
        <x:f>IF(ISBLANK(B741),"",YEAR(B741))</x:f>
        <x:v>2024</x:v>
      </x:c>
      <x:c r="AC741" s="10" t="str"/>
      <x:c r="AD741" t="str">
        <x:f>IF(AND(U741="Completed",T741="Paid",ISERROR(SEARCH("INVALID",AC741)),ISERROR(SEARCH("REVIEW",AC741))),"Include","Exclude")</x:f>
        <x:v>Include</x:v>
      </x:c>
      <x:c r="AE741" t="str">
        <x:f>IF(T741="Refunded","Refunded","")</x:f>
      </x:c>
    </x:row>
    <x:row r="742">
      <x:c r="A742" t="str">
        <x:v>ORD-2024-10741</x:v>
      </x:c>
      <x:c r="B742" s="5" t="n">
        <x:v>45384</x:v>
      </x:c>
      <x:c r="C742" s="5" t="n">
        <x:v>45384</x:v>
      </x:c>
      <x:c r="D742" t="str">
        <x:v>CUST-7932</x:v>
      </x:c>
      <x:c r="E742" t="str">
        <x:v>Sneha Kapoor</x:v>
      </x:c>
      <x:c r="F742" t="str">
        <x:v>Small Business</x:v>
      </x:c>
      <x:c r="G742" t="str">
        <x:v>West</x:v>
      </x:c>
      <x:c r="H742" t="str">
        <x:v>Maharashtra</x:v>
      </x:c>
      <x:c r="I742" t="str">
        <x:v>Mumbai</x:v>
      </x:c>
      <x:c r="J742" t="str">
        <x:v>Furniture</x:v>
      </x:c>
      <x:c r="K742" t="str">
        <x:v>Chairs</x:v>
      </x:c>
      <x:c r="L742" t="str">
        <x:v>Eco Chairs 883</x:v>
      </x:c>
      <x:c r="M742" t="str">
        <x:v>First Class</x:v>
      </x:c>
      <x:c r="N742" t="n">
        <x:v>4</x:v>
      </x:c>
      <x:c r="O742" s="7" t="n">
        <x:v>2583</x:v>
      </x:c>
      <x:c r="P742" s="6" t="n">
        <x:v>0.1</x:v>
      </x:c>
      <x:c r="Q742" s="7" t="n">
        <x:v>9298.8</x:v>
      </x:c>
      <x:c r="R742" s="7" t="n">
        <x:v>6548.5</x:v>
      </x:c>
      <x:c r="S742" s="7" t="n">
        <x:v>2750.3</x:v>
      </x:c>
      <x:c r="T742" t="str">
        <x:v>Paid</x:v>
      </x:c>
      <x:c r="U742" t="str">
        <x:v>Completed</x:v>
      </x:c>
      <x:c r="V742" s="6" t="n">
        <x:f>IF(ISBLANK(P742),IF(AND(ISNUMBER(N742),N742&gt;0,ISNUMBER(O742),O742&gt;=0,ISNUMBER(Q742),Q742&gt;=0,ISNUMBER(R742),R742&gt;=0,ISNUMBER(S742)),0,""),P742)</x:f>
        <x:v>0.1</x:v>
      </x:c>
      <x:c r="W742" s="7" t="n">
        <x:f>IF(ISBLANK(V742),"",N742*O742*(1-V742))</x:f>
        <x:v>9298.800000000001</x:v>
      </x:c>
      <x:c r="X742" s="7" t="n">
        <x:f>IF(OR(ISBLANK(W742),ISBLANK(R742)),"",W742-R742)</x:f>
        <x:v>2750.300000000001</x:v>
      </x:c>
      <x:c r="Y742" s="8" t="n">
        <x:f>IF(OR(ISBLANK(W742),W742=0),"",X742/W742)</x:f>
        <x:v>0.2957693465823548</x:v>
      </x:c>
      <x:c r="Z742" s="9" t="n">
        <x:f>IF(OR(ISBLANK(B742),ISBLANK(C742)),"",C742-B742)</x:f>
        <x:v>0</x:v>
      </x:c>
      <x:c r="AA742" t="str">
        <x:f>IF(ISBLANK(B742),"",TEXT(B742,"mmm"))</x:f>
        <x:v>Apr</x:v>
      </x:c>
      <x:c r="AB742" s="9" t="n">
        <x:f>IF(ISBLANK(B742),"",YEAR(B742))</x:f>
        <x:v>2024</x:v>
      </x:c>
      <x:c r="AC742" s="10" t="str"/>
      <x:c r="AD742" t="str">
        <x:f>IF(AND(U742="Completed",T742="Paid",ISERROR(SEARCH("INVALID",AC742)),ISERROR(SEARCH("REVIEW",AC742))),"Include","Exclude")</x:f>
        <x:v>Include</x:v>
      </x:c>
      <x:c r="AE742" t="str">
        <x:f>IF(T742="Refunded","Refunded","")</x:f>
      </x:c>
    </x:row>
    <x:row r="743">
      <x:c r="A743" t="str">
        <x:v>ORD-2025-10742</x:v>
      </x:c>
      <x:c r="B743" s="5" t="n">
        <x:v>45770</x:v>
      </x:c>
      <x:c r="C743" s="5" t="n">
        <x:v>45772</x:v>
      </x:c>
      <x:c r="D743" t="str">
        <x:v>CUST-3285</x:v>
      </x:c>
      <x:c r="E743" t="str">
        <x:v>Isha Nair</x:v>
      </x:c>
      <x:c r="F743" t="str">
        <x:v>Home Office</x:v>
      </x:c>
      <x:c r="G743" t="str">
        <x:v>South</x:v>
      </x:c>
      <x:c r="H743" t="str">
        <x:v>Tamil Nadu</x:v>
      </x:c>
      <x:c r="I743" t="str">
        <x:v>Chennai</x:v>
      </x:c>
      <x:c r="J743" t="str">
        <x:v>Furniture</x:v>
      </x:c>
      <x:c r="K743" t="str">
        <x:v>Chairs</x:v>
      </x:c>
      <x:c r="L743" t="str">
        <x:v>Max Chairs 706</x:v>
      </x:c>
      <x:c r="M743" t="str">
        <x:v>Second Class</x:v>
      </x:c>
      <x:c r="N743" t="n">
        <x:v>3</x:v>
      </x:c>
      <x:c r="O743" s="7" t="n">
        <x:v>2951.12</x:v>
      </x:c>
      <x:c r="P743" s="6"/>
      <x:c r="Q743" s="7" t="n">
        <x:v>7082.69</x:v>
      </x:c>
      <x:c r="R743" s="7" t="n">
        <x:v>5596.34</x:v>
      </x:c>
      <x:c r="S743" s="7" t="n">
        <x:v>1486.35</x:v>
      </x:c>
      <x:c r="T743" t="str">
        <x:v>Paid</x:v>
      </x:c>
      <x:c r="U743" t="str">
        <x:v>Cancelled</x:v>
      </x:c>
      <x:c r="V743" s="6" t="n">
        <x:f>IF(ISBLANK(P743),IF(AND(ISNUMBER(N743),N743&gt;0,ISNUMBER(O743),O743&gt;=0,ISNUMBER(Q743),Q743&gt;=0,ISNUMBER(R743),R743&gt;=0,ISNUMBER(S743)),0,""),P743)</x:f>
        <x:v>0</x:v>
      </x:c>
      <x:c r="W743" s="7" t="n">
        <x:f>IF(ISBLANK(V743),"",N743*O743*(1-V743))</x:f>
        <x:v>8853.36</x:v>
      </x:c>
      <x:c r="X743" s="7" t="n">
        <x:f>IF(OR(ISBLANK(W743),ISBLANK(R743)),"",W743-R743)</x:f>
        <x:v>3257.0200000000004</x:v>
      </x:c>
      <x:c r="Y743" s="8" t="n">
        <x:f>IF(OR(ISBLANK(W743),W743=0),"",X743/W743)</x:f>
        <x:v>0.36788518709281</x:v>
      </x:c>
      <x:c r="Z743" s="9" t="n">
        <x:f>IF(OR(ISBLANK(B743),ISBLANK(C743)),"",C743-B743)</x:f>
        <x:v>2</x:v>
      </x:c>
      <x:c r="AA743" t="str">
        <x:f>IF(ISBLANK(B743),"",TEXT(B743,"mmm"))</x:f>
        <x:v>Apr</x:v>
      </x:c>
      <x:c r="AB743" s="9" t="n">
        <x:f>IF(ISBLANK(B743),"",YEAR(B743))</x:f>
        <x:v>2025</x:v>
      </x:c>
      <x:c r="AC743" s="10" t="str">
        <x:v>FLAG: Missing discount treated as 0; EXCLUDE: Cancelled order</x:v>
      </x:c>
      <x:c r="AD743" t="str">
        <x:f>IF(AND(U743="Completed",T743="Paid",ISERROR(SEARCH("INVALID",AC743)),ISERROR(SEARCH("REVIEW",AC743))),"Include","Exclude")</x:f>
        <x:v>Exclude</x:v>
      </x:c>
      <x:c r="AE743" t="str">
        <x:f>IF(T743="Refunded","Refunded","")</x:f>
      </x:c>
    </x:row>
    <x:row r="744">
      <x:c r="A744" t="str">
        <x:v>ORD-2024-10743</x:v>
      </x:c>
      <x:c r="B744" s="5" t="n">
        <x:v>45580</x:v>
      </x:c>
      <x:c r="C744" s="5" t="n">
        <x:v>45587</x:v>
      </x:c>
      <x:c r="D744" t="str">
        <x:v>CUST-6368</x:v>
      </x:c>
      <x:c r="E744" t="str">
        <x:v>Karan Malhotra</x:v>
      </x:c>
      <x:c r="F744" t="str">
        <x:v>Corporate</x:v>
      </x:c>
      <x:c r="G744" t="str">
        <x:v>East</x:v>
      </x:c>
      <x:c r="H744" t="str">
        <x:v>Odisha</x:v>
      </x:c>
      <x:c r="I744" t="str">
        <x:v>Bhubaneswar</x:v>
      </x:c>
      <x:c r="J744" t="str">
        <x:v>Office Supplies</x:v>
      </x:c>
      <x:c r="K744" t="str">
        <x:v>Paper</x:v>
      </x:c>
      <x:c r="L744" t="str">
        <x:v>Prime Paper 768</x:v>
      </x:c>
      <x:c r="M744" t="str">
        <x:v>Standard Class</x:v>
      </x:c>
      <x:c r="N744" t="n">
        <x:v>4</x:v>
      </x:c>
      <x:c r="O744" s="7" t="n">
        <x:v>2260.95</x:v>
      </x:c>
      <x:c r="P744" s="6" t="n">
        <x:v>0</x:v>
      </x:c>
      <x:c r="Q744" s="7" t="n">
        <x:v>9043.8</x:v>
      </x:c>
      <x:c r="R744" s="7" t="n">
        <x:v>5913.38</x:v>
      </x:c>
      <x:c r="S744" s="7" t="n">
        <x:v>3130.42</x:v>
      </x:c>
      <x:c r="T744" t="str">
        <x:v>Paid</x:v>
      </x:c>
      <x:c r="U744" t="str">
        <x:v>Completed</x:v>
      </x:c>
      <x:c r="V744" s="6" t="n">
        <x:f>IF(ISBLANK(P744),IF(AND(ISNUMBER(N744),N744&gt;0,ISNUMBER(O744),O744&gt;=0,ISNUMBER(Q744),Q744&gt;=0,ISNUMBER(R744),R744&gt;=0,ISNUMBER(S744)),0,""),P744)</x:f>
        <x:v>0</x:v>
      </x:c>
      <x:c r="W744" s="7" t="n">
        <x:f>IF(ISBLANK(V744),"",N744*O744*(1-V744))</x:f>
        <x:v>9043.8</x:v>
      </x:c>
      <x:c r="X744" s="7" t="n">
        <x:f>IF(OR(ISBLANK(W744),ISBLANK(R744)),"",W744-R744)</x:f>
        <x:v>3130.419999999999</x:v>
      </x:c>
      <x:c r="Y744" s="8" t="n">
        <x:f>IF(OR(ISBLANK(W744),W744=0),"",X744/W744)</x:f>
        <x:v>0.34613989694597397</x:v>
      </x:c>
      <x:c r="Z744" s="9" t="n">
        <x:f>IF(OR(ISBLANK(B744),ISBLANK(C744)),"",C744-B744)</x:f>
        <x:v>7</x:v>
      </x:c>
      <x:c r="AA744" t="str">
        <x:f>IF(ISBLANK(B744),"",TEXT(B744,"mmm"))</x:f>
        <x:v>Oct</x:v>
      </x:c>
      <x:c r="AB744" s="9" t="n">
        <x:f>IF(ISBLANK(B744),"",YEAR(B744))</x:f>
        <x:v>2024</x:v>
      </x:c>
      <x:c r="AC744" s="10" t="str"/>
      <x:c r="AD744" t="str">
        <x:f>IF(AND(U744="Completed",T744="Paid",ISERROR(SEARCH("INVALID",AC744)),ISERROR(SEARCH("REVIEW",AC744))),"Include","Exclude")</x:f>
        <x:v>Include</x:v>
      </x:c>
      <x:c r="AE744" t="str">
        <x:f>IF(T744="Refunded","Refunded","")</x:f>
      </x:c>
    </x:row>
    <x:row r="745">
      <x:c r="A745" t="str">
        <x:v>ORD-2025-10744</x:v>
      </x:c>
      <x:c r="B745" s="5" t="n">
        <x:v>45700</x:v>
      </x:c>
      <x:c r="C745" s="5" t="n">
        <x:v>45702</x:v>
      </x:c>
      <x:c r="D745" t="str">
        <x:v>CUST-6231</x:v>
      </x:c>
      <x:c r="E745" t="str">
        <x:v>Sneha Kapoor</x:v>
      </x:c>
      <x:c r="F745" t="str">
        <x:v>Consumer</x:v>
      </x:c>
      <x:c r="G745" t="str">
        <x:v>North</x:v>
      </x:c>
      <x:c r="H745" t="str">
        <x:v>Uttar Pradesh</x:v>
      </x:c>
      <x:c r="I745" t="str">
        <x:v>Noida</x:v>
      </x:c>
      <x:c r="J745" t="str">
        <x:v>Office Supplies</x:v>
      </x:c>
      <x:c r="K745" t="str">
        <x:v>Art</x:v>
      </x:c>
      <x:c r="L745" t="str">
        <x:v>Basic Art 764</x:v>
      </x:c>
      <x:c r="M745" t="str">
        <x:v>Standard Class</x:v>
      </x:c>
      <x:c r="N745" t="n">
        <x:v>6</x:v>
      </x:c>
      <x:c r="O745" s="7" t="n">
        <x:v>491.4</x:v>
      </x:c>
      <x:c r="P745" s="6" t="n">
        <x:v>0.25</x:v>
      </x:c>
      <x:c r="Q745" s="7" t="n">
        <x:v>2211.3</x:v>
      </x:c>
      <x:c r="R745" s="7" t="n">
        <x:v>1735.64</x:v>
      </x:c>
      <x:c r="S745" s="7" t="n">
        <x:v>475.66</x:v>
      </x:c>
      <x:c r="T745" t="str">
        <x:v>Paid</x:v>
      </x:c>
      <x:c r="U745" t="str">
        <x:v>Completed</x:v>
      </x:c>
      <x:c r="V745" s="6" t="n">
        <x:f>IF(ISBLANK(P745),IF(AND(ISNUMBER(N745),N745&gt;0,ISNUMBER(O745),O745&gt;=0,ISNUMBER(Q745),Q745&gt;=0,ISNUMBER(R745),R745&gt;=0,ISNUMBER(S745)),0,""),P745)</x:f>
        <x:v>0.25</x:v>
      </x:c>
      <x:c r="W745" s="7" t="n">
        <x:f>IF(ISBLANK(V745),"",N745*O745*(1-V745))</x:f>
        <x:v>2211.2999999999997</x:v>
      </x:c>
      <x:c r="X745" s="7" t="n">
        <x:f>IF(OR(ISBLANK(W745),ISBLANK(R745)),"",W745-R745)</x:f>
        <x:v>475.6599999999996</x:v>
      </x:c>
      <x:c r="Y745" s="8" t="n">
        <x:f>IF(OR(ISBLANK(W745),W745=0),"",X745/W745)</x:f>
        <x:v>0.21510423732645942</x:v>
      </x:c>
      <x:c r="Z745" s="9" t="n">
        <x:f>IF(OR(ISBLANK(B745),ISBLANK(C745)),"",C745-B745)</x:f>
        <x:v>2</x:v>
      </x:c>
      <x:c r="AA745" t="str">
        <x:f>IF(ISBLANK(B745),"",TEXT(B745,"mmm"))</x:f>
        <x:v>Feb</x:v>
      </x:c>
      <x:c r="AB745" s="9" t="n">
        <x:f>IF(ISBLANK(B745),"",YEAR(B745))</x:f>
        <x:v>2025</x:v>
      </x:c>
      <x:c r="AC745" s="10" t="str"/>
      <x:c r="AD745" t="str">
        <x:f>IF(AND(U745="Completed",T745="Paid",ISERROR(SEARCH("INVALID",AC745)),ISERROR(SEARCH("REVIEW",AC745))),"Include","Exclude")</x:f>
        <x:v>Include</x:v>
      </x:c>
      <x:c r="AE745" t="str">
        <x:f>IF(T745="Refunded","Refunded","")</x:f>
      </x:c>
    </x:row>
    <x:row r="746">
      <x:c r="A746" t="str">
        <x:v>ORD-2025-10745</x:v>
      </x:c>
      <x:c r="B746" s="5" t="n">
        <x:v>45886</x:v>
      </x:c>
      <x:c r="C746" s="5" t="n">
        <x:v>45889</x:v>
      </x:c>
      <x:c r="D746" t="str">
        <x:v>CUST-2021</x:v>
      </x:c>
      <x:c r="E746" t="str">
        <x:v>Mira Das</x:v>
      </x:c>
      <x:c r="F746" t="str">
        <x:v>Home Office</x:v>
      </x:c>
      <x:c r="G746" t="str">
        <x:v>North</x:v>
      </x:c>
      <x:c r="H746" t="str">
        <x:v>Punjab</x:v>
      </x:c>
      <x:c r="I746" t="str">
        <x:v>Ludhiana</x:v>
      </x:c>
      <x:c r="J746" t="str">
        <x:v>Office Supplies</x:v>
      </x:c>
      <x:c r="K746" t="str">
        <x:v>Binders</x:v>
      </x:c>
      <x:c r="L746" t="str">
        <x:v>Prime Binders 181</x:v>
      </x:c>
      <x:c r="M746" t="str">
        <x:v>First Class</x:v>
      </x:c>
      <x:c r="N746" t="n">
        <x:v>5</x:v>
      </x:c>
      <x:c r="O746" s="7" t="n">
        <x:v>2701.89</x:v>
      </x:c>
      <x:c r="P746" s="6" t="n">
        <x:v>0.1</x:v>
      </x:c>
      <x:c r="Q746" s="7" t="n">
        <x:v>12158.5</x:v>
      </x:c>
      <x:c r="R746" s="7" t="n">
        <x:v>10260.07</x:v>
      </x:c>
      <x:c r="S746" s="7" t="n">
        <x:v>1898.43</x:v>
      </x:c>
      <x:c r="T746" t="str">
        <x:v>Paid</x:v>
      </x:c>
      <x:c r="U746" t="str">
        <x:v>Cancelled</x:v>
      </x:c>
      <x:c r="V746" s="6" t="n">
        <x:f>IF(ISBLANK(P746),IF(AND(ISNUMBER(N746),N746&gt;0,ISNUMBER(O746),O746&gt;=0,ISNUMBER(Q746),Q746&gt;=0,ISNUMBER(R746),R746&gt;=0,ISNUMBER(S746)),0,""),P746)</x:f>
        <x:v>0.1</x:v>
      </x:c>
      <x:c r="W746" s="7" t="n">
        <x:f>IF(ISBLANK(V746),"",N746*O746*(1-V746))</x:f>
        <x:v>12158.505</x:v>
      </x:c>
      <x:c r="X746" s="7" t="n">
        <x:f>IF(OR(ISBLANK(W746),ISBLANK(R746)),"",W746-R746)</x:f>
        <x:v>1898.4349999999995</x:v>
      </x:c>
      <x:c r="Y746" s="8" t="n">
        <x:f>IF(OR(ISBLANK(W746),W746=0),"",X746/W746)</x:f>
        <x:v>0.156140495891559</x:v>
      </x:c>
      <x:c r="Z746" s="9" t="n">
        <x:f>IF(OR(ISBLANK(B746),ISBLANK(C746)),"",C746-B746)</x:f>
        <x:v>3</x:v>
      </x:c>
      <x:c r="AA746" t="str">
        <x:f>IF(ISBLANK(B746),"",TEXT(B746,"mmm"))</x:f>
        <x:v>Aug</x:v>
      </x:c>
      <x:c r="AB746" s="9" t="n">
        <x:f>IF(ISBLANK(B746),"",YEAR(B746))</x:f>
        <x:v>2025</x:v>
      </x:c>
      <x:c r="AC746" s="10" t="str">
        <x:v>EXCLUDE: Cancelled order</x:v>
      </x:c>
      <x:c r="AD746" t="str">
        <x:f>IF(AND(U746="Completed",T746="Paid",ISERROR(SEARCH("INVALID",AC746)),ISERROR(SEARCH("REVIEW",AC746))),"Include","Exclude")</x:f>
        <x:v>Exclude</x:v>
      </x:c>
      <x:c r="AE746" t="str">
        <x:f>IF(T746="Refunded","Refunded","")</x:f>
      </x:c>
    </x:row>
    <x:row r="747">
      <x:c r="A747" t="str">
        <x:v>ORD-2024-10746</x:v>
      </x:c>
      <x:c r="B747" s="5" t="n">
        <x:v>45589</x:v>
      </x:c>
      <x:c r="C747" s="5" t="n">
        <x:v>45593</x:v>
      </x:c>
      <x:c r="D747" t="str">
        <x:v>CUST-1493</x:v>
      </x:c>
      <x:c r="E747" t="str">
        <x:v>Mira Das</x:v>
      </x:c>
      <x:c r="F747" t="str">
        <x:v>Small Business</x:v>
      </x:c>
      <x:c r="G747" t="str">
        <x:v>East</x:v>
      </x:c>
      <x:c r="H747" t="str">
        <x:v>Assam</x:v>
      </x:c>
      <x:c r="I747" t="str">
        <x:v>Guwahati</x:v>
      </x:c>
      <x:c r="J747" t="str">
        <x:v>Technology</x:v>
      </x:c>
      <x:c r="K747" t="str">
        <x:v>Copiers</x:v>
      </x:c>
      <x:c r="L747" t="str">
        <x:v>Max Copiers 866</x:v>
      </x:c>
      <x:c r="M747" t="str">
        <x:v>Standard Class</x:v>
      </x:c>
      <x:c r="N747" t="n">
        <x:v>3</x:v>
      </x:c>
      <x:c r="O747" s="7" t="n">
        <x:v>723.59</x:v>
      </x:c>
      <x:c r="P747" s="6" t="n">
        <x:v>0.2</x:v>
      </x:c>
      <x:c r="Q747" s="7" t="n">
        <x:v>1736.62</x:v>
      </x:c>
      <x:c r="R747" s="7" t="n">
        <x:v>1059.52</x:v>
      </x:c>
      <x:c r="S747" s="7" t="n">
        <x:v>677.1</x:v>
      </x:c>
      <x:c r="T747" t="str">
        <x:v>Paid</x:v>
      </x:c>
      <x:c r="U747" t="str">
        <x:v>Completed</x:v>
      </x:c>
      <x:c r="V747" s="6" t="n">
        <x:f>IF(ISBLANK(P747),IF(AND(ISNUMBER(N747),N747&gt;0,ISNUMBER(O747),O747&gt;=0,ISNUMBER(Q747),Q747&gt;=0,ISNUMBER(R747),R747&gt;=0,ISNUMBER(S747)),0,""),P747)</x:f>
        <x:v>0.2</x:v>
      </x:c>
      <x:c r="W747" s="7" t="n">
        <x:f>IF(ISBLANK(V747),"",N747*O747*(1-V747))</x:f>
        <x:v>1736.616</x:v>
      </x:c>
      <x:c r="X747" s="7" t="n">
        <x:f>IF(OR(ISBLANK(W747),ISBLANK(R747)),"",W747-R747)</x:f>
        <x:v>677.096</x:v>
      </x:c>
      <x:c r="Y747" s="8" t="n">
        <x:f>IF(OR(ISBLANK(W747),W747=0),"",X747/W747)</x:f>
        <x:v>0.38989390861307277</x:v>
      </x:c>
      <x:c r="Z747" s="9" t="n">
        <x:f>IF(OR(ISBLANK(B747),ISBLANK(C747)),"",C747-B747)</x:f>
        <x:v>4</x:v>
      </x:c>
      <x:c r="AA747" t="str">
        <x:f>IF(ISBLANK(B747),"",TEXT(B747,"mmm"))</x:f>
        <x:v>Oct</x:v>
      </x:c>
      <x:c r="AB747" s="9" t="n">
        <x:f>IF(ISBLANK(B747),"",YEAR(B747))</x:f>
        <x:v>2024</x:v>
      </x:c>
      <x:c r="AC747" s="10" t="str"/>
      <x:c r="AD747" t="str">
        <x:f>IF(AND(U747="Completed",T747="Paid",ISERROR(SEARCH("INVALID",AC747)),ISERROR(SEARCH("REVIEW",AC747))),"Include","Exclude")</x:f>
        <x:v>Include</x:v>
      </x:c>
      <x:c r="AE747" t="str">
        <x:f>IF(T747="Refunded","Refunded","")</x:f>
      </x:c>
    </x:row>
    <x:row r="748">
      <x:c r="A748" t="str">
        <x:v>ORD-2025-10747</x:v>
      </x:c>
      <x:c r="B748" s="5" t="n">
        <x:v>45661</x:v>
      </x:c>
      <x:c r="C748" s="5" t="n">
        <x:v>45667</x:v>
      </x:c>
      <x:c r="D748" t="str">
        <x:v>CUST-2314</x:v>
      </x:c>
      <x:c r="E748" t="str">
        <x:v>Aarav Sharma</x:v>
      </x:c>
      <x:c r="F748" t="str">
        <x:v>Home Office</x:v>
      </x:c>
      <x:c r="G748" t="str">
        <x:v>East</x:v>
      </x:c>
      <x:c r="H748" t="str">
        <x:v>West Bengal</x:v>
      </x:c>
      <x:c r="I748" t="str">
        <x:v>Kolkata</x:v>
      </x:c>
      <x:c r="J748" t="str">
        <x:v>Office Supplies</x:v>
      </x:c>
      <x:c r="K748" t="str">
        <x:v>Paper</x:v>
      </x:c>
      <x:c r="L748" t="str">
        <x:v>Pro Paper 662</x:v>
      </x:c>
      <x:c r="M748" t="str">
        <x:v>Standard Class</x:v>
      </x:c>
      <x:c r="N748" t="n">
        <x:v>4</x:v>
      </x:c>
      <x:c r="O748" s="7" t="n">
        <x:v>2583.19</x:v>
      </x:c>
      <x:c r="P748" s="6" t="n">
        <x:v>0.2</x:v>
      </x:c>
      <x:c r="Q748" s="7" t="n">
        <x:v>8266.21</x:v>
      </x:c>
      <x:c r="R748" s="7" t="n">
        <x:v>6236.32</x:v>
      </x:c>
      <x:c r="S748" s="7" t="n">
        <x:v>2029.89</x:v>
      </x:c>
      <x:c r="T748" t="str">
        <x:v>Paid</x:v>
      </x:c>
      <x:c r="U748" t="str">
        <x:v>Completed</x:v>
      </x:c>
      <x:c r="V748" s="6" t="n">
        <x:f>IF(ISBLANK(P748),IF(AND(ISNUMBER(N748),N748&gt;0,ISNUMBER(O748),O748&gt;=0,ISNUMBER(Q748),Q748&gt;=0,ISNUMBER(R748),R748&gt;=0,ISNUMBER(S748)),0,""),P748)</x:f>
        <x:v>0.2</x:v>
      </x:c>
      <x:c r="W748" s="7" t="n">
        <x:f>IF(ISBLANK(V748),"",N748*O748*(1-V748))</x:f>
        <x:v>8266.208</x:v>
      </x:c>
      <x:c r="X748" s="7" t="n">
        <x:f>IF(OR(ISBLANK(W748),ISBLANK(R748)),"",W748-R748)</x:f>
        <x:v>2029.8880000000008</x:v>
      </x:c>
      <x:c r="Y748" s="8" t="n">
        <x:f>IF(OR(ISBLANK(W748),W748=0),"",X748/W748)</x:f>
        <x:v>0.24556459261610653</x:v>
      </x:c>
      <x:c r="Z748" s="9" t="n">
        <x:f>IF(OR(ISBLANK(B748),ISBLANK(C748)),"",C748-B748)</x:f>
        <x:v>6</x:v>
      </x:c>
      <x:c r="AA748" t="str">
        <x:f>IF(ISBLANK(B748),"",TEXT(B748,"mmm"))</x:f>
        <x:v>Jan</x:v>
      </x:c>
      <x:c r="AB748" s="9" t="n">
        <x:f>IF(ISBLANK(B748),"",YEAR(B748))</x:f>
        <x:v>2025</x:v>
      </x:c>
      <x:c r="AC748" s="10" t="str"/>
      <x:c r="AD748" t="str">
        <x:f>IF(AND(U748="Completed",T748="Paid",ISERROR(SEARCH("INVALID",AC748)),ISERROR(SEARCH("REVIEW",AC748))),"Include","Exclude")</x:f>
        <x:v>Include</x:v>
      </x:c>
      <x:c r="AE748" t="str">
        <x:f>IF(T748="Refunded","Refunded","")</x:f>
      </x:c>
    </x:row>
    <x:row r="749">
      <x:c r="A749" t="str">
        <x:v>ORD-2024-10748</x:v>
      </x:c>
      <x:c r="B749" s="5" t="n">
        <x:v>45413</x:v>
      </x:c>
      <x:c r="C749" s="5" t="n">
        <x:v>45419</x:v>
      </x:c>
      <x:c r="D749" t="str">
        <x:v>CUST-8416</x:v>
      </x:c>
      <x:c r="E749" t="str">
        <x:v>Isha Nair</x:v>
      </x:c>
      <x:c r="F749" t="str">
        <x:v>Home Office</x:v>
      </x:c>
      <x:c r="G749" t="str">
        <x:v>East</x:v>
      </x:c>
      <x:c r="H749" t="str">
        <x:v>Odisha</x:v>
      </x:c>
      <x:c r="I749" t="str">
        <x:v>Bhubaneswar</x:v>
      </x:c>
      <x:c r="J749" t="str">
        <x:v>Office Supplies</x:v>
      </x:c>
      <x:c r="K749" t="str">
        <x:v>Paper</x:v>
      </x:c>
      <x:c r="L749" t="str">
        <x:v>Classic Paper 388</x:v>
      </x:c>
      <x:c r="M749" t="str">
        <x:v>Same Day</x:v>
      </x:c>
      <x:c r="N749" t="n">
        <x:v>8</x:v>
      </x:c>
      <x:c r="O749" s="7" t="n">
        <x:v>1473.83</x:v>
      </x:c>
      <x:c r="P749" s="6" t="n">
        <x:v>0.15</x:v>
      </x:c>
      <x:c r="Q749" s="7" t="n">
        <x:v>10022.04</x:v>
      </x:c>
      <x:c r="R749" s="7" t="n">
        <x:v>5576.98</x:v>
      </x:c>
      <x:c r="S749" s="7" t="n">
        <x:v>4445.06</x:v>
      </x:c>
      <x:c r="T749" t="str">
        <x:v>Paid</x:v>
      </x:c>
      <x:c r="U749" t="str">
        <x:v>Completed</x:v>
      </x:c>
      <x:c r="V749" s="6" t="n">
        <x:f>IF(ISBLANK(P749),IF(AND(ISNUMBER(N749),N749&gt;0,ISNUMBER(O749),O749&gt;=0,ISNUMBER(Q749),Q749&gt;=0,ISNUMBER(R749),R749&gt;=0,ISNUMBER(S749)),0,""),P749)</x:f>
        <x:v>0.15</x:v>
      </x:c>
      <x:c r="W749" s="7" t="n">
        <x:f>IF(ISBLANK(V749),"",N749*O749*(1-V749))</x:f>
        <x:v>10022.044</x:v>
      </x:c>
      <x:c r="X749" s="7" t="n">
        <x:f>IF(OR(ISBLANK(W749),ISBLANK(R749)),"",W749-R749)</x:f>
        <x:v>4445.064</x:v>
      </x:c>
      <x:c r="Y749" s="8" t="n">
        <x:f>IF(OR(ISBLANK(W749),W749=0),"",X749/W749)</x:f>
        <x:v>0.4435286853659793</x:v>
      </x:c>
      <x:c r="Z749" s="9" t="n">
        <x:f>IF(OR(ISBLANK(B749),ISBLANK(C749)),"",C749-B749)</x:f>
        <x:v>6</x:v>
      </x:c>
      <x:c r="AA749" t="str">
        <x:f>IF(ISBLANK(B749),"",TEXT(B749,"mmm"))</x:f>
        <x:v>May</x:v>
      </x:c>
      <x:c r="AB749" s="9" t="n">
        <x:f>IF(ISBLANK(B749),"",YEAR(B749))</x:f>
        <x:v>2024</x:v>
      </x:c>
      <x:c r="AC749" s="10" t="str"/>
      <x:c r="AD749" t="str">
        <x:f>IF(AND(U749="Completed",T749="Paid",ISERROR(SEARCH("INVALID",AC749)),ISERROR(SEARCH("REVIEW",AC749))),"Include","Exclude")</x:f>
        <x:v>Include</x:v>
      </x:c>
      <x:c r="AE749" t="str">
        <x:f>IF(T749="Refunded","Refunded","")</x:f>
      </x:c>
    </x:row>
    <x:row r="750">
      <x:c r="A750" t="str">
        <x:v>ORD-2024-10749</x:v>
      </x:c>
      <x:c r="B750" s="5" t="n">
        <x:v>45442</x:v>
      </x:c>
      <x:c r="C750" s="5" t="n">
        <x:v>45442</x:v>
      </x:c>
      <x:c r="D750" t="str">
        <x:v>CUST-3103</x:v>
      </x:c>
      <x:c r="E750" t="str">
        <x:v>Diya Patel</x:v>
      </x:c>
      <x:c r="F750" t="str">
        <x:v>Home Office</x:v>
      </x:c>
      <x:c r="G750" t="str">
        <x:v>North</x:v>
      </x:c>
      <x:c r="H750" t="str">
        <x:v>Haryana</x:v>
      </x:c>
      <x:c r="I750" t="str">
        <x:v>Gurugram</x:v>
      </x:c>
      <x:c r="J750" t="str">
        <x:v>Technology</x:v>
      </x:c>
      <x:c r="K750" t="str">
        <x:v>Phones</x:v>
      </x:c>
      <x:c r="L750" t="str">
        <x:v>Pro Phones 765</x:v>
      </x:c>
      <x:c r="M750" t="str">
        <x:v>Second Class</x:v>
      </x:c>
      <x:c r="N750" t="n">
        <x:v>1</x:v>
      </x:c>
      <x:c r="O750" s="7" t="n">
        <x:v>3848.04</x:v>
      </x:c>
      <x:c r="P750" s="6" t="n">
        <x:v>0.25</x:v>
      </x:c>
      <x:c r="Q750" s="7" t="n">
        <x:v>2886.03</x:v>
      </x:c>
      <x:c r="R750" s="7" t="n">
        <x:v>2064.83</x:v>
      </x:c>
      <x:c r="S750" s="7" t="n">
        <x:v>821.2</x:v>
      </x:c>
      <x:c r="T750" t="str">
        <x:v>Paid</x:v>
      </x:c>
      <x:c r="U750" t="str">
        <x:v>Completed</x:v>
      </x:c>
      <x:c r="V750" s="6" t="n">
        <x:f>IF(ISBLANK(P750),IF(AND(ISNUMBER(N750),N750&gt;0,ISNUMBER(O750),O750&gt;=0,ISNUMBER(Q750),Q750&gt;=0,ISNUMBER(R750),R750&gt;=0,ISNUMBER(S750)),0,""),P750)</x:f>
        <x:v>0.25</x:v>
      </x:c>
      <x:c r="W750" s="7" t="n">
        <x:f>IF(ISBLANK(V750),"",N750*O750*(1-V750))</x:f>
        <x:v>2886.0299999999997</x:v>
      </x:c>
      <x:c r="X750" s="7" t="n">
        <x:f>IF(OR(ISBLANK(W750),ISBLANK(R750)),"",W750-R750)</x:f>
        <x:v>821.1999999999998</x:v>
      </x:c>
      <x:c r="Y750" s="8" t="n">
        <x:f>IF(OR(ISBLANK(W750),W750=0),"",X750/W750)</x:f>
        <x:v>0.28454312671732446</x:v>
      </x:c>
      <x:c r="Z750" s="9" t="n">
        <x:f>IF(OR(ISBLANK(B750),ISBLANK(C750)),"",C750-B750)</x:f>
        <x:v>0</x:v>
      </x:c>
      <x:c r="AA750" t="str">
        <x:f>IF(ISBLANK(B750),"",TEXT(B750,"mmm"))</x:f>
        <x:v>May</x:v>
      </x:c>
      <x:c r="AB750" s="9" t="n">
        <x:f>IF(ISBLANK(B750),"",YEAR(B750))</x:f>
        <x:v>2024</x:v>
      </x:c>
      <x:c r="AC750" s="10" t="str"/>
      <x:c r="AD750" t="str">
        <x:f>IF(AND(U750="Completed",T750="Paid",ISERROR(SEARCH("INVALID",AC750)),ISERROR(SEARCH("REVIEW",AC750))),"Include","Exclude")</x:f>
        <x:v>Include</x:v>
      </x:c>
      <x:c r="AE750" t="str">
        <x:f>IF(T750="Refunded","Refunded","")</x:f>
      </x:c>
    </x:row>
    <x:row r="751">
      <x:c r="A751" t="str">
        <x:v>ORD-2024-10750</x:v>
      </x:c>
      <x:c r="B751" s="5" t="n">
        <x:v>45372</x:v>
      </x:c>
      <x:c r="C751" s="5" t="n">
        <x:v>45376</x:v>
      </x:c>
      <x:c r="D751" t="str">
        <x:v>CUST-4457</x:v>
      </x:c>
      <x:c r="E751" t="str">
        <x:v>Aditi Sen</x:v>
      </x:c>
      <x:c r="F751" t="str">
        <x:v>Home Office</x:v>
      </x:c>
      <x:c r="G751" t="str">
        <x:v>East</x:v>
      </x:c>
      <x:c r="H751" t="str">
        <x:v>Assam</x:v>
      </x:c>
      <x:c r="I751" t="str">
        <x:v>Guwahati</x:v>
      </x:c>
      <x:c r="J751" t="str">
        <x:v>Technology</x:v>
      </x:c>
      <x:c r="K751" t="str">
        <x:v>Machines</x:v>
      </x:c>
      <x:c r="L751" t="str">
        <x:v>Classic Machines 543</x:v>
      </x:c>
      <x:c r="M751" t="str">
        <x:v>Standard Class</x:v>
      </x:c>
      <x:c r="N751" t="n">
        <x:v>1</x:v>
      </x:c>
      <x:c r="O751" s="7" t="n">
        <x:v>1716.7</x:v>
      </x:c>
      <x:c r="P751" s="6" t="n">
        <x:v>0.15</x:v>
      </x:c>
      <x:c r="Q751" s="7" t="n">
        <x:v>1459.19</x:v>
      </x:c>
      <x:c r="R751" s="7" t="n">
        <x:v>1055.79</x:v>
      </x:c>
      <x:c r="S751" s="7" t="n">
        <x:v>403.4</x:v>
      </x:c>
      <x:c r="T751" t="str">
        <x:v>Paid</x:v>
      </x:c>
      <x:c r="U751" t="str">
        <x:v>Completed</x:v>
      </x:c>
      <x:c r="V751" s="6" t="n">
        <x:f>IF(ISBLANK(P751),IF(AND(ISNUMBER(N751),N751&gt;0,ISNUMBER(O751),O751&gt;=0,ISNUMBER(Q751),Q751&gt;=0,ISNUMBER(R751),R751&gt;=0,ISNUMBER(S751)),0,""),P751)</x:f>
        <x:v>0.15</x:v>
      </x:c>
      <x:c r="W751" s="7" t="n">
        <x:f>IF(ISBLANK(V751),"",N751*O751*(1-V751))</x:f>
        <x:v>1459.195</x:v>
      </x:c>
      <x:c r="X751" s="7" t="n">
        <x:f>IF(OR(ISBLANK(W751),ISBLANK(R751)),"",W751-R751)</x:f>
        <x:v>403.405</x:v>
      </x:c>
      <x:c r="Y751" s="8" t="n">
        <x:f>IF(OR(ISBLANK(W751),W751=0),"",X751/W751)</x:f>
        <x:v>0.2764572247026614</x:v>
      </x:c>
      <x:c r="Z751" s="9" t="n">
        <x:f>IF(OR(ISBLANK(B751),ISBLANK(C751)),"",C751-B751)</x:f>
        <x:v>4</x:v>
      </x:c>
      <x:c r="AA751" t="str">
        <x:f>IF(ISBLANK(B751),"",TEXT(B751,"mmm"))</x:f>
        <x:v>Mar</x:v>
      </x:c>
      <x:c r="AB751" s="9" t="n">
        <x:f>IF(ISBLANK(B751),"",YEAR(B751))</x:f>
        <x:v>2024</x:v>
      </x:c>
      <x:c r="AC751" s="10" t="str"/>
      <x:c r="AD751" t="str">
        <x:f>IF(AND(U751="Completed",T751="Paid",ISERROR(SEARCH("INVALID",AC751)),ISERROR(SEARCH("REVIEW",AC751))),"Include","Exclude")</x:f>
        <x:v>Include</x:v>
      </x:c>
      <x:c r="AE751" t="str">
        <x:f>IF(T751="Refunded","Refunded","")</x:f>
      </x:c>
    </x:row>
    <x:row r="752">
      <x:c r="A752" t="str">
        <x:v>ORD-2025-10751</x:v>
      </x:c>
      <x:c r="B752" s="5" t="n">
        <x:v>45810</x:v>
      </x:c>
      <x:c r="C752" s="5" t="n">
        <x:v>45810</x:v>
      </x:c>
      <x:c r="D752" t="str">
        <x:v>CUST-7036</x:v>
      </x:c>
      <x:c r="E752" t="str">
        <x:v>Aarav Sharma</x:v>
      </x:c>
      <x:c r="F752" t="str">
        <x:v>Home Office</x:v>
      </x:c>
      <x:c r="G752" t="str">
        <x:v>South</x:v>
      </x:c>
      <x:c r="H752" t="str">
        <x:v>Telangana</x:v>
      </x:c>
      <x:c r="I752" t="str">
        <x:v>Hyderabad</x:v>
      </x:c>
      <x:c r="J752" t="str">
        <x:v>Technology</x:v>
      </x:c>
      <x:c r="K752" t="str">
        <x:v>Accessories</x:v>
      </x:c>
      <x:c r="L752" t="str">
        <x:v>Max Accessories 291</x:v>
      </x:c>
      <x:c r="M752" t="str">
        <x:v>First Class</x:v>
      </x:c>
      <x:c r="N752" t="n">
        <x:v>8</x:v>
      </x:c>
      <x:c r="O752" s="7" t="n">
        <x:v>3925.93</x:v>
      </x:c>
      <x:c r="P752" s="6" t="n">
        <x:v>0.15</x:v>
      </x:c>
      <x:c r="Q752" s="7" t="n">
        <x:v>26696.32</x:v>
      </x:c>
      <x:c r="R752" s="7" t="n">
        <x:v>22724.52</x:v>
      </x:c>
      <x:c r="S752" s="7" t="n">
        <x:v>3971.8</x:v>
      </x:c>
      <x:c r="T752" t="str">
        <x:v>Paid</x:v>
      </x:c>
      <x:c r="U752" t="str">
        <x:v>Completed</x:v>
      </x:c>
      <x:c r="V752" s="6" t="n">
        <x:f>IF(ISBLANK(P752),IF(AND(ISNUMBER(N752),N752&gt;0,ISNUMBER(O752),O752&gt;=0,ISNUMBER(Q752),Q752&gt;=0,ISNUMBER(R752),R752&gt;=0,ISNUMBER(S752)),0,""),P752)</x:f>
        <x:v>0.15</x:v>
      </x:c>
      <x:c r="W752" s="7" t="n">
        <x:f>IF(ISBLANK(V752),"",N752*O752*(1-V752))</x:f>
        <x:v>26696.323999999997</x:v>
      </x:c>
      <x:c r="X752" s="7" t="n">
        <x:f>IF(OR(ISBLANK(W752),ISBLANK(R752)),"",W752-R752)</x:f>
        <x:v>3971.8039999999964</x:v>
      </x:c>
      <x:c r="Y752" s="8" t="n">
        <x:f>IF(OR(ISBLANK(W752),W752=0),"",X752/W752)</x:f>
        <x:v>0.1487771874509763</x:v>
      </x:c>
      <x:c r="Z752" s="9" t="n">
        <x:f>IF(OR(ISBLANK(B752),ISBLANK(C752)),"",C752-B752)</x:f>
        <x:v>0</x:v>
      </x:c>
      <x:c r="AA752" t="str">
        <x:f>IF(ISBLANK(B752),"",TEXT(B752,"mmm"))</x:f>
        <x:v>Jun</x:v>
      </x:c>
      <x:c r="AB752" s="9" t="n">
        <x:f>IF(ISBLANK(B752),"",YEAR(B752))</x:f>
        <x:v>2025</x:v>
      </x:c>
      <x:c r="AC752" s="10" t="str"/>
      <x:c r="AD752" t="str">
        <x:f>IF(AND(U752="Completed",T752="Paid",ISERROR(SEARCH("INVALID",AC752)),ISERROR(SEARCH("REVIEW",AC752))),"Include","Exclude")</x:f>
        <x:v>Include</x:v>
      </x:c>
      <x:c r="AE752" t="str">
        <x:f>IF(T752="Refunded","Refunded","")</x:f>
      </x:c>
    </x:row>
    <x:row r="753">
      <x:c r="A753" t="str">
        <x:v>ORD-2025-10752</x:v>
      </x:c>
      <x:c r="B753" s="5" t="n">
        <x:v>45856</x:v>
      </x:c>
      <x:c r="C753" s="5" t="n">
        <x:v>45857</x:v>
      </x:c>
      <x:c r="D753" t="str">
        <x:v>CUST-8512</x:v>
      </x:c>
      <x:c r="E753" t="str">
        <x:v>Priya Menon</x:v>
      </x:c>
      <x:c r="F753" t="str">
        <x:v>Home Office</x:v>
      </x:c>
      <x:c r="G753" t="str">
        <x:v>Unknown</x:v>
      </x:c>
      <x:c r="H753" t="str">
        <x:v>Uttar Pradesh</x:v>
      </x:c>
      <x:c r="I753" t="str">
        <x:v>Noida</x:v>
      </x:c>
      <x:c r="J753" t="str">
        <x:v>Technology</x:v>
      </x:c>
      <x:c r="K753" t="str">
        <x:v>Machines</x:v>
      </x:c>
      <x:c r="L753" t="str">
        <x:v>Eco Machines 414</x:v>
      </x:c>
      <x:c r="M753" t="str">
        <x:v>Unknown</x:v>
      </x:c>
      <x:c r="N753" t="n">
        <x:v>3</x:v>
      </x:c>
      <x:c r="O753" s="7" t="n">
        <x:v>2963.25</x:v>
      </x:c>
      <x:c r="P753" s="6" t="n">
        <x:v>0.05</x:v>
      </x:c>
      <x:c r="Q753" s="7" t="n">
        <x:v>8445.26</x:v>
      </x:c>
      <x:c r="R753" s="7" t="n">
        <x:v>6937.6</x:v>
      </x:c>
      <x:c r="S753" s="7" t="n">
        <x:v>1507.66</x:v>
      </x:c>
      <x:c r="T753" t="str">
        <x:v>Paid</x:v>
      </x:c>
      <x:c r="U753" t="str">
        <x:v>Completed</x:v>
      </x:c>
      <x:c r="V753" s="6" t="n">
        <x:f>IF(ISBLANK(P753),IF(AND(ISNUMBER(N753),N753&gt;0,ISNUMBER(O753),O753&gt;=0,ISNUMBER(Q753),Q753&gt;=0,ISNUMBER(R753),R753&gt;=0,ISNUMBER(S753)),0,""),P753)</x:f>
        <x:v>0.05</x:v>
      </x:c>
      <x:c r="W753" s="7" t="n">
        <x:f>IF(ISBLANK(V753),"",N753*O753*(1-V753))</x:f>
        <x:v>8445.262499999999</x:v>
      </x:c>
      <x:c r="X753" s="7" t="n">
        <x:f>IF(OR(ISBLANK(W753),ISBLANK(R753)),"",W753-R753)</x:f>
        <x:v>1507.6624999999985</x:v>
      </x:c>
      <x:c r="Y753" s="8" t="n">
        <x:f>IF(OR(ISBLANK(W753),W753=0),"",X753/W753)</x:f>
        <x:v>0.17852168597482893</x:v>
      </x:c>
      <x:c r="Z753" s="9" t="n">
        <x:f>IF(OR(ISBLANK(B753),ISBLANK(C753)),"",C753-B753)</x:f>
        <x:v>1</x:v>
      </x:c>
      <x:c r="AA753" t="str">
        <x:f>IF(ISBLANK(B753),"",TEXT(B753,"mmm"))</x:f>
        <x:v>Jul</x:v>
      </x:c>
      <x:c r="AB753" s="9" t="n">
        <x:f>IF(ISBLANK(B753),"",YEAR(B753))</x:f>
        <x:v>2025</x:v>
      </x:c>
      <x:c r="AC753" s="10" t="str">
        <x:v>FLAG: Missing region filled as Unknown; FLAG: Missing ship mode filled as Unknown</x:v>
      </x:c>
      <x:c r="AD753" t="str">
        <x:f>IF(AND(U753="Completed",T753="Paid",ISERROR(SEARCH("INVALID",AC753)),ISERROR(SEARCH("REVIEW",AC753))),"Include","Exclude")</x:f>
        <x:v>Include</x:v>
      </x:c>
      <x:c r="AE753" t="str">
        <x:f>IF(T753="Refunded","Refunded","")</x:f>
      </x:c>
    </x:row>
    <x:row r="754">
      <x:c r="A754" t="str">
        <x:v>ORD-2024-10753</x:v>
      </x:c>
      <x:c r="B754" s="5" t="n">
        <x:v>45375</x:v>
      </x:c>
      <x:c r="C754" s="5" t="n">
        <x:v>45378</x:v>
      </x:c>
      <x:c r="D754" t="str">
        <x:v>CUST-6345</x:v>
      </x:c>
      <x:c r="E754" t="str">
        <x:v>Aditi Sen</x:v>
      </x:c>
      <x:c r="F754" t="str">
        <x:v>Corporate</x:v>
      </x:c>
      <x:c r="G754" t="str">
        <x:v>West</x:v>
      </x:c>
      <x:c r="H754" t="str">
        <x:v>Gujarat</x:v>
      </x:c>
      <x:c r="I754" t="str">
        <x:v>Ahmedabad</x:v>
      </x:c>
      <x:c r="J754" t="str">
        <x:v>Office Supplies</x:v>
      </x:c>
      <x:c r="K754" t="str">
        <x:v>Storage</x:v>
      </x:c>
      <x:c r="L754" t="str">
        <x:v>Basic Storage 273</x:v>
      </x:c>
      <x:c r="M754" t="str">
        <x:v>First Class</x:v>
      </x:c>
      <x:c r="N754" t="n">
        <x:v>5</x:v>
      </x:c>
      <x:c r="O754" s="7" t="n">
        <x:v>2465.22</x:v>
      </x:c>
      <x:c r="P754" s="6" t="n">
        <x:v>0.05</x:v>
      </x:c>
      <x:c r="Q754" s="7" t="n">
        <x:v>11709.79</x:v>
      </x:c>
      <x:c r="R754" s="7" t="n">
        <x:v>8372.29</x:v>
      </x:c>
      <x:c r="S754" s="7" t="n">
        <x:v>3337.5</x:v>
      </x:c>
      <x:c r="T754" t="str">
        <x:v>Paid</x:v>
      </x:c>
      <x:c r="U754" t="str">
        <x:v>Completed</x:v>
      </x:c>
      <x:c r="V754" s="6" t="n">
        <x:f>IF(ISBLANK(P754),IF(AND(ISNUMBER(N754),N754&gt;0,ISNUMBER(O754),O754&gt;=0,ISNUMBER(Q754),Q754&gt;=0,ISNUMBER(R754),R754&gt;=0,ISNUMBER(S754)),0,""),P754)</x:f>
        <x:v>0.05</x:v>
      </x:c>
      <x:c r="W754" s="7" t="n">
        <x:f>IF(ISBLANK(V754),"",N754*O754*(1-V754))</x:f>
        <x:v>11709.794999999998</x:v>
      </x:c>
      <x:c r="X754" s="7" t="n">
        <x:f>IF(OR(ISBLANK(W754),ISBLANK(R754)),"",W754-R754)</x:f>
        <x:v>3337.5049999999974</x:v>
      </x:c>
      <x:c r="Y754" s="8" t="n">
        <x:f>IF(OR(ISBLANK(W754),W754=0),"",X754/W754)</x:f>
        <x:v>0.2850182261943952</x:v>
      </x:c>
      <x:c r="Z754" s="9" t="n">
        <x:f>IF(OR(ISBLANK(B754),ISBLANK(C754)),"",C754-B754)</x:f>
        <x:v>3</x:v>
      </x:c>
      <x:c r="AA754" t="str">
        <x:f>IF(ISBLANK(B754),"",TEXT(B754,"mmm"))</x:f>
        <x:v>Mar</x:v>
      </x:c>
      <x:c r="AB754" s="9" t="n">
        <x:f>IF(ISBLANK(B754),"",YEAR(B754))</x:f>
        <x:v>2024</x:v>
      </x:c>
      <x:c r="AC754" s="10" t="str"/>
      <x:c r="AD754" t="str">
        <x:f>IF(AND(U754="Completed",T754="Paid",ISERROR(SEARCH("INVALID",AC754)),ISERROR(SEARCH("REVIEW",AC754))),"Include","Exclude")</x:f>
        <x:v>Include</x:v>
      </x:c>
      <x:c r="AE754" t="str">
        <x:f>IF(T754="Refunded","Refunded","")</x:f>
      </x:c>
    </x:row>
    <x:row r="755">
      <x:c r="A755" t="str">
        <x:v>ORD-2024-10754</x:v>
      </x:c>
      <x:c r="B755" s="5" t="n">
        <x:v>45515</x:v>
      </x:c>
      <x:c r="C755" s="5" t="n">
        <x:v>45514</x:v>
      </x:c>
      <x:c r="D755" t="str">
        <x:v>CUST-4505</x:v>
      </x:c>
      <x:c r="E755" t="str">
        <x:v>Aditi Sen</x:v>
      </x:c>
      <x:c r="F755" t="str">
        <x:v>Corporate</x:v>
      </x:c>
      <x:c r="G755" t="str">
        <x:v>North</x:v>
      </x:c>
      <x:c r="H755" t="str">
        <x:v>Delhi</x:v>
      </x:c>
      <x:c r="I755" t="str">
        <x:v>New Delhi</x:v>
      </x:c>
      <x:c r="J755" t="str">
        <x:v>Furniture</x:v>
      </x:c>
      <x:c r="K755" t="str">
        <x:v>Furnishings</x:v>
      </x:c>
      <x:c r="L755" t="str">
        <x:v>Elite Furnishings 588</x:v>
      </x:c>
      <x:c r="M755" t="str">
        <x:v>Second Class</x:v>
      </x:c>
      <x:c r="N755" t="n">
        <x:v>3</x:v>
      </x:c>
      <x:c r="O755" s="7" t="n">
        <x:v>1017.22</x:v>
      </x:c>
      <x:c r="P755" s="6" t="n">
        <x:v>0.15</x:v>
      </x:c>
      <x:c r="Q755" s="7" t="n">
        <x:v>2593.91</x:v>
      </x:c>
      <x:c r="R755" s="7" t="n">
        <x:v>1848.48</x:v>
      </x:c>
      <x:c r="S755" s="7" t="n">
        <x:v>745.43</x:v>
      </x:c>
      <x:c r="T755" t="str">
        <x:v>Failed</x:v>
      </x:c>
      <x:c r="U755" t="str">
        <x:v>Returned</x:v>
      </x:c>
      <x:c r="V755" s="6" t="n">
        <x:f>IF(ISBLANK(P755),IF(AND(ISNUMBER(N755),N755&gt;0,ISNUMBER(O755),O755&gt;=0,ISNUMBER(Q755),Q755&gt;=0,ISNUMBER(R755),R755&gt;=0,ISNUMBER(S755)),0,""),P755)</x:f>
        <x:v>0.15</x:v>
      </x:c>
      <x:c r="W755" s="7" t="n">
        <x:f>IF(ISBLANK(V755),"",N755*O755*(1-V755))</x:f>
        <x:v>2593.9109999999996</x:v>
      </x:c>
      <x:c r="X755" s="7" t="n">
        <x:f>IF(OR(ISBLANK(W755),ISBLANK(R755)),"",W755-R755)</x:f>
        <x:v>745.4309999999996</x:v>
      </x:c>
      <x:c r="Y755" s="8" t="n">
        <x:f>IF(OR(ISBLANK(W755),W755=0),"",X755/W755)</x:f>
        <x:v>0.28737724617382776</x:v>
      </x:c>
      <x:c r="Z755" s="9" t="n">
        <x:f>IF(OR(ISBLANK(B755),ISBLANK(C755)),"",C755-B755)</x:f>
        <x:v>-1</x:v>
      </x:c>
      <x:c r="AA755" t="str">
        <x:f>IF(ISBLANK(B755),"",TEXT(B755,"mmm"))</x:f>
        <x:v>Aug</x:v>
      </x:c>
      <x:c r="AB755" s="9" t="n">
        <x:f>IF(ISBLANK(B755),"",YEAR(B755))</x:f>
        <x:v>2024</x:v>
      </x:c>
      <x:c r="AC755" s="10" t="str">
        <x:v>INVALID: Ship date before order date; EXCLUDE: Failed payment</x:v>
      </x:c>
      <x:c r="AD755" t="str">
        <x:f>IF(AND(U755="Completed",T755="Paid",ISERROR(SEARCH("INVALID",AC755)),ISERROR(SEARCH("REVIEW",AC755))),"Include","Exclude")</x:f>
        <x:v>Exclude</x:v>
      </x:c>
      <x:c r="AE755" t="str">
        <x:f>IF(T755="Refunded","Refunded","")</x:f>
      </x:c>
    </x:row>
    <x:row r="756">
      <x:c r="A756" t="str">
        <x:v>ORD-2025-10755</x:v>
      </x:c>
      <x:c r="B756" s="5" t="n">
        <x:v>45812</x:v>
      </x:c>
      <x:c r="C756" s="5" t="n">
        <x:v>45812</x:v>
      </x:c>
      <x:c r="D756" t="str">
        <x:v>CUST-7960</x:v>
      </x:c>
      <x:c r="E756" t="str">
        <x:v>Neha Gupta</x:v>
      </x:c>
      <x:c r="F756" t="str">
        <x:v>Corporate</x:v>
      </x:c>
      <x:c r="G756" t="str">
        <x:v>South</x:v>
      </x:c>
      <x:c r="H756" t="str">
        <x:v>Kerala</x:v>
      </x:c>
      <x:c r="I756" t="str">
        <x:v>Kochi</x:v>
      </x:c>
      <x:c r="J756" t="str">
        <x:v>Office Supplies</x:v>
      </x:c>
      <x:c r="K756" t="str">
        <x:v>Storage</x:v>
      </x:c>
      <x:c r="L756" t="str">
        <x:v>Elite Storage 857</x:v>
      </x:c>
      <x:c r="M756" t="str">
        <x:v>Standard Class</x:v>
      </x:c>
      <x:c r="N756" t="n">
        <x:v>4</x:v>
      </x:c>
      <x:c r="O756" s="7" t="n">
        <x:v>891.34</x:v>
      </x:c>
      <x:c r="P756" s="6" t="n">
        <x:v>0.25</x:v>
      </x:c>
      <x:c r="Q756" s="7" t="n">
        <x:v>2674.02</x:v>
      </x:c>
      <x:c r="R756" s="7" t="n">
        <x:v>2207.57</x:v>
      </x:c>
      <x:c r="S756" s="7" t="n">
        <x:v>466.45</x:v>
      </x:c>
      <x:c r="T756" t="str">
        <x:v>Paid</x:v>
      </x:c>
      <x:c r="U756" t="str">
        <x:v>Completed</x:v>
      </x:c>
      <x:c r="V756" s="6" t="n">
        <x:f>IF(ISBLANK(P756),IF(AND(ISNUMBER(N756),N756&gt;0,ISNUMBER(O756),O756&gt;=0,ISNUMBER(Q756),Q756&gt;=0,ISNUMBER(R756),R756&gt;=0,ISNUMBER(S756)),0,""),P756)</x:f>
        <x:v>0.25</x:v>
      </x:c>
      <x:c r="W756" s="7" t="n">
        <x:f>IF(ISBLANK(V756),"",N756*O756*(1-V756))</x:f>
        <x:v>2674.02</x:v>
      </x:c>
      <x:c r="X756" s="7" t="n">
        <x:f>IF(OR(ISBLANK(W756),ISBLANK(R756)),"",W756-R756)</x:f>
        <x:v>466.4499999999998</x:v>
      </x:c>
      <x:c r="Y756" s="8" t="n">
        <x:f>IF(OR(ISBLANK(W756),W756=0),"",X756/W756)</x:f>
        <x:v>0.1744377379376369</x:v>
      </x:c>
      <x:c r="Z756" s="9" t="n">
        <x:f>IF(OR(ISBLANK(B756),ISBLANK(C756)),"",C756-B756)</x:f>
        <x:v>0</x:v>
      </x:c>
      <x:c r="AA756" t="str">
        <x:f>IF(ISBLANK(B756),"",TEXT(B756,"mmm"))</x:f>
        <x:v>Jun</x:v>
      </x:c>
      <x:c r="AB756" s="9" t="n">
        <x:f>IF(ISBLANK(B756),"",YEAR(B756))</x:f>
        <x:v>2025</x:v>
      </x:c>
      <x:c r="AC756" s="10" t="str"/>
      <x:c r="AD756" t="str">
        <x:f>IF(AND(U756="Completed",T756="Paid",ISERROR(SEARCH("INVALID",AC756)),ISERROR(SEARCH("REVIEW",AC756))),"Include","Exclude")</x:f>
        <x:v>Include</x:v>
      </x:c>
      <x:c r="AE756" t="str">
        <x:f>IF(T756="Refunded","Refunded","")</x:f>
      </x:c>
    </x:row>
    <x:row r="757">
      <x:c r="A757" t="str">
        <x:v>ORD-2025-10756</x:v>
      </x:c>
      <x:c r="B757" s="5" t="n">
        <x:v>45858</x:v>
      </x:c>
      <x:c r="C757" s="5" t="n">
        <x:v>45862</x:v>
      </x:c>
      <x:c r="D757" t="str">
        <x:v>CUST-3365</x:v>
      </x:c>
      <x:c r="E757" t="str">
        <x:v>Priya Menon</x:v>
      </x:c>
      <x:c r="F757" t="str">
        <x:v>Home Office</x:v>
      </x:c>
      <x:c r="G757" t="str">
        <x:v>West</x:v>
      </x:c>
      <x:c r="H757" t="str">
        <x:v>Madhya Pradesh</x:v>
      </x:c>
      <x:c r="I757" t="str">
        <x:v>Indore</x:v>
      </x:c>
      <x:c r="J757" t="str">
        <x:v>Office Supplies</x:v>
      </x:c>
      <x:c r="K757" t="str">
        <x:v>Storage</x:v>
      </x:c>
      <x:c r="L757" t="str">
        <x:v>Prime Storage 183</x:v>
      </x:c>
      <x:c r="M757" t="str">
        <x:v>Second Class</x:v>
      </x:c>
      <x:c r="N757" t="n">
        <x:v>5</x:v>
      </x:c>
      <x:c r="O757" s="7" t="n">
        <x:v>2481.74</x:v>
      </x:c>
      <x:c r="P757" s="6" t="n">
        <x:v>0.2</x:v>
      </x:c>
      <x:c r="Q757" s="7" t="n">
        <x:v>9926.96</x:v>
      </x:c>
      <x:c r="R757" s="7" t="n">
        <x:v>7994.98</x:v>
      </x:c>
      <x:c r="S757" s="7" t="n">
        <x:v>1931.98</x:v>
      </x:c>
      <x:c r="T757" t="str">
        <x:v>Paid</x:v>
      </x:c>
      <x:c r="U757" t="str">
        <x:v>Completed</x:v>
      </x:c>
      <x:c r="V757" s="6" t="n">
        <x:f>IF(ISBLANK(P757),IF(AND(ISNUMBER(N757),N757&gt;0,ISNUMBER(O757),O757&gt;=0,ISNUMBER(Q757),Q757&gt;=0,ISNUMBER(R757),R757&gt;=0,ISNUMBER(S757)),0,""),P757)</x:f>
        <x:v>0.2</x:v>
      </x:c>
      <x:c r="W757" s="7" t="n">
        <x:f>IF(ISBLANK(V757),"",N757*O757*(1-V757))</x:f>
        <x:v>9926.96</x:v>
      </x:c>
      <x:c r="X757" s="7" t="n">
        <x:f>IF(OR(ISBLANK(W757),ISBLANK(R757)),"",W757-R757)</x:f>
        <x:v>1931.9799999999996</x:v>
      </x:c>
      <x:c r="Y757" s="8" t="n">
        <x:f>IF(OR(ISBLANK(W757),W757=0),"",X757/W757)</x:f>
        <x:v>0.19461950083409219</x:v>
      </x:c>
      <x:c r="Z757" s="9" t="n">
        <x:f>IF(OR(ISBLANK(B757),ISBLANK(C757)),"",C757-B757)</x:f>
        <x:v>4</x:v>
      </x:c>
      <x:c r="AA757" t="str">
        <x:f>IF(ISBLANK(B757),"",TEXT(B757,"mmm"))</x:f>
        <x:v>Jul</x:v>
      </x:c>
      <x:c r="AB757" s="9" t="n">
        <x:f>IF(ISBLANK(B757),"",YEAR(B757))</x:f>
        <x:v>2025</x:v>
      </x:c>
      <x:c r="AC757" s="10" t="str"/>
      <x:c r="AD757" t="str">
        <x:f>IF(AND(U757="Completed",T757="Paid",ISERROR(SEARCH("INVALID",AC757)),ISERROR(SEARCH("REVIEW",AC757))),"Include","Exclude")</x:f>
        <x:v>Include</x:v>
      </x:c>
      <x:c r="AE757" t="str">
        <x:f>IF(T757="Refunded","Refunded","")</x:f>
      </x:c>
    </x:row>
    <x:row r="758">
      <x:c r="A758" t="str">
        <x:v>ORD-2024-10757</x:v>
      </x:c>
      <x:c r="B758" s="5" t="n">
        <x:v>45592</x:v>
      </x:c>
      <x:c r="C758" s="5" t="n">
        <x:v>45597</x:v>
      </x:c>
      <x:c r="D758" t="str">
        <x:v>CUST-1557</x:v>
      </x:c>
      <x:c r="E758" t="str">
        <x:v>Rohan Mehta</x:v>
      </x:c>
      <x:c r="F758" t="str">
        <x:v>Consumer</x:v>
      </x:c>
      <x:c r="G758" t="str">
        <x:v>North</x:v>
      </x:c>
      <x:c r="H758" t="str">
        <x:v>Rajasthan</x:v>
      </x:c>
      <x:c r="I758" t="str">
        <x:v>Jaipur</x:v>
      </x:c>
      <x:c r="J758" t="str">
        <x:v>Technology</x:v>
      </x:c>
      <x:c r="K758" t="str">
        <x:v>Accessories</x:v>
      </x:c>
      <x:c r="L758" t="str">
        <x:v>Smart Accessories 362</x:v>
      </x:c>
      <x:c r="M758" t="str">
        <x:v>Same Day</x:v>
      </x:c>
      <x:c r="N758" t="n">
        <x:v>7</x:v>
      </x:c>
      <x:c r="O758" s="7" t="n">
        <x:v>2177.1</x:v>
      </x:c>
      <x:c r="P758" s="6" t="n">
        <x:v>0.2</x:v>
      </x:c>
      <x:c r="Q758" s="7" t="n">
        <x:v>12191.76</x:v>
      </x:c>
      <x:c r="R758" s="7" t="n">
        <x:v>10457.49</x:v>
      </x:c>
      <x:c r="S758" s="7" t="n">
        <x:v>1734.27</x:v>
      </x:c>
      <x:c r="T758" t="str">
        <x:v>Paid</x:v>
      </x:c>
      <x:c r="U758" t="str">
        <x:v>Returned</x:v>
      </x:c>
      <x:c r="V758" s="6" t="n">
        <x:f>IF(ISBLANK(P758),IF(AND(ISNUMBER(N758),N758&gt;0,ISNUMBER(O758),O758&gt;=0,ISNUMBER(Q758),Q758&gt;=0,ISNUMBER(R758),R758&gt;=0,ISNUMBER(S758)),0,""),P758)</x:f>
        <x:v>0.2</x:v>
      </x:c>
      <x:c r="W758" s="7" t="n">
        <x:f>IF(ISBLANK(V758),"",N758*O758*(1-V758))</x:f>
        <x:v>12191.76</x:v>
      </x:c>
      <x:c r="X758" s="7" t="n">
        <x:f>IF(OR(ISBLANK(W758),ISBLANK(R758)),"",W758-R758)</x:f>
        <x:v>1734.2700000000004</x:v>
      </x:c>
      <x:c r="Y758" s="8" t="n">
        <x:f>IF(OR(ISBLANK(W758),W758=0),"",X758/W758)</x:f>
        <x:v>0.14224935530226976</x:v>
      </x:c>
      <x:c r="Z758" s="9" t="n">
        <x:f>IF(OR(ISBLANK(B758),ISBLANK(C758)),"",C758-B758)</x:f>
        <x:v>5</x:v>
      </x:c>
      <x:c r="AA758" t="str">
        <x:f>IF(ISBLANK(B758),"",TEXT(B758,"mmm"))</x:f>
        <x:v>Oct</x:v>
      </x:c>
      <x:c r="AB758" s="9" t="n">
        <x:f>IF(ISBLANK(B758),"",YEAR(B758))</x:f>
        <x:v>2024</x:v>
      </x:c>
      <x:c r="AC758" s="10" t="str"/>
      <x:c r="AD758" t="str">
        <x:f>IF(AND(U758="Completed",T758="Paid",ISERROR(SEARCH("INVALID",AC758)),ISERROR(SEARCH("REVIEW",AC758))),"Include","Exclude")</x:f>
        <x:v>Exclude</x:v>
      </x:c>
      <x:c r="AE758" t="str">
        <x:f>IF(T758="Refunded","Refunded","")</x:f>
      </x:c>
    </x:row>
    <x:row r="759">
      <x:c r="A759" t="str">
        <x:v>ORD-2025-10758</x:v>
      </x:c>
      <x:c r="B759" s="5" t="n">
        <x:v>45870</x:v>
      </x:c>
      <x:c r="C759" s="5" t="n">
        <x:v>45872</x:v>
      </x:c>
      <x:c r="D759" t="str">
        <x:v>CUST-3058</x:v>
      </x:c>
      <x:c r="E759" t="str">
        <x:v>Aditi Sen</x:v>
      </x:c>
      <x:c r="F759" t="str">
        <x:v>Small Business</x:v>
      </x:c>
      <x:c r="G759" t="str">
        <x:v>South</x:v>
      </x:c>
      <x:c r="H759" t="str">
        <x:v>Kerala</x:v>
      </x:c>
      <x:c r="I759" t="str">
        <x:v>Kochi</x:v>
      </x:c>
      <x:c r="J759" t="str">
        <x:v>Furniture</x:v>
      </x:c>
      <x:c r="K759" t="str">
        <x:v>Bookcases</x:v>
      </x:c>
      <x:c r="L759" t="str">
        <x:v>Classic Bookcases 310</x:v>
      </x:c>
      <x:c r="M759" t="str">
        <x:v>Standard Class</x:v>
      </x:c>
      <x:c r="N759" t="n">
        <x:v>3</x:v>
      </x:c>
      <x:c r="O759" s="7" t="n">
        <x:v>1904.78</x:v>
      </x:c>
      <x:c r="P759" s="6" t="n">
        <x:v>0.25</x:v>
      </x:c>
      <x:c r="Q759" s="7" t="n">
        <x:v>4285.76</x:v>
      </x:c>
      <x:c r="R759" s="7" t="n">
        <x:v>2386.33</x:v>
      </x:c>
      <x:c r="S759" s="7" t="n">
        <x:v>1899.43</x:v>
      </x:c>
      <x:c r="T759" t="str">
        <x:v>Failed</x:v>
      </x:c>
      <x:c r="U759" t="str">
        <x:v>Cancelled</x:v>
      </x:c>
      <x:c r="V759" s="6" t="n">
        <x:f>IF(ISBLANK(P759),IF(AND(ISNUMBER(N759),N759&gt;0,ISNUMBER(O759),O759&gt;=0,ISNUMBER(Q759),Q759&gt;=0,ISNUMBER(R759),R759&gt;=0,ISNUMBER(S759)),0,""),P759)</x:f>
        <x:v>0.25</x:v>
      </x:c>
      <x:c r="W759" s="7" t="n">
        <x:f>IF(ISBLANK(V759),"",N759*O759*(1-V759))</x:f>
        <x:v>4285.755</x:v>
      </x:c>
      <x:c r="X759" s="7" t="n">
        <x:f>IF(OR(ISBLANK(W759),ISBLANK(R759)),"",W759-R759)</x:f>
        <x:v>1899.4250000000002</x:v>
      </x:c>
      <x:c r="Y759" s="8" t="n">
        <x:f>IF(OR(ISBLANK(W759),W759=0),"",X759/W759)</x:f>
        <x:v>0.4431949563145817</x:v>
      </x:c>
      <x:c r="Z759" s="9" t="n">
        <x:f>IF(OR(ISBLANK(B759),ISBLANK(C759)),"",C759-B759)</x:f>
        <x:v>2</x:v>
      </x:c>
      <x:c r="AA759" t="str">
        <x:f>IF(ISBLANK(B759),"",TEXT(B759,"mmm"))</x:f>
        <x:v>Aug</x:v>
      </x:c>
      <x:c r="AB759" s="9" t="n">
        <x:f>IF(ISBLANK(B759),"",YEAR(B759))</x:f>
        <x:v>2025</x:v>
      </x:c>
      <x:c r="AC759" s="10" t="str">
        <x:v>EXCLUDE: Cancelled order; EXCLUDE: Failed payment</x:v>
      </x:c>
      <x:c r="AD759" t="str">
        <x:f>IF(AND(U759="Completed",T759="Paid",ISERROR(SEARCH("INVALID",AC759)),ISERROR(SEARCH("REVIEW",AC759))),"Include","Exclude")</x:f>
        <x:v>Exclude</x:v>
      </x:c>
      <x:c r="AE759" t="str">
        <x:f>IF(T759="Refunded","Refunded","")</x:f>
      </x:c>
    </x:row>
    <x:row r="760">
      <x:c r="A760" t="str">
        <x:v>ORD-2024-10759</x:v>
      </x:c>
      <x:c r="B760" s="5" t="n">
        <x:v>45414</x:v>
      </x:c>
      <x:c r="C760" s="5" t="n">
        <x:v>45422</x:v>
      </x:c>
      <x:c r="D760" t="str">
        <x:v>CUST-6076</x:v>
      </x:c>
      <x:c r="E760" t="str">
        <x:v>Aarav Sharma</x:v>
      </x:c>
      <x:c r="F760" t="str">
        <x:v>Small Business</x:v>
      </x:c>
      <x:c r="G760" t="str">
        <x:v>South</x:v>
      </x:c>
      <x:c r="H760" t="str">
        <x:v>Karnataka</x:v>
      </x:c>
      <x:c r="I760" t="str">
        <x:v>Bengaluru</x:v>
      </x:c>
      <x:c r="J760" t="str">
        <x:v>Furniture</x:v>
      </x:c>
      <x:c r="K760" t="str">
        <x:v>Chairs</x:v>
      </x:c>
      <x:c r="L760" t="str">
        <x:v>Prime Chairs 721</x:v>
      </x:c>
      <x:c r="M760" t="str">
        <x:v>Standard Class</x:v>
      </x:c>
      <x:c r="N760" t="n">
        <x:v>1</x:v>
      </x:c>
      <x:c r="O760" s="7" t="n">
        <x:v>4166.91</x:v>
      </x:c>
      <x:c r="P760" s="6" t="n">
        <x:v>0</x:v>
      </x:c>
      <x:c r="Q760" s="7" t="n">
        <x:v>4166.91</x:v>
      </x:c>
      <x:c r="R760" s="7" t="n">
        <x:v>3412.63</x:v>
      </x:c>
      <x:c r="S760" s="7" t="n">
        <x:v>754.28</x:v>
      </x:c>
      <x:c r="T760" t="str">
        <x:v>Paid</x:v>
      </x:c>
      <x:c r="U760" t="str">
        <x:v>Completed</x:v>
      </x:c>
      <x:c r="V760" s="6" t="n">
        <x:f>IF(ISBLANK(P760),IF(AND(ISNUMBER(N760),N760&gt;0,ISNUMBER(O760),O760&gt;=0,ISNUMBER(Q760),Q760&gt;=0,ISNUMBER(R760),R760&gt;=0,ISNUMBER(S760)),0,""),P760)</x:f>
        <x:v>0</x:v>
      </x:c>
      <x:c r="W760" s="7" t="n">
        <x:f>IF(ISBLANK(V760),"",N760*O760*(1-V760))</x:f>
        <x:v>4166.91</x:v>
      </x:c>
      <x:c r="X760" s="7" t="n">
        <x:f>IF(OR(ISBLANK(W760),ISBLANK(R760)),"",W760-R760)</x:f>
        <x:v>754.2799999999997</x:v>
      </x:c>
      <x:c r="Y760" s="8" t="n">
        <x:f>IF(OR(ISBLANK(W760),W760=0),"",X760/W760)</x:f>
        <x:v>0.181016628628888</x:v>
      </x:c>
      <x:c r="Z760" s="9" t="n">
        <x:f>IF(OR(ISBLANK(B760),ISBLANK(C760)),"",C760-B760)</x:f>
        <x:v>8</x:v>
      </x:c>
      <x:c r="AA760" t="str">
        <x:f>IF(ISBLANK(B760),"",TEXT(B760,"mmm"))</x:f>
        <x:v>May</x:v>
      </x:c>
      <x:c r="AB760" s="9" t="n">
        <x:f>IF(ISBLANK(B760),"",YEAR(B760))</x:f>
        <x:v>2024</x:v>
      </x:c>
      <x:c r="AC760" s="10" t="str"/>
      <x:c r="AD760" t="str">
        <x:f>IF(AND(U760="Completed",T760="Paid",ISERROR(SEARCH("INVALID",AC760)),ISERROR(SEARCH("REVIEW",AC760))),"Include","Exclude")</x:f>
        <x:v>Include</x:v>
      </x:c>
      <x:c r="AE760" t="str">
        <x:f>IF(T760="Refunded","Refunded","")</x:f>
      </x:c>
    </x:row>
    <x:row r="761">
      <x:c r="A761" t="str">
        <x:v>ORD-2024-10760</x:v>
      </x:c>
      <x:c r="B761" s="5" t="n">
        <x:v>45492</x:v>
      </x:c>
      <x:c r="C761" s="5" t="n">
        <x:v>45499</x:v>
      </x:c>
      <x:c r="D761" t="str">
        <x:v>CUST-2098</x:v>
      </x:c>
      <x:c r="E761" t="str">
        <x:v>Arjun Bose</x:v>
      </x:c>
      <x:c r="F761" t="str">
        <x:v>Home Office</x:v>
      </x:c>
      <x:c r="G761" t="str">
        <x:v>South</x:v>
      </x:c>
      <x:c r="H761" t="str">
        <x:v>Karnataka</x:v>
      </x:c>
      <x:c r="I761" t="str">
        <x:v>Bengaluru</x:v>
      </x:c>
      <x:c r="J761" t="str">
        <x:v>Furniture</x:v>
      </x:c>
      <x:c r="K761" t="str">
        <x:v>Tables</x:v>
      </x:c>
      <x:c r="L761" t="str">
        <x:v>Prime Tables 797</x:v>
      </x:c>
      <x:c r="M761" t="str">
        <x:v>Second Class</x:v>
      </x:c>
      <x:c r="N761" t="n">
        <x:v>5</x:v>
      </x:c>
      <x:c r="O761" s="7" t="n">
        <x:v>3986.01</x:v>
      </x:c>
      <x:c r="P761" s="6" t="n">
        <x:v>0.25</x:v>
      </x:c>
      <x:c r="Q761" s="7" t="n">
        <x:v>14947.54</x:v>
      </x:c>
      <x:c r="R761" s="7" t="n">
        <x:v>9438.46</x:v>
      </x:c>
      <x:c r="S761" s="7" t="n">
        <x:v>5509.08</x:v>
      </x:c>
      <x:c r="T761" t="str">
        <x:v>Paid</x:v>
      </x:c>
      <x:c r="U761" t="str">
        <x:v>Completed</x:v>
      </x:c>
      <x:c r="V761" s="6" t="n">
        <x:f>IF(ISBLANK(P761),IF(AND(ISNUMBER(N761),N761&gt;0,ISNUMBER(O761),O761&gt;=0,ISNUMBER(Q761),Q761&gt;=0,ISNUMBER(R761),R761&gt;=0,ISNUMBER(S761)),0,""),P761)</x:f>
        <x:v>0.25</x:v>
      </x:c>
      <x:c r="W761" s="7" t="n">
        <x:f>IF(ISBLANK(V761),"",N761*O761*(1-V761))</x:f>
        <x:v>14947.537500000002</x:v>
      </x:c>
      <x:c r="X761" s="7" t="n">
        <x:f>IF(OR(ISBLANK(W761),ISBLANK(R761)),"",W761-R761)</x:f>
        <x:v>5509.077500000003</x:v>
      </x:c>
      <x:c r="Y761" s="8" t="n">
        <x:f>IF(OR(ISBLANK(W761),W761=0),"",X761/W761)</x:f>
        <x:v>0.36856087499362367</x:v>
      </x:c>
      <x:c r="Z761" s="9" t="n">
        <x:f>IF(OR(ISBLANK(B761),ISBLANK(C761)),"",C761-B761)</x:f>
        <x:v>7</x:v>
      </x:c>
      <x:c r="AA761" t="str">
        <x:f>IF(ISBLANK(B761),"",TEXT(B761,"mmm"))</x:f>
        <x:v>Jul</x:v>
      </x:c>
      <x:c r="AB761" s="9" t="n">
        <x:f>IF(ISBLANK(B761),"",YEAR(B761))</x:f>
        <x:v>2024</x:v>
      </x:c>
      <x:c r="AC761" s="10" t="str"/>
      <x:c r="AD761" t="str">
        <x:f>IF(AND(U761="Completed",T761="Paid",ISERROR(SEARCH("INVALID",AC761)),ISERROR(SEARCH("REVIEW",AC761))),"Include","Exclude")</x:f>
        <x:v>Include</x:v>
      </x:c>
      <x:c r="AE761" t="str">
        <x:f>IF(T761="Refunded","Refunded","")</x:f>
      </x:c>
    </x:row>
    <x:row r="762">
      <x:c r="A762" t="str">
        <x:v>ORD-2024-10761</x:v>
      </x:c>
      <x:c r="B762" s="5" t="n">
        <x:v>45532</x:v>
      </x:c>
      <x:c r="C762" s="5" t="n">
        <x:v>45537</x:v>
      </x:c>
      <x:c r="D762" t="str">
        <x:v>CUST-7193</x:v>
      </x:c>
      <x:c r="E762" t="str">
        <x:v>Aditi Sen</x:v>
      </x:c>
      <x:c r="F762" t="str">
        <x:v>Home Office</x:v>
      </x:c>
      <x:c r="G762" t="str">
        <x:v>East</x:v>
      </x:c>
      <x:c r="H762" t="str">
        <x:v>Assam</x:v>
      </x:c>
      <x:c r="I762" t="str">
        <x:v>Guwahati</x:v>
      </x:c>
      <x:c r="J762" t="str">
        <x:v>Office Supplies</x:v>
      </x:c>
      <x:c r="K762" t="str">
        <x:v>Art</x:v>
      </x:c>
      <x:c r="L762" t="str">
        <x:v>Max Art 926</x:v>
      </x:c>
      <x:c r="M762" t="str">
        <x:v>Second Class</x:v>
      </x:c>
      <x:c r="N762" t="n">
        <x:v>4</x:v>
      </x:c>
      <x:c r="O762" s="7" t="n">
        <x:v>3365.53</x:v>
      </x:c>
      <x:c r="P762" s="6" t="n">
        <x:v>0</x:v>
      </x:c>
      <x:c r="Q762" s="7" t="n">
        <x:v>13462.12</x:v>
      </x:c>
      <x:c r="R762" s="7" t="n">
        <x:v>7600.63</x:v>
      </x:c>
      <x:c r="S762" s="7" t="n">
        <x:v>5861.49</x:v>
      </x:c>
      <x:c r="T762" t="str">
        <x:v>Pending</x:v>
      </x:c>
      <x:c r="U762" t="str">
        <x:v>Returned</x:v>
      </x:c>
      <x:c r="V762" s="6" t="n">
        <x:f>IF(ISBLANK(P762),IF(AND(ISNUMBER(N762),N762&gt;0,ISNUMBER(O762),O762&gt;=0,ISNUMBER(Q762),Q762&gt;=0,ISNUMBER(R762),R762&gt;=0,ISNUMBER(S762)),0,""),P762)</x:f>
        <x:v>0</x:v>
      </x:c>
      <x:c r="W762" s="7" t="n">
        <x:f>IF(ISBLANK(V762),"",N762*O762*(1-V762))</x:f>
        <x:v>13462.12</x:v>
      </x:c>
      <x:c r="X762" s="7" t="n">
        <x:f>IF(OR(ISBLANK(W762),ISBLANK(R762)),"",W762-R762)</x:f>
        <x:v>5861.490000000001</x:v>
      </x:c>
      <x:c r="Y762" s="8" t="n">
        <x:f>IF(OR(ISBLANK(W762),W762=0),"",X762/W762)</x:f>
        <x:v>0.43540616188237813</x:v>
      </x:c>
      <x:c r="Z762" s="9" t="n">
        <x:f>IF(OR(ISBLANK(B762),ISBLANK(C762)),"",C762-B762)</x:f>
        <x:v>5</x:v>
      </x:c>
      <x:c r="AA762" t="str">
        <x:f>IF(ISBLANK(B762),"",TEXT(B762,"mmm"))</x:f>
        <x:v>Aug</x:v>
      </x:c>
      <x:c r="AB762" s="9" t="n">
        <x:f>IF(ISBLANK(B762),"",YEAR(B762))</x:f>
        <x:v>2024</x:v>
      </x:c>
      <x:c r="AC762" s="10" t="str"/>
      <x:c r="AD762" t="str">
        <x:f>IF(AND(U762="Completed",T762="Paid",ISERROR(SEARCH("INVALID",AC762)),ISERROR(SEARCH("REVIEW",AC762))),"Include","Exclude")</x:f>
        <x:v>Exclude</x:v>
      </x:c>
      <x:c r="AE762" t="str">
        <x:f>IF(T762="Refunded","Refunded","")</x:f>
      </x:c>
    </x:row>
    <x:row r="763">
      <x:c r="A763" t="str">
        <x:v>ORD-2025-10762</x:v>
      </x:c>
      <x:c r="B763" s="5" t="n">
        <x:v>45896</x:v>
      </x:c>
      <x:c r="C763" s="5" t="n">
        <x:v>45900</x:v>
      </x:c>
      <x:c r="D763" t="str">
        <x:v>CUST-8948</x:v>
      </x:c>
      <x:c r="E763" t="str">
        <x:v>Isha Nair</x:v>
      </x:c>
      <x:c r="F763" t="str">
        <x:v>Consumer</x:v>
      </x:c>
      <x:c r="G763" t="str">
        <x:v>South</x:v>
      </x:c>
      <x:c r="H763" t="str">
        <x:v>Karnataka</x:v>
      </x:c>
      <x:c r="I763" t="str">
        <x:v>Bengaluru</x:v>
      </x:c>
      <x:c r="J763" t="str">
        <x:v>Technology</x:v>
      </x:c>
      <x:c r="K763" t="str">
        <x:v>Machines</x:v>
      </x:c>
      <x:c r="L763" t="str">
        <x:v>Max Machines 364</x:v>
      </x:c>
      <x:c r="M763" t="str">
        <x:v>First Class</x:v>
      </x:c>
      <x:c r="N763" t="n">
        <x:v>3</x:v>
      </x:c>
      <x:c r="O763" s="7" t="n">
        <x:v>2489.12</x:v>
      </x:c>
      <x:c r="P763" s="6" t="n">
        <x:v>0</x:v>
      </x:c>
      <x:c r="Q763" s="7" t="n">
        <x:v>7467.36</x:v>
      </x:c>
      <x:c r="R763" s="7" t="n">
        <x:v>5010.61</x:v>
      </x:c>
      <x:c r="S763" s="7" t="n">
        <x:v>2456.75</x:v>
      </x:c>
      <x:c r="T763" t="str">
        <x:v>Paid</x:v>
      </x:c>
      <x:c r="U763" t="str">
        <x:v>Completed</x:v>
      </x:c>
      <x:c r="V763" s="6" t="n">
        <x:f>IF(ISBLANK(P763),IF(AND(ISNUMBER(N763),N763&gt;0,ISNUMBER(O763),O763&gt;=0,ISNUMBER(Q763),Q763&gt;=0,ISNUMBER(R763),R763&gt;=0,ISNUMBER(S763)),0,""),P763)</x:f>
        <x:v>0</x:v>
      </x:c>
      <x:c r="W763" s="7" t="n">
        <x:f>IF(ISBLANK(V763),"",N763*O763*(1-V763))</x:f>
        <x:v>7467.36</x:v>
      </x:c>
      <x:c r="X763" s="7" t="n">
        <x:f>IF(OR(ISBLANK(W763),ISBLANK(R763)),"",W763-R763)</x:f>
        <x:v>2456.75</x:v>
      </x:c>
      <x:c r="Y763" s="8" t="n">
        <x:f>IF(OR(ISBLANK(W763),W763=0),"",X763/W763)</x:f>
        <x:v>0.3289984679994001</x:v>
      </x:c>
      <x:c r="Z763" s="9" t="n">
        <x:f>IF(OR(ISBLANK(B763),ISBLANK(C763)),"",C763-B763)</x:f>
        <x:v>4</x:v>
      </x:c>
      <x:c r="AA763" t="str">
        <x:f>IF(ISBLANK(B763),"",TEXT(B763,"mmm"))</x:f>
        <x:v>Aug</x:v>
      </x:c>
      <x:c r="AB763" s="9" t="n">
        <x:f>IF(ISBLANK(B763),"",YEAR(B763))</x:f>
        <x:v>2025</x:v>
      </x:c>
      <x:c r="AC763" s="10" t="str"/>
      <x:c r="AD763" t="str">
        <x:f>IF(AND(U763="Completed",T763="Paid",ISERROR(SEARCH("INVALID",AC763)),ISERROR(SEARCH("REVIEW",AC763))),"Include","Exclude")</x:f>
        <x:v>Include</x:v>
      </x:c>
      <x:c r="AE763" t="str">
        <x:f>IF(T763="Refunded","Refunded","")</x:f>
      </x:c>
    </x:row>
    <x:row r="764">
      <x:c r="A764" t="str">
        <x:v>ORD-2024-10763</x:v>
      </x:c>
      <x:c r="B764" s="5" t="n">
        <x:v>45292</x:v>
      </x:c>
      <x:c r="C764" s="5" t="n">
        <x:v>45296</x:v>
      </x:c>
      <x:c r="D764" t="str">
        <x:v>CUST-6921</x:v>
      </x:c>
      <x:c r="E764" t="str">
        <x:v>Diya Patel</x:v>
      </x:c>
      <x:c r="F764" t="str">
        <x:v>Corporate</x:v>
      </x:c>
      <x:c r="G764" t="str">
        <x:v>West</x:v>
      </x:c>
      <x:c r="H764" t="str">
        <x:v>Madhya Pradesh</x:v>
      </x:c>
      <x:c r="I764" t="str">
        <x:v>Indore</x:v>
      </x:c>
      <x:c r="J764" t="str">
        <x:v>Technology</x:v>
      </x:c>
      <x:c r="K764" t="str">
        <x:v>Machines</x:v>
      </x:c>
      <x:c r="L764" t="str">
        <x:v>Classic Machines 122</x:v>
      </x:c>
      <x:c r="M764" t="str">
        <x:v>Second Class</x:v>
      </x:c>
      <x:c r="N764" t="n">
        <x:v>2</x:v>
      </x:c>
      <x:c r="O764" s="7" t="n">
        <x:v>3694.12</x:v>
      </x:c>
      <x:c r="P764" s="6" t="n">
        <x:v>0.2</x:v>
      </x:c>
      <x:c r="Q764" s="7" t="n">
        <x:v>5910.59</x:v>
      </x:c>
      <x:c r="R764" s="7" t="n">
        <x:v>4775.44</x:v>
      </x:c>
      <x:c r="S764" s="7" t="n">
        <x:v>1135.15</x:v>
      </x:c>
      <x:c r="T764" t="str">
        <x:v>Refunded</x:v>
      </x:c>
      <x:c r="U764" t="str">
        <x:v>Returned</x:v>
      </x:c>
      <x:c r="V764" s="6" t="n">
        <x:f>IF(ISBLANK(P764),IF(AND(ISNUMBER(N764),N764&gt;0,ISNUMBER(O764),O764&gt;=0,ISNUMBER(Q764),Q764&gt;=0,ISNUMBER(R764),R764&gt;=0,ISNUMBER(S764)),0,""),P764)</x:f>
        <x:v>0.2</x:v>
      </x:c>
      <x:c r="W764" s="7" t="n">
        <x:f>IF(ISBLANK(V764),"",N764*O764*(1-V764))</x:f>
        <x:v>5910.592000000001</x:v>
      </x:c>
      <x:c r="X764" s="7" t="n">
        <x:f>IF(OR(ISBLANK(W764),ISBLANK(R764)),"",W764-R764)</x:f>
        <x:v>1135.152000000001</x:v>
      </x:c>
      <x:c r="Y764" s="8" t="n">
        <x:f>IF(OR(ISBLANK(W764),W764=0),"",X764/W764)</x:f>
        <x:v>0.19205385856442145</x:v>
      </x:c>
      <x:c r="Z764" s="9" t="n">
        <x:f>IF(OR(ISBLANK(B764),ISBLANK(C764)),"",C764-B764)</x:f>
        <x:v>4</x:v>
      </x:c>
      <x:c r="AA764" t="str">
        <x:f>IF(ISBLANK(B764),"",TEXT(B764,"mmm"))</x:f>
        <x:v>Jan</x:v>
      </x:c>
      <x:c r="AB764" s="9" t="n">
        <x:f>IF(ISBLANK(B764),"",YEAR(B764))</x:f>
        <x:v>2024</x:v>
      </x:c>
      <x:c r="AC764" s="10" t="str">
        <x:v>REFUND: Summarize separately</x:v>
      </x:c>
      <x:c r="AD764" t="str">
        <x:f>IF(AND(U764="Completed",T764="Paid",ISERROR(SEARCH("INVALID",AC764)),ISERROR(SEARCH("REVIEW",AC764))),"Include","Exclude")</x:f>
        <x:v>Exclude</x:v>
      </x:c>
      <x:c r="AE764" t="str">
        <x:f>IF(T764="Refunded","Refunded","")</x:f>
        <x:v>Refunded</x:v>
      </x:c>
    </x:row>
    <x:row r="765">
      <x:c r="A765" t="str">
        <x:v>ORD-2025-10764</x:v>
      </x:c>
      <x:c r="B765" s="5" t="n">
        <x:v>45892</x:v>
      </x:c>
      <x:c r="C765" s="5" t="n">
        <x:v>45894</x:v>
      </x:c>
      <x:c r="D765" t="str">
        <x:v>CUST-4086</x:v>
      </x:c>
      <x:c r="E765" t="str">
        <x:v>Diya Patel</x:v>
      </x:c>
      <x:c r="F765" t="str">
        <x:v>Consumer</x:v>
      </x:c>
      <x:c r="G765" t="str">
        <x:v>North</x:v>
      </x:c>
      <x:c r="H765" t="str">
        <x:v>Rajasthan</x:v>
      </x:c>
      <x:c r="I765" t="str">
        <x:v>Jaipur</x:v>
      </x:c>
      <x:c r="J765" t="str">
        <x:v>Furniture</x:v>
      </x:c>
      <x:c r="K765" t="str">
        <x:v>Furnishings</x:v>
      </x:c>
      <x:c r="L765" t="str">
        <x:v>Elite Furnishings 169</x:v>
      </x:c>
      <x:c r="M765" t="str">
        <x:v>Same Day</x:v>
      </x:c>
      <x:c r="N765" t="n">
        <x:v>6</x:v>
      </x:c>
      <x:c r="O765" s="7" t="n">
        <x:v>2742.48</x:v>
      </x:c>
      <x:c r="P765" s="6" t="n">
        <x:v>0</x:v>
      </x:c>
      <x:c r="Q765" s="7" t="n">
        <x:v>16454.88</x:v>
      </x:c>
      <x:c r="R765" s="7" t="n">
        <x:v>12081.54</x:v>
      </x:c>
      <x:c r="S765" s="7" t="n">
        <x:v>4373.34</x:v>
      </x:c>
      <x:c r="T765" t="str">
        <x:v>Paid</x:v>
      </x:c>
      <x:c r="U765" t="str">
        <x:v>Completed</x:v>
      </x:c>
      <x:c r="V765" s="6" t="n">
        <x:f>IF(ISBLANK(P765),IF(AND(ISNUMBER(N765),N765&gt;0,ISNUMBER(O765),O765&gt;=0,ISNUMBER(Q765),Q765&gt;=0,ISNUMBER(R765),R765&gt;=0,ISNUMBER(S765)),0,""),P765)</x:f>
        <x:v>0</x:v>
      </x:c>
      <x:c r="W765" s="7" t="n">
        <x:f>IF(ISBLANK(V765),"",N765*O765*(1-V765))</x:f>
        <x:v>16454.88</x:v>
      </x:c>
      <x:c r="X765" s="7" t="n">
        <x:f>IF(OR(ISBLANK(W765),ISBLANK(R765)),"",W765-R765)</x:f>
        <x:v>4373.34</x:v>
      </x:c>
      <x:c r="Y765" s="8" t="n">
        <x:f>IF(OR(ISBLANK(W765),W765=0),"",X765/W765)</x:f>
        <x:v>0.2657776902657449</x:v>
      </x:c>
      <x:c r="Z765" s="9" t="n">
        <x:f>IF(OR(ISBLANK(B765),ISBLANK(C765)),"",C765-B765)</x:f>
        <x:v>2</x:v>
      </x:c>
      <x:c r="AA765" t="str">
        <x:f>IF(ISBLANK(B765),"",TEXT(B765,"mmm"))</x:f>
        <x:v>Aug</x:v>
      </x:c>
      <x:c r="AB765" s="9" t="n">
        <x:f>IF(ISBLANK(B765),"",YEAR(B765))</x:f>
        <x:v>2025</x:v>
      </x:c>
      <x:c r="AC765" s="10" t="str"/>
      <x:c r="AD765" t="str">
        <x:f>IF(AND(U765="Completed",T765="Paid",ISERROR(SEARCH("INVALID",AC765)),ISERROR(SEARCH("REVIEW",AC765))),"Include","Exclude")</x:f>
        <x:v>Include</x:v>
      </x:c>
      <x:c r="AE765" t="str">
        <x:f>IF(T765="Refunded","Refunded","")</x:f>
      </x:c>
    </x:row>
    <x:row r="766">
      <x:c r="A766" t="str">
        <x:v>ORD-2025-10765</x:v>
      </x:c>
      <x:c r="B766" s="5" t="n">
        <x:v>45760</x:v>
      </x:c>
      <x:c r="C766" s="5" t="n">
        <x:v>45760</x:v>
      </x:c>
      <x:c r="D766" t="str">
        <x:v>CUST-5174</x:v>
      </x:c>
      <x:c r="E766" t="str">
        <x:v>Priya Menon</x:v>
      </x:c>
      <x:c r="F766" t="str">
        <x:v>Corporate</x:v>
      </x:c>
      <x:c r="G766" t="str">
        <x:v>South</x:v>
      </x:c>
      <x:c r="H766" t="str">
        <x:v>Kerala</x:v>
      </x:c>
      <x:c r="I766" t="str">
        <x:v>Kochi</x:v>
      </x:c>
      <x:c r="J766" t="str">
        <x:v>Furniture</x:v>
      </x:c>
      <x:c r="K766" t="str">
        <x:v>Bookcases</x:v>
      </x:c>
      <x:c r="L766" t="str">
        <x:v>Pro Bookcases 615</x:v>
      </x:c>
      <x:c r="M766" t="str">
        <x:v>First Class</x:v>
      </x:c>
      <x:c r="N766" t="n">
        <x:v>6</x:v>
      </x:c>
      <x:c r="O766" s="7" t="n">
        <x:v>4414</x:v>
      </x:c>
      <x:c r="P766" s="6" t="n">
        <x:v>0.05</x:v>
      </x:c>
      <x:c r="Q766" s="7" t="n">
        <x:v>25159.8</x:v>
      </x:c>
      <x:c r="R766" s="7" t="n">
        <x:v>21606.83</x:v>
      </x:c>
      <x:c r="S766" s="7" t="n">
        <x:v>3552.97</x:v>
      </x:c>
      <x:c r="T766" t="str">
        <x:v>Paid</x:v>
      </x:c>
      <x:c r="U766" t="str">
        <x:v>Completed</x:v>
      </x:c>
      <x:c r="V766" s="6" t="n">
        <x:f>IF(ISBLANK(P766),IF(AND(ISNUMBER(N766),N766&gt;0,ISNUMBER(O766),O766&gt;=0,ISNUMBER(Q766),Q766&gt;=0,ISNUMBER(R766),R766&gt;=0,ISNUMBER(S766)),0,""),P766)</x:f>
        <x:v>0.05</x:v>
      </x:c>
      <x:c r="W766" s="7" t="n">
        <x:f>IF(ISBLANK(V766),"",N766*O766*(1-V766))</x:f>
        <x:v>25159.8</x:v>
      </x:c>
      <x:c r="X766" s="7" t="n">
        <x:f>IF(OR(ISBLANK(W766),ISBLANK(R766)),"",W766-R766)</x:f>
        <x:v>3552.9699999999975</x:v>
      </x:c>
      <x:c r="Y766" s="8" t="n">
        <x:f>IF(OR(ISBLANK(W766),W766=0),"",X766/W766)</x:f>
        <x:v>0.14121614639226057</x:v>
      </x:c>
      <x:c r="Z766" s="9" t="n">
        <x:f>IF(OR(ISBLANK(B766),ISBLANK(C766)),"",C766-B766)</x:f>
        <x:v>0</x:v>
      </x:c>
      <x:c r="AA766" t="str">
        <x:f>IF(ISBLANK(B766),"",TEXT(B766,"mmm"))</x:f>
        <x:v>Apr</x:v>
      </x:c>
      <x:c r="AB766" s="9" t="n">
        <x:f>IF(ISBLANK(B766),"",YEAR(B766))</x:f>
        <x:v>2025</x:v>
      </x:c>
      <x:c r="AC766" s="10" t="str"/>
      <x:c r="AD766" t="str">
        <x:f>IF(AND(U766="Completed",T766="Paid",ISERROR(SEARCH("INVALID",AC766)),ISERROR(SEARCH("REVIEW",AC766))),"Include","Exclude")</x:f>
        <x:v>Include</x:v>
      </x:c>
      <x:c r="AE766" t="str">
        <x:f>IF(T766="Refunded","Refunded","")</x:f>
      </x:c>
    </x:row>
    <x:row r="767">
      <x:c r="A767" t="str">
        <x:v>ORD-2025-10766</x:v>
      </x:c>
      <x:c r="B767" s="5" t="n">
        <x:v>45837</x:v>
      </x:c>
      <x:c r="C767" s="5" t="n">
        <x:v>45841</x:v>
      </x:c>
      <x:c r="D767" t="str">
        <x:v>CUST-8747</x:v>
      </x:c>
      <x:c r="E767" t="str">
        <x:v>Vikram Iyer</x:v>
      </x:c>
      <x:c r="F767" t="str">
        <x:v>Corporate</x:v>
      </x:c>
      <x:c r="G767" t="str">
        <x:v>East</x:v>
      </x:c>
      <x:c r="H767" t="str">
        <x:v>Jharkhand</x:v>
      </x:c>
      <x:c r="I767" t="str">
        <x:v>Ranchi</x:v>
      </x:c>
      <x:c r="J767" t="str">
        <x:v>Office Supplies</x:v>
      </x:c>
      <x:c r="K767" t="str">
        <x:v>Labels</x:v>
      </x:c>
      <x:c r="L767" t="str">
        <x:v>Max Labels 136</x:v>
      </x:c>
      <x:c r="M767" t="str">
        <x:v>First Class</x:v>
      </x:c>
      <x:c r="N767" t="n">
        <x:v>3</x:v>
      </x:c>
      <x:c r="O767" s="7" t="n">
        <x:v>608.14</x:v>
      </x:c>
      <x:c r="P767" s="6" t="n">
        <x:v>0</x:v>
      </x:c>
      <x:c r="Q767" s="7" t="n">
        <x:v>1824.42</x:v>
      </x:c>
      <x:c r="R767" s="7" t="n">
        <x:v>1214.87</x:v>
      </x:c>
      <x:c r="S767" s="7" t="n">
        <x:v>609.55</x:v>
      </x:c>
      <x:c r="T767" t="str">
        <x:v>Paid</x:v>
      </x:c>
      <x:c r="U767" t="str">
        <x:v>Completed</x:v>
      </x:c>
      <x:c r="V767" s="6" t="n">
        <x:f>IF(ISBLANK(P767),IF(AND(ISNUMBER(N767),N767&gt;0,ISNUMBER(O767),O767&gt;=0,ISNUMBER(Q767),Q767&gt;=0,ISNUMBER(R767),R767&gt;=0,ISNUMBER(S767)),0,""),P767)</x:f>
        <x:v>0</x:v>
      </x:c>
      <x:c r="W767" s="7" t="n">
        <x:f>IF(ISBLANK(V767),"",N767*O767*(1-V767))</x:f>
        <x:v>1824.42</x:v>
      </x:c>
      <x:c r="X767" s="7" t="n">
        <x:f>IF(OR(ISBLANK(W767),ISBLANK(R767)),"",W767-R767)</x:f>
        <x:v>609.5500000000002</x:v>
      </x:c>
      <x:c r="Y767" s="8" t="n">
        <x:f>IF(OR(ISBLANK(W767),W767=0),"",X767/W767)</x:f>
        <x:v>0.33410618169061956</x:v>
      </x:c>
      <x:c r="Z767" s="9" t="n">
        <x:f>IF(OR(ISBLANK(B767),ISBLANK(C767)),"",C767-B767)</x:f>
        <x:v>4</x:v>
      </x:c>
      <x:c r="AA767" t="str">
        <x:f>IF(ISBLANK(B767),"",TEXT(B767,"mmm"))</x:f>
        <x:v>Jun</x:v>
      </x:c>
      <x:c r="AB767" s="9" t="n">
        <x:f>IF(ISBLANK(B767),"",YEAR(B767))</x:f>
        <x:v>2025</x:v>
      </x:c>
      <x:c r="AC767" s="10" t="str"/>
      <x:c r="AD767" t="str">
        <x:f>IF(AND(U767="Completed",T767="Paid",ISERROR(SEARCH("INVALID",AC767)),ISERROR(SEARCH("REVIEW",AC767))),"Include","Exclude")</x:f>
        <x:v>Include</x:v>
      </x:c>
      <x:c r="AE767" t="str">
        <x:f>IF(T767="Refunded","Refunded","")</x:f>
      </x:c>
    </x:row>
    <x:row r="768">
      <x:c r="A768" t="str">
        <x:v>ORD-2024-10767</x:v>
      </x:c>
      <x:c r="B768" s="5" t="n">
        <x:v>45552</x:v>
      </x:c>
      <x:c r="C768" s="5" t="n">
        <x:v>45559</x:v>
      </x:c>
      <x:c r="D768" t="str">
        <x:v>CUST-3156</x:v>
      </x:c>
      <x:c r="E768" t="str">
        <x:v>Mira Das</x:v>
      </x:c>
      <x:c r="F768" t="str">
        <x:v>Corporate</x:v>
      </x:c>
      <x:c r="G768" t="str">
        <x:v>West</x:v>
      </x:c>
      <x:c r="H768" t="str">
        <x:v>Gujarat</x:v>
      </x:c>
      <x:c r="I768" t="str">
        <x:v>Ahmedabad</x:v>
      </x:c>
      <x:c r="J768" t="str">
        <x:v>Office Supplies</x:v>
      </x:c>
      <x:c r="K768" t="str">
        <x:v>Art</x:v>
      </x:c>
      <x:c r="L768" t="str">
        <x:v>Prime Art 380</x:v>
      </x:c>
      <x:c r="M768" t="str">
        <x:v>Second Class</x:v>
      </x:c>
      <x:c r="N768" t="n">
        <x:v>9</x:v>
      </x:c>
      <x:c r="O768" s="7" t="n">
        <x:v>2307.96</x:v>
      </x:c>
      <x:c r="P768" s="6" t="n">
        <x:v>0.2</x:v>
      </x:c>
      <x:c r="Q768" s="7" t="n">
        <x:v>16617.31</x:v>
      </x:c>
      <x:c r="R768" s="7" t="n">
        <x:v>9195.73</x:v>
      </x:c>
      <x:c r="S768" s="7" t="n">
        <x:v>7421.58</x:v>
      </x:c>
      <x:c r="T768" t="str">
        <x:v>Paid</x:v>
      </x:c>
      <x:c r="U768" t="str">
        <x:v>Cancelled</x:v>
      </x:c>
      <x:c r="V768" s="6" t="n">
        <x:f>IF(ISBLANK(P768),IF(AND(ISNUMBER(N768),N768&gt;0,ISNUMBER(O768),O768&gt;=0,ISNUMBER(Q768),Q768&gt;=0,ISNUMBER(R768),R768&gt;=0,ISNUMBER(S768)),0,""),P768)</x:f>
        <x:v>0.2</x:v>
      </x:c>
      <x:c r="W768" s="7" t="n">
        <x:f>IF(ISBLANK(V768),"",N768*O768*(1-V768))</x:f>
        <x:v>16617.312</x:v>
      </x:c>
      <x:c r="X768" s="7" t="n">
        <x:f>IF(OR(ISBLANK(W768),ISBLANK(R768)),"",W768-R768)</x:f>
        <x:v>7421.582000000002</x:v>
      </x:c>
      <x:c r="Y768" s="8" t="n">
        <x:f>IF(OR(ISBLANK(W768),W768=0),"",X768/W768)</x:f>
        <x:v>0.44661747940942564</x:v>
      </x:c>
      <x:c r="Z768" s="9" t="n">
        <x:f>IF(OR(ISBLANK(B768),ISBLANK(C768)),"",C768-B768)</x:f>
        <x:v>7</x:v>
      </x:c>
      <x:c r="AA768" t="str">
        <x:f>IF(ISBLANK(B768),"",TEXT(B768,"mmm"))</x:f>
        <x:v>Sep</x:v>
      </x:c>
      <x:c r="AB768" s="9" t="n">
        <x:f>IF(ISBLANK(B768),"",YEAR(B768))</x:f>
        <x:v>2024</x:v>
      </x:c>
      <x:c r="AC768" s="10" t="str">
        <x:v>EXCLUDE: Cancelled order</x:v>
      </x:c>
      <x:c r="AD768" t="str">
        <x:f>IF(AND(U768="Completed",T768="Paid",ISERROR(SEARCH("INVALID",AC768)),ISERROR(SEARCH("REVIEW",AC768))),"Include","Exclude")</x:f>
        <x:v>Exclude</x:v>
      </x:c>
      <x:c r="AE768" t="str">
        <x:f>IF(T768="Refunded","Refunded","")</x:f>
      </x:c>
    </x:row>
    <x:row r="769">
      <x:c r="A769" t="str">
        <x:v>ORD-2024-10768</x:v>
      </x:c>
      <x:c r="B769" s="5" t="n">
        <x:v>45415</x:v>
      </x:c>
      <x:c r="C769" s="5" t="n">
        <x:v>45418</x:v>
      </x:c>
      <x:c r="D769" t="str">
        <x:v>CUST-2043</x:v>
      </x:c>
      <x:c r="E769" t="str">
        <x:v>Ananya Rao</x:v>
      </x:c>
      <x:c r="F769" t="str">
        <x:v>Home Office</x:v>
      </x:c>
      <x:c r="G769" t="str">
        <x:v>North</x:v>
      </x:c>
      <x:c r="H769" t="str">
        <x:v>Uttar Pradesh</x:v>
      </x:c>
      <x:c r="I769" t="str">
        <x:v>Noida</x:v>
      </x:c>
      <x:c r="J769" t="str">
        <x:v>Office Supplies</x:v>
      </x:c>
      <x:c r="K769" t="str">
        <x:v>Binders</x:v>
      </x:c>
      <x:c r="L769" t="str">
        <x:v>Classic Binders 234</x:v>
      </x:c>
      <x:c r="M769" t="str">
        <x:v>Standard Class</x:v>
      </x:c>
      <x:c r="N769" t="n">
        <x:v>1</x:v>
      </x:c>
      <x:c r="O769" s="7" t="n">
        <x:v>1244.58</x:v>
      </x:c>
      <x:c r="P769" s="6" t="n">
        <x:v>0.25</x:v>
      </x:c>
      <x:c r="Q769" s="7" t="n">
        <x:v>933.43</x:v>
      </x:c>
      <x:c r="R769" s="7" t="n">
        <x:v>583.09</x:v>
      </x:c>
      <x:c r="S769" s="7" t="n">
        <x:v>350.34</x:v>
      </x:c>
      <x:c r="T769" t="str">
        <x:v>Paid</x:v>
      </x:c>
      <x:c r="U769" t="str">
        <x:v>Completed</x:v>
      </x:c>
      <x:c r="V769" s="6" t="n">
        <x:f>IF(ISBLANK(P769),IF(AND(ISNUMBER(N769),N769&gt;0,ISNUMBER(O769),O769&gt;=0,ISNUMBER(Q769),Q769&gt;=0,ISNUMBER(R769),R769&gt;=0,ISNUMBER(S769)),0,""),P769)</x:f>
        <x:v>0.25</x:v>
      </x:c>
      <x:c r="W769" s="7" t="n">
        <x:f>IF(ISBLANK(V769),"",N769*O769*(1-V769))</x:f>
        <x:v>933.435</x:v>
      </x:c>
      <x:c r="X769" s="7" t="n">
        <x:f>IF(OR(ISBLANK(W769),ISBLANK(R769)),"",W769-R769)</x:f>
        <x:v>350.3449999999999</x:v>
      </x:c>
      <x:c r="Y769" s="8" t="n">
        <x:f>IF(OR(ISBLANK(W769),W769=0),"",X769/W769)</x:f>
        <x:v>0.3753287588316272</x:v>
      </x:c>
      <x:c r="Z769" s="9" t="n">
        <x:f>IF(OR(ISBLANK(B769),ISBLANK(C769)),"",C769-B769)</x:f>
        <x:v>3</x:v>
      </x:c>
      <x:c r="AA769" t="str">
        <x:f>IF(ISBLANK(B769),"",TEXT(B769,"mmm"))</x:f>
        <x:v>May</x:v>
      </x:c>
      <x:c r="AB769" s="9" t="n">
        <x:f>IF(ISBLANK(B769),"",YEAR(B769))</x:f>
        <x:v>2024</x:v>
      </x:c>
      <x:c r="AC769" s="10" t="str"/>
      <x:c r="AD769" t="str">
        <x:f>IF(AND(U769="Completed",T769="Paid",ISERROR(SEARCH("INVALID",AC769)),ISERROR(SEARCH("REVIEW",AC769))),"Include","Exclude")</x:f>
        <x:v>Include</x:v>
      </x:c>
      <x:c r="AE769" t="str">
        <x:f>IF(T769="Refunded","Refunded","")</x:f>
      </x:c>
    </x:row>
    <x:row r="770">
      <x:c r="A770" t="str">
        <x:v>ORD-2025-10769</x:v>
      </x:c>
      <x:c r="B770" s="5" t="n">
        <x:v>45749</x:v>
      </x:c>
      <x:c r="C770" s="5" t="n">
        <x:v>45751</x:v>
      </x:c>
      <x:c r="D770" t="str">
        <x:v>CUST-8808</x:v>
      </x:c>
      <x:c r="E770" t="str">
        <x:v>Sneha Kapoor</x:v>
      </x:c>
      <x:c r="F770" t="str">
        <x:v>Home Office</x:v>
      </x:c>
      <x:c r="G770" t="str">
        <x:v>East</x:v>
      </x:c>
      <x:c r="H770" t="str">
        <x:v>Jharkhand</x:v>
      </x:c>
      <x:c r="I770" t="str">
        <x:v>Ranchi</x:v>
      </x:c>
      <x:c r="J770" t="str">
        <x:v>Office Supplies</x:v>
      </x:c>
      <x:c r="K770" t="str">
        <x:v>Paper</x:v>
      </x:c>
      <x:c r="L770" t="str">
        <x:v>Classic Paper 280</x:v>
      </x:c>
      <x:c r="M770" t="str">
        <x:v>Same Day</x:v>
      </x:c>
      <x:c r="N770" t="n">
        <x:v>5</x:v>
      </x:c>
      <x:c r="O770" s="7" t="n">
        <x:v>3234.24</x:v>
      </x:c>
      <x:c r="P770" s="6" t="n">
        <x:v>0.1</x:v>
      </x:c>
      <x:c r="Q770" s="7" t="n">
        <x:v>14554.08</x:v>
      </x:c>
      <x:c r="R770" s="7" t="n">
        <x:v>11166.84</x:v>
      </x:c>
      <x:c r="S770" s="7" t="n">
        <x:v>3387.24</x:v>
      </x:c>
      <x:c r="T770" t="str">
        <x:v>Paid</x:v>
      </x:c>
      <x:c r="U770" t="str">
        <x:v>Completed</x:v>
      </x:c>
      <x:c r="V770" s="6" t="n">
        <x:f>IF(ISBLANK(P770),IF(AND(ISNUMBER(N770),N770&gt;0,ISNUMBER(O770),O770&gt;=0,ISNUMBER(Q770),Q770&gt;=0,ISNUMBER(R770),R770&gt;=0,ISNUMBER(S770)),0,""),P770)</x:f>
        <x:v>0.1</x:v>
      </x:c>
      <x:c r="W770" s="7" t="n">
        <x:f>IF(ISBLANK(V770),"",N770*O770*(1-V770))</x:f>
        <x:v>14554.08</x:v>
      </x:c>
      <x:c r="X770" s="7" t="n">
        <x:f>IF(OR(ISBLANK(W770),ISBLANK(R770)),"",W770-R770)</x:f>
        <x:v>3387.24</x:v>
      </x:c>
      <x:c r="Y770" s="8" t="n">
        <x:f>IF(OR(ISBLANK(W770),W770=0),"",X770/W770)</x:f>
        <x:v>0.23273473830018798</x:v>
      </x:c>
      <x:c r="Z770" s="9" t="n">
        <x:f>IF(OR(ISBLANK(B770),ISBLANK(C770)),"",C770-B770)</x:f>
        <x:v>2</x:v>
      </x:c>
      <x:c r="AA770" t="str">
        <x:f>IF(ISBLANK(B770),"",TEXT(B770,"mmm"))</x:f>
        <x:v>Apr</x:v>
      </x:c>
      <x:c r="AB770" s="9" t="n">
        <x:f>IF(ISBLANK(B770),"",YEAR(B770))</x:f>
        <x:v>2025</x:v>
      </x:c>
      <x:c r="AC770" s="10" t="str"/>
      <x:c r="AD770" t="str">
        <x:f>IF(AND(U770="Completed",T770="Paid",ISERROR(SEARCH("INVALID",AC770)),ISERROR(SEARCH("REVIEW",AC770))),"Include","Exclude")</x:f>
        <x:v>Include</x:v>
      </x:c>
      <x:c r="AE770" t="str">
        <x:f>IF(T770="Refunded","Refunded","")</x:f>
      </x:c>
    </x:row>
    <x:row r="771">
      <x:c r="A771" t="str">
        <x:v>ORD-2024-10770</x:v>
      </x:c>
      <x:c r="B771" s="5" t="n">
        <x:v>45423</x:v>
      </x:c>
      <x:c r="C771" s="5" t="n">
        <x:v>45425</x:v>
      </x:c>
      <x:c r="D771" t="str">
        <x:v>CUST-1293</x:v>
      </x:c>
      <x:c r="E771" t="str">
        <x:v>Priya Menon</x:v>
      </x:c>
      <x:c r="F771" t="str">
        <x:v>Home Office</x:v>
      </x:c>
      <x:c r="G771" t="str">
        <x:v>West</x:v>
      </x:c>
      <x:c r="H771" t="str">
        <x:v>Goa</x:v>
      </x:c>
      <x:c r="I771" t="str">
        <x:v>Panaji</x:v>
      </x:c>
      <x:c r="J771" t="str">
        <x:v>Furniture</x:v>
      </x:c>
      <x:c r="K771" t="str">
        <x:v>Bookcases</x:v>
      </x:c>
      <x:c r="L771" t="str">
        <x:v>Classic Bookcases 922</x:v>
      </x:c>
      <x:c r="M771" t="str">
        <x:v>Same Day</x:v>
      </x:c>
      <x:c r="N771" t="n">
        <x:v>3</x:v>
      </x:c>
      <x:c r="O771" s="7" t="n">
        <x:v>3612.75</x:v>
      </x:c>
      <x:c r="P771" s="6" t="n">
        <x:v>0.25</x:v>
      </x:c>
      <x:c r="Q771" s="7" t="n">
        <x:v>8128.69</x:v>
      </x:c>
      <x:c r="R771" s="7" t="n">
        <x:v>5071.66</x:v>
      </x:c>
      <x:c r="S771" s="7" t="n">
        <x:v>3057.03</x:v>
      </x:c>
      <x:c r="T771" t="str">
        <x:v>Paid</x:v>
      </x:c>
      <x:c r="U771" t="str">
        <x:v>Completed</x:v>
      </x:c>
      <x:c r="V771" s="6" t="n">
        <x:f>IF(ISBLANK(P771),IF(AND(ISNUMBER(N771),N771&gt;0,ISNUMBER(O771),O771&gt;=0,ISNUMBER(Q771),Q771&gt;=0,ISNUMBER(R771),R771&gt;=0,ISNUMBER(S771)),0,""),P771)</x:f>
        <x:v>0.25</x:v>
      </x:c>
      <x:c r="W771" s="7" t="n">
        <x:f>IF(ISBLANK(V771),"",N771*O771*(1-V771))</x:f>
        <x:v>8128.6875</x:v>
      </x:c>
      <x:c r="X771" s="7" t="n">
        <x:f>IF(OR(ISBLANK(W771),ISBLANK(R771)),"",W771-R771)</x:f>
        <x:v>3057.0275</x:v>
      </x:c>
      <x:c r="Y771" s="8" t="n">
        <x:f>IF(OR(ISBLANK(W771),W771=0),"",X771/W771)</x:f>
        <x:v>0.3760788565189645</x:v>
      </x:c>
      <x:c r="Z771" s="9" t="n">
        <x:f>IF(OR(ISBLANK(B771),ISBLANK(C771)),"",C771-B771)</x:f>
        <x:v>2</x:v>
      </x:c>
      <x:c r="AA771" t="str">
        <x:f>IF(ISBLANK(B771),"",TEXT(B771,"mmm"))</x:f>
        <x:v>May</x:v>
      </x:c>
      <x:c r="AB771" s="9" t="n">
        <x:f>IF(ISBLANK(B771),"",YEAR(B771))</x:f>
        <x:v>2024</x:v>
      </x:c>
      <x:c r="AC771" s="10" t="str"/>
      <x:c r="AD771" t="str">
        <x:f>IF(AND(U771="Completed",T771="Paid",ISERROR(SEARCH("INVALID",AC771)),ISERROR(SEARCH("REVIEW",AC771))),"Include","Exclude")</x:f>
        <x:v>Include</x:v>
      </x:c>
      <x:c r="AE771" t="str">
        <x:f>IF(T771="Refunded","Refunded","")</x:f>
      </x:c>
    </x:row>
    <x:row r="772">
      <x:c r="A772" t="str">
        <x:v>ORD-2024-10771</x:v>
      </x:c>
      <x:c r="B772" s="5" t="n">
        <x:v>45337</x:v>
      </x:c>
      <x:c r="C772" s="5" t="n">
        <x:v>45339</x:v>
      </x:c>
      <x:c r="D772" t="str">
        <x:v>CUST-8384</x:v>
      </x:c>
      <x:c r="E772" t="str">
        <x:v>Neha Gupta</x:v>
      </x:c>
      <x:c r="F772" t="str">
        <x:v>Consumer</x:v>
      </x:c>
      <x:c r="G772" t="str">
        <x:v>North</x:v>
      </x:c>
      <x:c r="H772" t="str">
        <x:v>Uttar Pradesh</x:v>
      </x:c>
      <x:c r="I772" t="str">
        <x:v>Noida</x:v>
      </x:c>
      <x:c r="J772" t="str">
        <x:v>Technology</x:v>
      </x:c>
      <x:c r="K772" t="str">
        <x:v>Copiers</x:v>
      </x:c>
      <x:c r="L772" t="str">
        <x:v>Eco Copiers 396</x:v>
      </x:c>
      <x:c r="M772" t="str">
        <x:v>First Class</x:v>
      </x:c>
      <x:c r="N772" t="n">
        <x:v>4</x:v>
      </x:c>
      <x:c r="O772" s="7" t="n">
        <x:v>863</x:v>
      </x:c>
      <x:c r="P772" s="6"/>
      <x:c r="Q772" s="7" t="n">
        <x:v>3106.8</x:v>
      </x:c>
      <x:c r="R772" s="7" t="n">
        <x:v>2376.62</x:v>
      </x:c>
      <x:c r="S772" s="7" t="n">
        <x:v>730.18</x:v>
      </x:c>
      <x:c r="T772" t="str">
        <x:v>Paid</x:v>
      </x:c>
      <x:c r="U772" t="str">
        <x:v>Completed</x:v>
      </x:c>
      <x:c r="V772" s="6" t="n">
        <x:f>IF(ISBLANK(P772),IF(AND(ISNUMBER(N772),N772&gt;0,ISNUMBER(O772),O772&gt;=0,ISNUMBER(Q772),Q772&gt;=0,ISNUMBER(R772),R772&gt;=0,ISNUMBER(S772)),0,""),P772)</x:f>
        <x:v>0</x:v>
      </x:c>
      <x:c r="W772" s="7" t="n">
        <x:f>IF(ISBLANK(V772),"",N772*O772*(1-V772))</x:f>
        <x:v>3452</x:v>
      </x:c>
      <x:c r="X772" s="7" t="n">
        <x:f>IF(OR(ISBLANK(W772),ISBLANK(R772)),"",W772-R772)</x:f>
        <x:v>1075.38</x:v>
      </x:c>
      <x:c r="Y772" s="8" t="n">
        <x:f>IF(OR(ISBLANK(W772),W772=0),"",X772/W772)</x:f>
        <x:v>0.3115237543453071</x:v>
      </x:c>
      <x:c r="Z772" s="9" t="n">
        <x:f>IF(OR(ISBLANK(B772),ISBLANK(C772)),"",C772-B772)</x:f>
        <x:v>2</x:v>
      </x:c>
      <x:c r="AA772" t="str">
        <x:f>IF(ISBLANK(B772),"",TEXT(B772,"mmm"))</x:f>
        <x:v>Feb</x:v>
      </x:c>
      <x:c r="AB772" s="9" t="n">
        <x:f>IF(ISBLANK(B772),"",YEAR(B772))</x:f>
        <x:v>2024</x:v>
      </x:c>
      <x:c r="AC772" s="10" t="str">
        <x:v>FLAG: Missing discount treated as 0</x:v>
      </x:c>
      <x:c r="AD772" t="str">
        <x:f>IF(AND(U772="Completed",T772="Paid",ISERROR(SEARCH("INVALID",AC772)),ISERROR(SEARCH("REVIEW",AC772))),"Include","Exclude")</x:f>
        <x:v>Include</x:v>
      </x:c>
      <x:c r="AE772" t="str">
        <x:f>IF(T772="Refunded","Refunded","")</x:f>
      </x:c>
    </x:row>
    <x:row r="773">
      <x:c r="A773" t="str">
        <x:v>ORD-2024-10772</x:v>
      </x:c>
      <x:c r="B773" s="5" t="n">
        <x:v>45485</x:v>
      </x:c>
      <x:c r="C773" s="5" t="n">
        <x:v>45487</x:v>
      </x:c>
      <x:c r="D773" t="str">
        <x:v>CUST-7861</x:v>
      </x:c>
      <x:c r="E773" t="str">
        <x:v>Ananya Rao</x:v>
      </x:c>
      <x:c r="F773" t="str">
        <x:v>Consumer</x:v>
      </x:c>
      <x:c r="G773" t="str">
        <x:v>North</x:v>
      </x:c>
      <x:c r="H773" t="str">
        <x:v>Haryana</x:v>
      </x:c>
      <x:c r="I773" t="str">
        <x:v>Gurugram</x:v>
      </x:c>
      <x:c r="J773" t="str">
        <x:v>Technology</x:v>
      </x:c>
      <x:c r="K773" t="str">
        <x:v>Machines</x:v>
      </x:c>
      <x:c r="L773" t="str">
        <x:v>Basic Machines 401</x:v>
      </x:c>
      <x:c r="M773" t="str">
        <x:v>Second Class</x:v>
      </x:c>
      <x:c r="N773" t="n">
        <x:v>4</x:v>
      </x:c>
      <x:c r="O773" s="7" t="n">
        <x:v>2131.41</x:v>
      </x:c>
      <x:c r="P773" s="6"/>
      <x:c r="Q773" s="7" t="n">
        <x:v>6394.23</x:v>
      </x:c>
      <x:c r="R773" s="7" t="n">
        <x:v>3520.69</x:v>
      </x:c>
      <x:c r="S773" s="7" t="n">
        <x:v>2873.54</x:v>
      </x:c>
      <x:c r="T773" t="str">
        <x:v>Paid</x:v>
      </x:c>
      <x:c r="U773" t="str">
        <x:v>Completed</x:v>
      </x:c>
      <x:c r="V773" s="6" t="n">
        <x:f>IF(ISBLANK(P773),IF(AND(ISNUMBER(N773),N773&gt;0,ISNUMBER(O773),O773&gt;=0,ISNUMBER(Q773),Q773&gt;=0,ISNUMBER(R773),R773&gt;=0,ISNUMBER(S773)),0,""),P773)</x:f>
        <x:v>0</x:v>
      </x:c>
      <x:c r="W773" s="7" t="n">
        <x:f>IF(ISBLANK(V773),"",N773*O773*(1-V773))</x:f>
        <x:v>8525.64</x:v>
      </x:c>
      <x:c r="X773" s="7" t="n">
        <x:f>IF(OR(ISBLANK(W773),ISBLANK(R773)),"",W773-R773)</x:f>
        <x:v>5004.949999999999</x:v>
      </x:c>
      <x:c r="Y773" s="8" t="n">
        <x:f>IF(OR(ISBLANK(W773),W773=0),"",X773/W773)</x:f>
        <x:v>0.5870468375394691</x:v>
      </x:c>
      <x:c r="Z773" s="9" t="n">
        <x:f>IF(OR(ISBLANK(B773),ISBLANK(C773)),"",C773-B773)</x:f>
        <x:v>2</x:v>
      </x:c>
      <x:c r="AA773" t="str">
        <x:f>IF(ISBLANK(B773),"",TEXT(B773,"mmm"))</x:f>
        <x:v>Jul</x:v>
      </x:c>
      <x:c r="AB773" s="9" t="n">
        <x:f>IF(ISBLANK(B773),"",YEAR(B773))</x:f>
        <x:v>2024</x:v>
      </x:c>
      <x:c r="AC773" s="10" t="str">
        <x:v>FLAG: Missing discount treated as 0</x:v>
      </x:c>
      <x:c r="AD773" t="str">
        <x:f>IF(AND(U773="Completed",T773="Paid",ISERROR(SEARCH("INVALID",AC773)),ISERROR(SEARCH("REVIEW",AC773))),"Include","Exclude")</x:f>
        <x:v>Include</x:v>
      </x:c>
      <x:c r="AE773" t="str">
        <x:f>IF(T773="Refunded","Refunded","")</x:f>
      </x:c>
    </x:row>
    <x:row r="774">
      <x:c r="A774" t="str">
        <x:v>ORD-2025-10773</x:v>
      </x:c>
      <x:c r="B774" s="5" t="n">
        <x:v>45853</x:v>
      </x:c>
      <x:c r="C774" s="5" t="n">
        <x:v>45857</x:v>
      </x:c>
      <x:c r="D774" t="str">
        <x:v>CUST-8422</x:v>
      </x:c>
      <x:c r="E774" t="str">
        <x:v>Diya Patel</x:v>
      </x:c>
      <x:c r="F774" t="str">
        <x:v>Consumer</x:v>
      </x:c>
      <x:c r="G774" t="str">
        <x:v>South</x:v>
      </x:c>
      <x:c r="H774" t="str">
        <x:v>Tamil Nadu</x:v>
      </x:c>
      <x:c r="I774" t="str">
        <x:v>Chennai</x:v>
      </x:c>
      <x:c r="J774" t="str">
        <x:v>Furniture</x:v>
      </x:c>
      <x:c r="K774" t="str">
        <x:v>Chairs</x:v>
      </x:c>
      <x:c r="L774" t="str">
        <x:v>Basic Chairs 279</x:v>
      </x:c>
      <x:c r="M774" t="str">
        <x:v>Same Day</x:v>
      </x:c>
      <x:c r="N774" t="n">
        <x:v>1</x:v>
      </x:c>
      <x:c r="O774" s="7" t="n">
        <x:v>3903.22</x:v>
      </x:c>
      <x:c r="P774" s="6" t="n">
        <x:v>0.05</x:v>
      </x:c>
      <x:c r="Q774" s="7" t="n">
        <x:v>3708.06</x:v>
      </x:c>
      <x:c r="R774" s="7" t="n">
        <x:v>2760.29</x:v>
      </x:c>
      <x:c r="S774" s="7" t="n">
        <x:v>947.77</x:v>
      </x:c>
      <x:c r="T774" t="str">
        <x:v>Pending</x:v>
      </x:c>
      <x:c r="U774" t="str">
        <x:v>Cancelled</x:v>
      </x:c>
      <x:c r="V774" s="6" t="n">
        <x:f>IF(ISBLANK(P774),IF(AND(ISNUMBER(N774),N774&gt;0,ISNUMBER(O774),O774&gt;=0,ISNUMBER(Q774),Q774&gt;=0,ISNUMBER(R774),R774&gt;=0,ISNUMBER(S774)),0,""),P774)</x:f>
        <x:v>0.05</x:v>
      </x:c>
      <x:c r="W774" s="7" t="n">
        <x:f>IF(ISBLANK(V774),"",N774*O774*(1-V774))</x:f>
        <x:v>3708.0589999999997</x:v>
      </x:c>
      <x:c r="X774" s="7" t="n">
        <x:f>IF(OR(ISBLANK(W774),ISBLANK(R774)),"",W774-R774)</x:f>
        <x:v>947.7689999999998</x:v>
      </x:c>
      <x:c r="Y774" s="8" t="n">
        <x:f>IF(OR(ISBLANK(W774),W774=0),"",X774/W774)</x:f>
        <x:v>0.2555970657424814</x:v>
      </x:c>
      <x:c r="Z774" s="9" t="n">
        <x:f>IF(OR(ISBLANK(B774),ISBLANK(C774)),"",C774-B774)</x:f>
        <x:v>4</x:v>
      </x:c>
      <x:c r="AA774" t="str">
        <x:f>IF(ISBLANK(B774),"",TEXT(B774,"mmm"))</x:f>
        <x:v>Jul</x:v>
      </x:c>
      <x:c r="AB774" s="9" t="n">
        <x:f>IF(ISBLANK(B774),"",YEAR(B774))</x:f>
        <x:v>2025</x:v>
      </x:c>
      <x:c r="AC774" s="10" t="str">
        <x:v>EXCLUDE: Cancelled order</x:v>
      </x:c>
      <x:c r="AD774" t="str">
        <x:f>IF(AND(U774="Completed",T774="Paid",ISERROR(SEARCH("INVALID",AC774)),ISERROR(SEARCH("REVIEW",AC774))),"Include","Exclude")</x:f>
        <x:v>Exclude</x:v>
      </x:c>
      <x:c r="AE774" t="str">
        <x:f>IF(T774="Refunded","Refunded","")</x:f>
      </x:c>
    </x:row>
    <x:row r="775">
      <x:c r="A775" t="str">
        <x:v>ORD-2025-10774</x:v>
      </x:c>
      <x:c r="B775" s="5" t="n">
        <x:v>45709</x:v>
      </x:c>
      <x:c r="C775" s="5" t="n">
        <x:v>45709</x:v>
      </x:c>
      <x:c r="D775" t="str">
        <x:v>CUST-4766</x:v>
      </x:c>
      <x:c r="E775" t="str">
        <x:v>Karan Malhotra</x:v>
      </x:c>
      <x:c r="F775" t="str">
        <x:v>Home Office</x:v>
      </x:c>
      <x:c r="G775" t="str">
        <x:v>West</x:v>
      </x:c>
      <x:c r="H775" t="str">
        <x:v>Gujarat</x:v>
      </x:c>
      <x:c r="I775" t="str">
        <x:v>Ahmedabad</x:v>
      </x:c>
      <x:c r="J775" t="str">
        <x:v>Technology</x:v>
      </x:c>
      <x:c r="K775" t="str">
        <x:v>Phones</x:v>
      </x:c>
      <x:c r="L775" t="str">
        <x:v>Basic Phones 753</x:v>
      </x:c>
      <x:c r="M775" t="str">
        <x:v>Unknown</x:v>
      </x:c>
      <x:c r="N775" t="n">
        <x:v>4</x:v>
      </x:c>
      <x:c r="O775" s="7" t="n">
        <x:v>2945.07</x:v>
      </x:c>
      <x:c r="P775" s="6" t="n">
        <x:v>0.2</x:v>
      </x:c>
      <x:c r="Q775" s="7" t="n">
        <x:v>9424.22</x:v>
      </x:c>
      <x:c r="R775" s="7" t="n">
        <x:v>6178.92</x:v>
      </x:c>
      <x:c r="S775" s="7" t="n">
        <x:v>3245.3</x:v>
      </x:c>
      <x:c r="T775" t="str">
        <x:v>Paid</x:v>
      </x:c>
      <x:c r="U775" t="str">
        <x:v>Completed</x:v>
      </x:c>
      <x:c r="V775" s="6" t="n">
        <x:f>IF(ISBLANK(P775),IF(AND(ISNUMBER(N775),N775&gt;0,ISNUMBER(O775),O775&gt;=0,ISNUMBER(Q775),Q775&gt;=0,ISNUMBER(R775),R775&gt;=0,ISNUMBER(S775)),0,""),P775)</x:f>
        <x:v>0.2</x:v>
      </x:c>
      <x:c r="W775" s="7" t="n">
        <x:f>IF(ISBLANK(V775),"",N775*O775*(1-V775))</x:f>
        <x:v>9424.224</x:v>
      </x:c>
      <x:c r="X775" s="7" t="n">
        <x:f>IF(OR(ISBLANK(W775),ISBLANK(R775)),"",W775-R775)</x:f>
        <x:v>3245.304</x:v>
      </x:c>
      <x:c r="Y775" s="8" t="n">
        <x:f>IF(OR(ISBLANK(W775),W775=0),"",X775/W775)</x:f>
        <x:v>0.3443576892909167</x:v>
      </x:c>
      <x:c r="Z775" s="9" t="n">
        <x:f>IF(OR(ISBLANK(B775),ISBLANK(C775)),"",C775-B775)</x:f>
        <x:v>0</x:v>
      </x:c>
      <x:c r="AA775" t="str">
        <x:f>IF(ISBLANK(B775),"",TEXT(B775,"mmm"))</x:f>
        <x:v>Feb</x:v>
      </x:c>
      <x:c r="AB775" s="9" t="n">
        <x:f>IF(ISBLANK(B775),"",YEAR(B775))</x:f>
        <x:v>2025</x:v>
      </x:c>
      <x:c r="AC775" s="10" t="str">
        <x:v>FLAG: Missing ship mode filled as Unknown</x:v>
      </x:c>
      <x:c r="AD775" t="str">
        <x:f>IF(AND(U775="Completed",T775="Paid",ISERROR(SEARCH("INVALID",AC775)),ISERROR(SEARCH("REVIEW",AC775))),"Include","Exclude")</x:f>
        <x:v>Include</x:v>
      </x:c>
      <x:c r="AE775" t="str">
        <x:f>IF(T775="Refunded","Refunded","")</x:f>
      </x:c>
    </x:row>
    <x:row r="776">
      <x:c r="A776" t="str">
        <x:v>ORD-2025-10775</x:v>
      </x:c>
      <x:c r="B776" s="5" t="n">
        <x:v>45876</x:v>
      </x:c>
      <x:c r="C776" s="5" t="n">
        <x:v>45876</x:v>
      </x:c>
      <x:c r="D776" t="str">
        <x:v>CUST-1182</x:v>
      </x:c>
      <x:c r="E776" t="str">
        <x:v>Kabir Singh</x:v>
      </x:c>
      <x:c r="F776" t="str">
        <x:v>Consumer</x:v>
      </x:c>
      <x:c r="G776" t="str">
        <x:v>West</x:v>
      </x:c>
      <x:c r="H776" t="str">
        <x:v>Rajasthan</x:v>
      </x:c>
      <x:c r="I776" t="str">
        <x:v>Udaipur</x:v>
      </x:c>
      <x:c r="J776" t="str">
        <x:v>Technology</x:v>
      </x:c>
      <x:c r="K776" t="str">
        <x:v>Machines</x:v>
      </x:c>
      <x:c r="L776" t="str">
        <x:v>Smart Machines 789</x:v>
      </x:c>
      <x:c r="M776" t="str">
        <x:v>Unknown</x:v>
      </x:c>
      <x:c r="N776" t="n">
        <x:v>9</x:v>
      </x:c>
      <x:c r="O776" s="7" t="n">
        <x:v>1076.75</x:v>
      </x:c>
      <x:c r="P776" s="6" t="n">
        <x:v>0.2</x:v>
      </x:c>
      <x:c r="Q776" s="7" t="n">
        <x:v>7752.6</x:v>
      </x:c>
      <x:c r="R776" s="7" t="n">
        <x:v>4689.3</x:v>
      </x:c>
      <x:c r="S776" s="7" t="n">
        <x:v>3063.3</x:v>
      </x:c>
      <x:c r="T776" t="str">
        <x:v>Paid</x:v>
      </x:c>
      <x:c r="U776" t="str">
        <x:v>Completed</x:v>
      </x:c>
      <x:c r="V776" s="6" t="n">
        <x:f>IF(ISBLANK(P776),IF(AND(ISNUMBER(N776),N776&gt;0,ISNUMBER(O776),O776&gt;=0,ISNUMBER(Q776),Q776&gt;=0,ISNUMBER(R776),R776&gt;=0,ISNUMBER(S776)),0,""),P776)</x:f>
        <x:v>0.2</x:v>
      </x:c>
      <x:c r="W776" s="7" t="n">
        <x:f>IF(ISBLANK(V776),"",N776*O776*(1-V776))</x:f>
        <x:v>7752.6</x:v>
      </x:c>
      <x:c r="X776" s="7" t="n">
        <x:f>IF(OR(ISBLANK(W776),ISBLANK(R776)),"",W776-R776)</x:f>
        <x:v>3063.3</x:v>
      </x:c>
      <x:c r="Y776" s="8" t="n">
        <x:f>IF(OR(ISBLANK(W776),W776=0),"",X776/W776)</x:f>
        <x:v>0.3951319557309806</x:v>
      </x:c>
      <x:c r="Z776" s="9" t="n">
        <x:f>IF(OR(ISBLANK(B776),ISBLANK(C776)),"",C776-B776)</x:f>
        <x:v>0</x:v>
      </x:c>
      <x:c r="AA776" t="str">
        <x:f>IF(ISBLANK(B776),"",TEXT(B776,"mmm"))</x:f>
        <x:v>Aug</x:v>
      </x:c>
      <x:c r="AB776" s="9" t="n">
        <x:f>IF(ISBLANK(B776),"",YEAR(B776))</x:f>
        <x:v>2025</x:v>
      </x:c>
      <x:c r="AC776" s="10" t="str">
        <x:v>FLAG: Missing ship mode filled as Unknown</x:v>
      </x:c>
      <x:c r="AD776" t="str">
        <x:f>IF(AND(U776="Completed",T776="Paid",ISERROR(SEARCH("INVALID",AC776)),ISERROR(SEARCH("REVIEW",AC776))),"Include","Exclude")</x:f>
        <x:v>Include</x:v>
      </x:c>
      <x:c r="AE776" t="str">
        <x:f>IF(T776="Refunded","Refunded","")</x:f>
      </x:c>
    </x:row>
    <x:row r="777">
      <x:c r="A777" t="str">
        <x:v>ORD-2024-10776</x:v>
      </x:c>
      <x:c r="B777" s="5" t="n">
        <x:v>45396</x:v>
      </x:c>
      <x:c r="C777" s="5" t="n">
        <x:v>45404</x:v>
      </x:c>
      <x:c r="D777" t="str">
        <x:v>CUST-4461</x:v>
      </x:c>
      <x:c r="E777" t="str">
        <x:v>Arjun Bose</x:v>
      </x:c>
      <x:c r="F777" t="str">
        <x:v>Consumer</x:v>
      </x:c>
      <x:c r="G777" t="str">
        <x:v>North</x:v>
      </x:c>
      <x:c r="H777" t="str">
        <x:v>Haryana</x:v>
      </x:c>
      <x:c r="I777" t="str">
        <x:v>Gurugram</x:v>
      </x:c>
      <x:c r="J777" t="str">
        <x:v>Technology</x:v>
      </x:c>
      <x:c r="K777" t="str">
        <x:v>Accessories</x:v>
      </x:c>
      <x:c r="L777" t="str">
        <x:v>Elite Accessories 312</x:v>
      </x:c>
      <x:c r="M777" t="str">
        <x:v>Standard Class</x:v>
      </x:c>
      <x:c r="N777" t="n">
        <x:v>8</x:v>
      </x:c>
      <x:c r="O777" s="7" t="n">
        <x:v>3956.12</x:v>
      </x:c>
      <x:c r="P777" s="6" t="n">
        <x:v>0.25</x:v>
      </x:c>
      <x:c r="Q777" s="7" t="n">
        <x:v>23736.72</x:v>
      </x:c>
      <x:c r="R777" s="7" t="n">
        <x:v>13890.9</x:v>
      </x:c>
      <x:c r="S777" s="7" t="n">
        <x:v>9845.82</x:v>
      </x:c>
      <x:c r="T777" t="str">
        <x:v>Paid</x:v>
      </x:c>
      <x:c r="U777" t="str">
        <x:v>Completed</x:v>
      </x:c>
      <x:c r="V777" s="6" t="n">
        <x:f>IF(ISBLANK(P777),IF(AND(ISNUMBER(N777),N777&gt;0,ISNUMBER(O777),O777&gt;=0,ISNUMBER(Q777),Q777&gt;=0,ISNUMBER(R777),R777&gt;=0,ISNUMBER(S777)),0,""),P777)</x:f>
        <x:v>0.25</x:v>
      </x:c>
      <x:c r="W777" s="7" t="n">
        <x:f>IF(ISBLANK(V777),"",N777*O777*(1-V777))</x:f>
        <x:v>23736.72</x:v>
      </x:c>
      <x:c r="X777" s="7" t="n">
        <x:f>IF(OR(ISBLANK(W777),ISBLANK(R777)),"",W777-R777)</x:f>
        <x:v>9845.820000000002</x:v>
      </x:c>
      <x:c r="Y777" s="8" t="n">
        <x:f>IF(OR(ISBLANK(W777),W777=0),"",X777/W777)</x:f>
        <x:v>0.41479277676106896</x:v>
      </x:c>
      <x:c r="Z777" s="9" t="n">
        <x:f>IF(OR(ISBLANK(B777),ISBLANK(C777)),"",C777-B777)</x:f>
        <x:v>8</x:v>
      </x:c>
      <x:c r="AA777" t="str">
        <x:f>IF(ISBLANK(B777),"",TEXT(B777,"mmm"))</x:f>
        <x:v>Apr</x:v>
      </x:c>
      <x:c r="AB777" s="9" t="n">
        <x:f>IF(ISBLANK(B777),"",YEAR(B777))</x:f>
        <x:v>2024</x:v>
      </x:c>
      <x:c r="AC777" s="10" t="str"/>
      <x:c r="AD777" t="str">
        <x:f>IF(AND(U777="Completed",T777="Paid",ISERROR(SEARCH("INVALID",AC777)),ISERROR(SEARCH("REVIEW",AC777))),"Include","Exclude")</x:f>
        <x:v>Include</x:v>
      </x:c>
      <x:c r="AE777" t="str">
        <x:f>IF(T777="Refunded","Refunded","")</x:f>
      </x:c>
    </x:row>
    <x:row r="778">
      <x:c r="A778" t="str">
        <x:v>ORD-2025-10777</x:v>
      </x:c>
      <x:c r="B778" s="5" t="n">
        <x:v>45816</x:v>
      </x:c>
      <x:c r="C778" s="5" t="n">
        <x:v>45821</x:v>
      </x:c>
      <x:c r="D778" t="str">
        <x:v>CUST-9690</x:v>
      </x:c>
      <x:c r="E778" t="str">
        <x:v>Aditi Sen</x:v>
      </x:c>
      <x:c r="F778" t="str">
        <x:v>Small Business</x:v>
      </x:c>
      <x:c r="G778" t="str">
        <x:v>North</x:v>
      </x:c>
      <x:c r="H778" t="str">
        <x:v>Rajasthan</x:v>
      </x:c>
      <x:c r="I778" t="str">
        <x:v>Jaipur</x:v>
      </x:c>
      <x:c r="J778" t="str">
        <x:v>Technology</x:v>
      </x:c>
      <x:c r="K778" t="str">
        <x:v>Copiers</x:v>
      </x:c>
      <x:c r="L778" t="str">
        <x:v>Eco Copiers 528</x:v>
      </x:c>
      <x:c r="M778" t="str">
        <x:v>Second Class</x:v>
      </x:c>
      <x:c r="N778" t="n">
        <x:v>7</x:v>
      </x:c>
      <x:c r="O778" s="7" t="n">
        <x:v>3857.13</x:v>
      </x:c>
      <x:c r="P778" s="6" t="n">
        <x:v>0</x:v>
      </x:c>
      <x:c r="Q778" s="7" t="n">
        <x:v>26999.91</x:v>
      </x:c>
      <x:c r="R778" s="7" t="n">
        <x:v>17815.98</x:v>
      </x:c>
      <x:c r="S778" s="7" t="n">
        <x:v>9183.93</x:v>
      </x:c>
      <x:c r="T778" t="str">
        <x:v>Paid</x:v>
      </x:c>
      <x:c r="U778" t="str">
        <x:v>Completed</x:v>
      </x:c>
      <x:c r="V778" s="6" t="n">
        <x:f>IF(ISBLANK(P778),IF(AND(ISNUMBER(N778),N778&gt;0,ISNUMBER(O778),O778&gt;=0,ISNUMBER(Q778),Q778&gt;=0,ISNUMBER(R778),R778&gt;=0,ISNUMBER(S778)),0,""),P778)</x:f>
        <x:v>0</x:v>
      </x:c>
      <x:c r="W778" s="7" t="n">
        <x:f>IF(ISBLANK(V778),"",N778*O778*(1-V778))</x:f>
        <x:v>26999.91</x:v>
      </x:c>
      <x:c r="X778" s="7" t="n">
        <x:f>IF(OR(ISBLANK(W778),ISBLANK(R778)),"",W778-R778)</x:f>
        <x:v>9183.93</x:v>
      </x:c>
      <x:c r="Y778" s="8" t="n">
        <x:f>IF(OR(ISBLANK(W778),W778=0),"",X778/W778)</x:f>
        <x:v>0.3401466893778535</x:v>
      </x:c>
      <x:c r="Z778" s="9" t="n">
        <x:f>IF(OR(ISBLANK(B778),ISBLANK(C778)),"",C778-B778)</x:f>
        <x:v>5</x:v>
      </x:c>
      <x:c r="AA778" t="str">
        <x:f>IF(ISBLANK(B778),"",TEXT(B778,"mmm"))</x:f>
        <x:v>Jun</x:v>
      </x:c>
      <x:c r="AB778" s="9" t="n">
        <x:f>IF(ISBLANK(B778),"",YEAR(B778))</x:f>
        <x:v>2025</x:v>
      </x:c>
      <x:c r="AC778" s="10" t="str"/>
      <x:c r="AD778" t="str">
        <x:f>IF(AND(U778="Completed",T778="Paid",ISERROR(SEARCH("INVALID",AC778)),ISERROR(SEARCH("REVIEW",AC778))),"Include","Exclude")</x:f>
        <x:v>Include</x:v>
      </x:c>
      <x:c r="AE778" t="str">
        <x:f>IF(T778="Refunded","Refunded","")</x:f>
      </x:c>
    </x:row>
    <x:row r="779">
      <x:c r="A779" t="str">
        <x:v>ORD-2024-10778</x:v>
      </x:c>
      <x:c r="B779" s="5" t="n">
        <x:v>45326</x:v>
      </x:c>
      <x:c r="C779" s="5" t="n">
        <x:v>45328</x:v>
      </x:c>
      <x:c r="D779" t="str">
        <x:v>CUST-6879</x:v>
      </x:c>
      <x:c r="E779" t="str">
        <x:v>Kabir Singh</x:v>
      </x:c>
      <x:c r="F779" t="str">
        <x:v>Small Business</x:v>
      </x:c>
      <x:c r="G779" t="str">
        <x:v>West</x:v>
      </x:c>
      <x:c r="H779" t="str">
        <x:v>Madhya Pradesh</x:v>
      </x:c>
      <x:c r="I779" t="str">
        <x:v>Indore</x:v>
      </x:c>
      <x:c r="J779" t="str">
        <x:v>Technology</x:v>
      </x:c>
      <x:c r="K779" t="str">
        <x:v>Accessories</x:v>
      </x:c>
      <x:c r="L779" t="str">
        <x:v>Elite Accessories 226</x:v>
      </x:c>
      <x:c r="M779" t="str">
        <x:v>Second Class</x:v>
      </x:c>
      <x:c r="N779" t="n">
        <x:v>4</x:v>
      </x:c>
      <x:c r="O779" s="7" t="n">
        <x:v>1489.74</x:v>
      </x:c>
      <x:c r="P779" s="6" t="n">
        <x:v>0.15</x:v>
      </x:c>
      <x:c r="Q779" s="7" t="n">
        <x:v>5065.12</x:v>
      </x:c>
      <x:c r="R779" s="7" t="n">
        <x:v>3530.12</x:v>
      </x:c>
      <x:c r="S779" s="7" t="n">
        <x:v>1535</x:v>
      </x:c>
      <x:c r="T779" t="str">
        <x:v>Failed</x:v>
      </x:c>
      <x:c r="U779" t="str">
        <x:v>Cancelled</x:v>
      </x:c>
      <x:c r="V779" s="6" t="n">
        <x:f>IF(ISBLANK(P779),IF(AND(ISNUMBER(N779),N779&gt;0,ISNUMBER(O779),O779&gt;=0,ISNUMBER(Q779),Q779&gt;=0,ISNUMBER(R779),R779&gt;=0,ISNUMBER(S779)),0,""),P779)</x:f>
        <x:v>0.15</x:v>
      </x:c>
      <x:c r="W779" s="7" t="n">
        <x:f>IF(ISBLANK(V779),"",N779*O779*(1-V779))</x:f>
        <x:v>5065.116</x:v>
      </x:c>
      <x:c r="X779" s="7" t="n">
        <x:f>IF(OR(ISBLANK(W779),ISBLANK(R779)),"",W779-R779)</x:f>
        <x:v>1534.996</x:v>
      </x:c>
      <x:c r="Y779" s="8" t="n">
        <x:f>IF(OR(ISBLANK(W779),W779=0),"",X779/W779)</x:f>
        <x:v>0.30305248685321323</x:v>
      </x:c>
      <x:c r="Z779" s="9" t="n">
        <x:f>IF(OR(ISBLANK(B779),ISBLANK(C779)),"",C779-B779)</x:f>
        <x:v>2</x:v>
      </x:c>
      <x:c r="AA779" t="str">
        <x:f>IF(ISBLANK(B779),"",TEXT(B779,"mmm"))</x:f>
        <x:v>Feb</x:v>
      </x:c>
      <x:c r="AB779" s="9" t="n">
        <x:f>IF(ISBLANK(B779),"",YEAR(B779))</x:f>
        <x:v>2024</x:v>
      </x:c>
      <x:c r="AC779" s="10" t="str">
        <x:v>EXCLUDE: Cancelled order; EXCLUDE: Failed payment</x:v>
      </x:c>
      <x:c r="AD779" t="str">
        <x:f>IF(AND(U779="Completed",T779="Paid",ISERROR(SEARCH("INVALID",AC779)),ISERROR(SEARCH("REVIEW",AC779))),"Include","Exclude")</x:f>
        <x:v>Exclude</x:v>
      </x:c>
      <x:c r="AE779" t="str">
        <x:f>IF(T779="Refunded","Refunded","")</x:f>
      </x:c>
    </x:row>
    <x:row r="780">
      <x:c r="A780" t="str">
        <x:v>ORD-2024-10779</x:v>
      </x:c>
      <x:c r="B780" s="5" t="n">
        <x:v>45497</x:v>
      </x:c>
      <x:c r="C780" s="5" t="n">
        <x:v>45497</x:v>
      </x:c>
      <x:c r="D780" t="str">
        <x:v>CUST-4714</x:v>
      </x:c>
      <x:c r="E780" t="str">
        <x:v>Karan Malhotra</x:v>
      </x:c>
      <x:c r="F780" t="str">
        <x:v>Small Business</x:v>
      </x:c>
      <x:c r="G780" t="str">
        <x:v>North</x:v>
      </x:c>
      <x:c r="H780" t="str">
        <x:v>Haryana</x:v>
      </x:c>
      <x:c r="I780" t="str">
        <x:v>Gurugram</x:v>
      </x:c>
      <x:c r="J780" t="str">
        <x:v>Technology</x:v>
      </x:c>
      <x:c r="K780" t="str">
        <x:v>Copiers</x:v>
      </x:c>
      <x:c r="L780" t="str">
        <x:v>Pro Copiers 298</x:v>
      </x:c>
      <x:c r="M780" t="str">
        <x:v>Second Class</x:v>
      </x:c>
      <x:c r="N780" t="n">
        <x:v>4</x:v>
      </x:c>
      <x:c r="O780" s="7" t="n">
        <x:v>1676.88</x:v>
      </x:c>
      <x:c r="P780" s="6" t="n">
        <x:v>0</x:v>
      </x:c>
      <x:c r="Q780" s="7" t="n">
        <x:v>6707.52</x:v>
      </x:c>
      <x:c r="R780" s="7" t="n">
        <x:v>5672.57</x:v>
      </x:c>
      <x:c r="S780" s="7" t="n">
        <x:v>1034.95</x:v>
      </x:c>
      <x:c r="T780" t="str">
        <x:v>Paid</x:v>
      </x:c>
      <x:c r="U780" t="str">
        <x:v>Completed</x:v>
      </x:c>
      <x:c r="V780" s="6" t="n">
        <x:f>IF(ISBLANK(P780),IF(AND(ISNUMBER(N780),N780&gt;0,ISNUMBER(O780),O780&gt;=0,ISNUMBER(Q780),Q780&gt;=0,ISNUMBER(R780),R780&gt;=0,ISNUMBER(S780)),0,""),P780)</x:f>
        <x:v>0</x:v>
      </x:c>
      <x:c r="W780" s="7" t="n">
        <x:f>IF(ISBLANK(V780),"",N780*O780*(1-V780))</x:f>
        <x:v>6707.52</x:v>
      </x:c>
      <x:c r="X780" s="7" t="n">
        <x:f>IF(OR(ISBLANK(W780),ISBLANK(R780)),"",W780-R780)</x:f>
        <x:v>1034.9500000000007</x:v>
      </x:c>
      <x:c r="Y780" s="8" t="n">
        <x:f>IF(OR(ISBLANK(W780),W780=0),"",X780/W780)</x:f>
        <x:v>0.15429696817899918</x:v>
      </x:c>
      <x:c r="Z780" s="9" t="n">
        <x:f>IF(OR(ISBLANK(B780),ISBLANK(C780)),"",C780-B780)</x:f>
        <x:v>0</x:v>
      </x:c>
      <x:c r="AA780" t="str">
        <x:f>IF(ISBLANK(B780),"",TEXT(B780,"mmm"))</x:f>
        <x:v>Jul</x:v>
      </x:c>
      <x:c r="AB780" s="9" t="n">
        <x:f>IF(ISBLANK(B780),"",YEAR(B780))</x:f>
        <x:v>2024</x:v>
      </x:c>
      <x:c r="AC780" s="10" t="str"/>
      <x:c r="AD780" t="str">
        <x:f>IF(AND(U780="Completed",T780="Paid",ISERROR(SEARCH("INVALID",AC780)),ISERROR(SEARCH("REVIEW",AC780))),"Include","Exclude")</x:f>
        <x:v>Include</x:v>
      </x:c>
      <x:c r="AE780" t="str">
        <x:f>IF(T780="Refunded","Refunded","")</x:f>
      </x:c>
    </x:row>
    <x:row r="781">
      <x:c r="A781" t="str">
        <x:v>ORD-2024-10780</x:v>
      </x:c>
      <x:c r="B781" s="5" t="n">
        <x:v>45306</x:v>
      </x:c>
      <x:c r="C781" s="5" t="n">
        <x:v>45311</x:v>
      </x:c>
      <x:c r="D781" t="str">
        <x:v>CUST-7547</x:v>
      </x:c>
      <x:c r="E781" t="str">
        <x:v>Priya Menon</x:v>
      </x:c>
      <x:c r="F781" t="str">
        <x:v>Small Business</x:v>
      </x:c>
      <x:c r="G781" t="str">
        <x:v>South</x:v>
      </x:c>
      <x:c r="H781" t="str">
        <x:v>Andhra Pradesh</x:v>
      </x:c>
      <x:c r="I781" t="str">
        <x:v>Vijayawada</x:v>
      </x:c>
      <x:c r="J781" t="str">
        <x:v>Furniture</x:v>
      </x:c>
      <x:c r="K781" t="str">
        <x:v>Chairs</x:v>
      </x:c>
      <x:c r="L781" t="str">
        <x:v>Prime Chairs 331</x:v>
      </x:c>
      <x:c r="M781" t="str">
        <x:v>Standard Class</x:v>
      </x:c>
      <x:c r="N781" t="n">
        <x:v>4</x:v>
      </x:c>
      <x:c r="O781" s="7" t="n">
        <x:v>3153.54</x:v>
      </x:c>
      <x:c r="P781" s="6" t="n">
        <x:v>0.05</x:v>
      </x:c>
      <x:c r="Q781" s="7" t="n">
        <x:v>11983.45</x:v>
      </x:c>
      <x:c r="R781" s="7" t="n">
        <x:v>8572.9</x:v>
      </x:c>
      <x:c r="S781" s="7" t="n">
        <x:v>3410.55</x:v>
      </x:c>
      <x:c r="T781" t="str">
        <x:v>Paid</x:v>
      </x:c>
      <x:c r="U781" t="str">
        <x:v>Completed</x:v>
      </x:c>
      <x:c r="V781" s="6" t="n">
        <x:f>IF(ISBLANK(P781),IF(AND(ISNUMBER(N781),N781&gt;0,ISNUMBER(O781),O781&gt;=0,ISNUMBER(Q781),Q781&gt;=0,ISNUMBER(R781),R781&gt;=0,ISNUMBER(S781)),0,""),P781)</x:f>
        <x:v>0.05</x:v>
      </x:c>
      <x:c r="W781" s="7" t="n">
        <x:f>IF(ISBLANK(V781),"",N781*O781*(1-V781))</x:f>
        <x:v>11983.452</x:v>
      </x:c>
      <x:c r="X781" s="7" t="n">
        <x:f>IF(OR(ISBLANK(W781),ISBLANK(R781)),"",W781-R781)</x:f>
        <x:v>3410.5519999999997</x:v>
      </x:c>
      <x:c r="Y781" s="8" t="n">
        <x:f>IF(OR(ISBLANK(W781),W781=0),"",X781/W781)</x:f>
        <x:v>0.2846051371507976</x:v>
      </x:c>
      <x:c r="Z781" s="9" t="n">
        <x:f>IF(OR(ISBLANK(B781),ISBLANK(C781)),"",C781-B781)</x:f>
        <x:v>5</x:v>
      </x:c>
      <x:c r="AA781" t="str">
        <x:f>IF(ISBLANK(B781),"",TEXT(B781,"mmm"))</x:f>
        <x:v>Jan</x:v>
      </x:c>
      <x:c r="AB781" s="9" t="n">
        <x:f>IF(ISBLANK(B781),"",YEAR(B781))</x:f>
        <x:v>2024</x:v>
      </x:c>
      <x:c r="AC781" s="10" t="str"/>
      <x:c r="AD781" t="str">
        <x:f>IF(AND(U781="Completed",T781="Paid",ISERROR(SEARCH("INVALID",AC781)),ISERROR(SEARCH("REVIEW",AC781))),"Include","Exclude")</x:f>
        <x:v>Include</x:v>
      </x:c>
      <x:c r="AE781" t="str">
        <x:f>IF(T781="Refunded","Refunded","")</x:f>
      </x:c>
    </x:row>
    <x:row r="782">
      <x:c r="A782" t="str">
        <x:v>ORD-2024-10781</x:v>
      </x:c>
      <x:c r="B782" s="5" t="n">
        <x:v>45508</x:v>
      </x:c>
      <x:c r="C782" s="5" t="n">
        <x:v>45514</x:v>
      </x:c>
      <x:c r="D782" t="str">
        <x:v>CUST-3288</x:v>
      </x:c>
      <x:c r="E782" t="str">
        <x:v>Diya Patel</x:v>
      </x:c>
      <x:c r="F782" t="str">
        <x:v>Small Business</x:v>
      </x:c>
      <x:c r="G782" t="str">
        <x:v>West</x:v>
      </x:c>
      <x:c r="H782" t="str">
        <x:v>Rajasthan</x:v>
      </x:c>
      <x:c r="I782" t="str">
        <x:v>Udaipur</x:v>
      </x:c>
      <x:c r="J782" t="str">
        <x:v>Furniture</x:v>
      </x:c>
      <x:c r="K782" t="str">
        <x:v>Chairs</x:v>
      </x:c>
      <x:c r="L782" t="str">
        <x:v>Classic Chairs 798</x:v>
      </x:c>
      <x:c r="M782" t="str">
        <x:v>Same Day</x:v>
      </x:c>
      <x:c r="N782" t="n">
        <x:v>4</x:v>
      </x:c>
      <x:c r="O782" s="7" t="n">
        <x:v>426.43</x:v>
      </x:c>
      <x:c r="P782" s="6" t="n">
        <x:v>0.2</x:v>
      </x:c>
      <x:c r="Q782" s="7" t="n">
        <x:v>1364.58</x:v>
      </x:c>
      <x:c r="R782" s="7" t="n">
        <x:v>978.16</x:v>
      </x:c>
      <x:c r="S782" s="7" t="n">
        <x:v>386.42</x:v>
      </x:c>
      <x:c r="T782" t="str">
        <x:v>Paid</x:v>
      </x:c>
      <x:c r="U782" t="str">
        <x:v>Completed</x:v>
      </x:c>
      <x:c r="V782" s="6" t="n">
        <x:f>IF(ISBLANK(P782),IF(AND(ISNUMBER(N782),N782&gt;0,ISNUMBER(O782),O782&gt;=0,ISNUMBER(Q782),Q782&gt;=0,ISNUMBER(R782),R782&gt;=0,ISNUMBER(S782)),0,""),P782)</x:f>
        <x:v>0.2</x:v>
      </x:c>
      <x:c r="W782" s="7" t="n">
        <x:f>IF(ISBLANK(V782),"",N782*O782*(1-V782))</x:f>
        <x:v>1364.576</x:v>
      </x:c>
      <x:c r="X782" s="7" t="n">
        <x:f>IF(OR(ISBLANK(W782),ISBLANK(R782)),"",W782-R782)</x:f>
        <x:v>386.41600000000005</x:v>
      </x:c>
      <x:c r="Y782" s="8" t="n">
        <x:f>IF(OR(ISBLANK(W782),W782=0),"",X782/W782)</x:f>
        <x:v>0.28317660577351506</x:v>
      </x:c>
      <x:c r="Z782" s="9" t="n">
        <x:f>IF(OR(ISBLANK(B782),ISBLANK(C782)),"",C782-B782)</x:f>
        <x:v>6</x:v>
      </x:c>
      <x:c r="AA782" t="str">
        <x:f>IF(ISBLANK(B782),"",TEXT(B782,"mmm"))</x:f>
        <x:v>Aug</x:v>
      </x:c>
      <x:c r="AB782" s="9" t="n">
        <x:f>IF(ISBLANK(B782),"",YEAR(B782))</x:f>
        <x:v>2024</x:v>
      </x:c>
      <x:c r="AC782" s="10" t="str"/>
      <x:c r="AD782" t="str">
        <x:f>IF(AND(U782="Completed",T782="Paid",ISERROR(SEARCH("INVALID",AC782)),ISERROR(SEARCH("REVIEW",AC782))),"Include","Exclude")</x:f>
        <x:v>Include</x:v>
      </x:c>
      <x:c r="AE782" t="str">
        <x:f>IF(T782="Refunded","Refunded","")</x:f>
      </x:c>
    </x:row>
    <x:row r="783">
      <x:c r="A783" t="str">
        <x:v>ORD-2024-10782</x:v>
      </x:c>
      <x:c r="B783" s="5" t="n">
        <x:v>45324</x:v>
      </x:c>
      <x:c r="C783" s="5" t="n">
        <x:v>45332</x:v>
      </x:c>
      <x:c r="D783" t="str">
        <x:v>CUST-8597</x:v>
      </x:c>
      <x:c r="E783" t="str">
        <x:v>Karan Malhotra</x:v>
      </x:c>
      <x:c r="F783" t="str">
        <x:v>Home Office</x:v>
      </x:c>
      <x:c r="G783" t="str">
        <x:v>West</x:v>
      </x:c>
      <x:c r="H783" t="str">
        <x:v>Rajasthan</x:v>
      </x:c>
      <x:c r="I783" t="str">
        <x:v>Udaipur</x:v>
      </x:c>
      <x:c r="J783" t="str">
        <x:v>Office Supplies</x:v>
      </x:c>
      <x:c r="K783" t="str">
        <x:v>Labels</x:v>
      </x:c>
      <x:c r="L783" t="str">
        <x:v>Classic Labels 204</x:v>
      </x:c>
      <x:c r="M783" t="str">
        <x:v>First Class</x:v>
      </x:c>
      <x:c r="N783" t="n">
        <x:v>3</x:v>
      </x:c>
      <x:c r="O783" s="7" t="n">
        <x:v>383.4</x:v>
      </x:c>
      <x:c r="P783" s="6" t="n">
        <x:v>0.25</x:v>
      </x:c>
      <x:c r="Q783" s="7" t="n">
        <x:v>862.65</x:v>
      </x:c>
      <x:c r="R783" s="7" t="n">
        <x:v>603.73</x:v>
      </x:c>
      <x:c r="S783" s="7" t="n">
        <x:v>258.92</x:v>
      </x:c>
      <x:c r="T783" t="str">
        <x:v>Pending</x:v>
      </x:c>
      <x:c r="U783" t="str">
        <x:v>Returned</x:v>
      </x:c>
      <x:c r="V783" s="6" t="n">
        <x:f>IF(ISBLANK(P783),IF(AND(ISNUMBER(N783),N783&gt;0,ISNUMBER(O783),O783&gt;=0,ISNUMBER(Q783),Q783&gt;=0,ISNUMBER(R783),R783&gt;=0,ISNUMBER(S783)),0,""),P783)</x:f>
        <x:v>0.25</x:v>
      </x:c>
      <x:c r="W783" s="7" t="n">
        <x:f>IF(ISBLANK(V783),"",N783*O783*(1-V783))</x:f>
        <x:v>862.6499999999999</x:v>
      </x:c>
      <x:c r="X783" s="7" t="n">
        <x:f>IF(OR(ISBLANK(W783),ISBLANK(R783)),"",W783-R783)</x:f>
        <x:v>258.91999999999985</x:v>
      </x:c>
      <x:c r="Y783" s="8" t="n">
        <x:f>IF(OR(ISBLANK(W783),W783=0),"",X783/W783)</x:f>
        <x:v>0.3001449023358255</x:v>
      </x:c>
      <x:c r="Z783" s="9" t="n">
        <x:f>IF(OR(ISBLANK(B783),ISBLANK(C783)),"",C783-B783)</x:f>
        <x:v>8</x:v>
      </x:c>
      <x:c r="AA783" t="str">
        <x:f>IF(ISBLANK(B783),"",TEXT(B783,"mmm"))</x:f>
        <x:v>Feb</x:v>
      </x:c>
      <x:c r="AB783" s="9" t="n">
        <x:f>IF(ISBLANK(B783),"",YEAR(B783))</x:f>
        <x:v>2024</x:v>
      </x:c>
      <x:c r="AC783" s="10" t="str"/>
      <x:c r="AD783" t="str">
        <x:f>IF(AND(U783="Completed",T783="Paid",ISERROR(SEARCH("INVALID",AC783)),ISERROR(SEARCH("REVIEW",AC783))),"Include","Exclude")</x:f>
        <x:v>Exclude</x:v>
      </x:c>
      <x:c r="AE783" t="str">
        <x:f>IF(T783="Refunded","Refunded","")</x:f>
      </x:c>
    </x:row>
    <x:row r="784">
      <x:c r="A784" t="str">
        <x:v>ORD-2025-10783</x:v>
      </x:c>
      <x:c r="B784" s="5" t="n">
        <x:v>45730</x:v>
      </x:c>
      <x:c r="C784" s="5" t="n">
        <x:v>45738</x:v>
      </x:c>
      <x:c r="D784" t="str">
        <x:v>CUST-9085</x:v>
      </x:c>
      <x:c r="E784" t="str">
        <x:v>Mira Das</x:v>
      </x:c>
      <x:c r="F784" t="str">
        <x:v>Corporate</x:v>
      </x:c>
      <x:c r="G784" t="str">
        <x:v>East</x:v>
      </x:c>
      <x:c r="H784" t="str">
        <x:v>West Bengal</x:v>
      </x:c>
      <x:c r="I784" t="str">
        <x:v>Kolkata</x:v>
      </x:c>
      <x:c r="J784" t="str">
        <x:v>Technology</x:v>
      </x:c>
      <x:c r="K784" t="str">
        <x:v>Copiers</x:v>
      </x:c>
      <x:c r="L784" t="str">
        <x:v>Basic Copiers 254</x:v>
      </x:c>
      <x:c r="M784" t="str">
        <x:v>Standard Class</x:v>
      </x:c>
      <x:c r="N784" t="n">
        <x:v>2</x:v>
      </x:c>
      <x:c r="O784" s="7" t="n">
        <x:v>669.63</x:v>
      </x:c>
      <x:c r="P784" s="6" t="n">
        <x:v>0.15</x:v>
      </x:c>
      <x:c r="Q784" s="7" t="n">
        <x:v>1138.37</x:v>
      </x:c>
      <x:c r="R784" s="7" t="n">
        <x:v>797.34</x:v>
      </x:c>
      <x:c r="S784" s="7" t="n">
        <x:v>341.03</x:v>
      </x:c>
      <x:c r="T784" t="str">
        <x:v>Paid</x:v>
      </x:c>
      <x:c r="U784" t="str">
        <x:v>Completed</x:v>
      </x:c>
      <x:c r="V784" s="6" t="n">
        <x:f>IF(ISBLANK(P784),IF(AND(ISNUMBER(N784),N784&gt;0,ISNUMBER(O784),O784&gt;=0,ISNUMBER(Q784),Q784&gt;=0,ISNUMBER(R784),R784&gt;=0,ISNUMBER(S784)),0,""),P784)</x:f>
        <x:v>0.15</x:v>
      </x:c>
      <x:c r="W784" s="7" t="n">
        <x:f>IF(ISBLANK(V784),"",N784*O784*(1-V784))</x:f>
        <x:v>1138.3709999999999</x:v>
      </x:c>
      <x:c r="X784" s="7" t="n">
        <x:f>IF(OR(ISBLANK(W784),ISBLANK(R784)),"",W784-R784)</x:f>
        <x:v>341.03099999999984</x:v>
      </x:c>
      <x:c r="Y784" s="8" t="n">
        <x:f>IF(OR(ISBLANK(W784),W784=0),"",X784/W784)</x:f>
        <x:v>0.2995780813109258</x:v>
      </x:c>
      <x:c r="Z784" s="9" t="n">
        <x:f>IF(OR(ISBLANK(B784),ISBLANK(C784)),"",C784-B784)</x:f>
        <x:v>8</x:v>
      </x:c>
      <x:c r="AA784" t="str">
        <x:f>IF(ISBLANK(B784),"",TEXT(B784,"mmm"))</x:f>
        <x:v>Mar</x:v>
      </x:c>
      <x:c r="AB784" s="9" t="n">
        <x:f>IF(ISBLANK(B784),"",YEAR(B784))</x:f>
        <x:v>2025</x:v>
      </x:c>
      <x:c r="AC784" s="10" t="str"/>
      <x:c r="AD784" t="str">
        <x:f>IF(AND(U784="Completed",T784="Paid",ISERROR(SEARCH("INVALID",AC784)),ISERROR(SEARCH("REVIEW",AC784))),"Include","Exclude")</x:f>
        <x:v>Include</x:v>
      </x:c>
      <x:c r="AE784" t="str">
        <x:f>IF(T784="Refunded","Refunded","")</x:f>
      </x:c>
    </x:row>
    <x:row r="785">
      <x:c r="A785" t="str">
        <x:v>ORD-2024-10784</x:v>
      </x:c>
      <x:c r="B785" s="5" t="n">
        <x:v>45450</x:v>
      </x:c>
      <x:c r="C785" s="5" t="n">
        <x:v>45450</x:v>
      </x:c>
      <x:c r="D785" t="str">
        <x:v>CUST-7746</x:v>
      </x:c>
      <x:c r="E785" t="str">
        <x:v>Aarav Sharma</x:v>
      </x:c>
      <x:c r="F785" t="str">
        <x:v>Small Business</x:v>
      </x:c>
      <x:c r="G785" t="str">
        <x:v>East</x:v>
      </x:c>
      <x:c r="H785" t="str">
        <x:v>Bihar</x:v>
      </x:c>
      <x:c r="I785" t="str">
        <x:v>Patna</x:v>
      </x:c>
      <x:c r="J785" t="str">
        <x:v>Office Supplies</x:v>
      </x:c>
      <x:c r="K785" t="str">
        <x:v>Art</x:v>
      </x:c>
      <x:c r="L785" t="str">
        <x:v>Basic Art 709</x:v>
      </x:c>
      <x:c r="M785" t="str">
        <x:v>Second Class</x:v>
      </x:c>
      <x:c r="N785" t="n">
        <x:v>1</x:v>
      </x:c>
      <x:c r="O785" s="7" t="n">
        <x:v>2581.93</x:v>
      </x:c>
      <x:c r="P785" s="6" t="n">
        <x:v>0.05</x:v>
      </x:c>
      <x:c r="Q785" s="7" t="n">
        <x:v>2452.83</x:v>
      </x:c>
      <x:c r="R785" s="7" t="n">
        <x:v>1906.7</x:v>
      </x:c>
      <x:c r="S785" s="7" t="n">
        <x:v>546.13</x:v>
      </x:c>
      <x:c r="T785" t="str">
        <x:v>Paid</x:v>
      </x:c>
      <x:c r="U785" t="str">
        <x:v>Completed</x:v>
      </x:c>
      <x:c r="V785" s="6" t="n">
        <x:f>IF(ISBLANK(P785),IF(AND(ISNUMBER(N785),N785&gt;0,ISNUMBER(O785),O785&gt;=0,ISNUMBER(Q785),Q785&gt;=0,ISNUMBER(R785),R785&gt;=0,ISNUMBER(S785)),0,""),P785)</x:f>
        <x:v>0.05</x:v>
      </x:c>
      <x:c r="W785" s="7" t="n">
        <x:f>IF(ISBLANK(V785),"",N785*O785*(1-V785))</x:f>
        <x:v>2452.8334999999997</x:v>
      </x:c>
      <x:c r="X785" s="7" t="n">
        <x:f>IF(OR(ISBLANK(W785),ISBLANK(R785)),"",W785-R785)</x:f>
        <x:v>546.1334999999997</x:v>
      </x:c>
      <x:c r="Y785" s="8" t="n">
        <x:f>IF(OR(ISBLANK(W785),W785=0),"",X785/W785)</x:f>
        <x:v>0.22265412634000625</x:v>
      </x:c>
      <x:c r="Z785" s="9" t="n">
        <x:f>IF(OR(ISBLANK(B785),ISBLANK(C785)),"",C785-B785)</x:f>
        <x:v>0</x:v>
      </x:c>
      <x:c r="AA785" t="str">
        <x:f>IF(ISBLANK(B785),"",TEXT(B785,"mmm"))</x:f>
        <x:v>Jun</x:v>
      </x:c>
      <x:c r="AB785" s="9" t="n">
        <x:f>IF(ISBLANK(B785),"",YEAR(B785))</x:f>
        <x:v>2024</x:v>
      </x:c>
      <x:c r="AC785" s="10" t="str"/>
      <x:c r="AD785" t="str">
        <x:f>IF(AND(U785="Completed",T785="Paid",ISERROR(SEARCH("INVALID",AC785)),ISERROR(SEARCH("REVIEW",AC785))),"Include","Exclude")</x:f>
        <x:v>Include</x:v>
      </x:c>
      <x:c r="AE785" t="str">
        <x:f>IF(T785="Refunded","Refunded","")</x:f>
      </x:c>
    </x:row>
    <x:row r="786">
      <x:c r="A786" t="str">
        <x:v>ORD-2025-10785</x:v>
      </x:c>
      <x:c r="B786" s="5" t="n">
        <x:v>45934</x:v>
      </x:c>
      <x:c r="C786" s="5" t="n">
        <x:v>45935</x:v>
      </x:c>
      <x:c r="D786" t="str">
        <x:v>CUST-3119</x:v>
      </x:c>
      <x:c r="E786" t="str">
        <x:v>Priya Menon</x:v>
      </x:c>
      <x:c r="F786" t="str">
        <x:v>Corporate</x:v>
      </x:c>
      <x:c r="G786" t="str">
        <x:v>North</x:v>
      </x:c>
      <x:c r="H786" t="str">
        <x:v>Punjab</x:v>
      </x:c>
      <x:c r="I786" t="str">
        <x:v>Ludhiana</x:v>
      </x:c>
      <x:c r="J786" t="str">
        <x:v>Technology</x:v>
      </x:c>
      <x:c r="K786" t="str">
        <x:v>Copiers</x:v>
      </x:c>
      <x:c r="L786" t="str">
        <x:v>Max Copiers 551</x:v>
      </x:c>
      <x:c r="M786" t="str">
        <x:v>First Class</x:v>
      </x:c>
      <x:c r="N786" t="n">
        <x:v>4</x:v>
      </x:c>
      <x:c r="O786" s="7" t="n">
        <x:v>418.18</x:v>
      </x:c>
      <x:c r="P786" s="6" t="n">
        <x:v>0.05</x:v>
      </x:c>
      <x:c r="Q786" s="7" t="n">
        <x:v>1589.08</x:v>
      </x:c>
      <x:c r="R786" s="7" t="n">
        <x:v>1084.66</x:v>
      </x:c>
      <x:c r="S786" s="7" t="n">
        <x:v>504.42</x:v>
      </x:c>
      <x:c r="T786" t="str">
        <x:v>Paid</x:v>
      </x:c>
      <x:c r="U786" t="str">
        <x:v>Completed</x:v>
      </x:c>
      <x:c r="V786" s="6" t="n">
        <x:f>IF(ISBLANK(P786),IF(AND(ISNUMBER(N786),N786&gt;0,ISNUMBER(O786),O786&gt;=0,ISNUMBER(Q786),Q786&gt;=0,ISNUMBER(R786),R786&gt;=0,ISNUMBER(S786)),0,""),P786)</x:f>
        <x:v>0.05</x:v>
      </x:c>
      <x:c r="W786" s="7" t="n">
        <x:f>IF(ISBLANK(V786),"",N786*O786*(1-V786))</x:f>
        <x:v>1589.084</x:v>
      </x:c>
      <x:c r="X786" s="7" t="n">
        <x:f>IF(OR(ISBLANK(W786),ISBLANK(R786)),"",W786-R786)</x:f>
        <x:v>504.424</x:v>
      </x:c>
      <x:c r="Y786" s="8" t="n">
        <x:f>IF(OR(ISBLANK(W786),W786=0),"",X786/W786)</x:f>
        <x:v>0.3174306707512</x:v>
      </x:c>
      <x:c r="Z786" s="9" t="n">
        <x:f>IF(OR(ISBLANK(B786),ISBLANK(C786)),"",C786-B786)</x:f>
        <x:v>1</x:v>
      </x:c>
      <x:c r="AA786" t="str">
        <x:f>IF(ISBLANK(B786),"",TEXT(B786,"mmm"))</x:f>
        <x:v>Oct</x:v>
      </x:c>
      <x:c r="AB786" s="9" t="n">
        <x:f>IF(ISBLANK(B786),"",YEAR(B786))</x:f>
        <x:v>2025</x:v>
      </x:c>
      <x:c r="AC786" s="10" t="str"/>
      <x:c r="AD786" t="str">
        <x:f>IF(AND(U786="Completed",T786="Paid",ISERROR(SEARCH("INVALID",AC786)),ISERROR(SEARCH("REVIEW",AC786))),"Include","Exclude")</x:f>
        <x:v>Include</x:v>
      </x:c>
      <x:c r="AE786" t="str">
        <x:f>IF(T786="Refunded","Refunded","")</x:f>
      </x:c>
    </x:row>
    <x:row r="787">
      <x:c r="A787" t="str">
        <x:v>ORD-2024-10786</x:v>
      </x:c>
      <x:c r="B787" s="5" t="n">
        <x:v>45435</x:v>
      </x:c>
      <x:c r="C787" s="5" t="n">
        <x:v>45441</x:v>
      </x:c>
      <x:c r="D787" t="str">
        <x:v>CUST-7518</x:v>
      </x:c>
      <x:c r="E787" t="str">
        <x:v>Diya Patel</x:v>
      </x:c>
      <x:c r="F787" t="str">
        <x:v>Small Business</x:v>
      </x:c>
      <x:c r="G787" t="str">
        <x:v>North</x:v>
      </x:c>
      <x:c r="H787" t="str">
        <x:v>Haryana</x:v>
      </x:c>
      <x:c r="I787" t="str">
        <x:v>Gurugram</x:v>
      </x:c>
      <x:c r="J787" t="str">
        <x:v>Office Supplies</x:v>
      </x:c>
      <x:c r="K787" t="str">
        <x:v>Storage</x:v>
      </x:c>
      <x:c r="L787" t="str">
        <x:v>Eco Storage 183</x:v>
      </x:c>
      <x:c r="M787" t="str">
        <x:v>Same Day</x:v>
      </x:c>
      <x:c r="N787" t="n">
        <x:v>2</x:v>
      </x:c>
      <x:c r="O787" s="7" t="n">
        <x:v>3012.94</x:v>
      </x:c>
      <x:c r="P787" s="6" t="n">
        <x:v>0.25</x:v>
      </x:c>
      <x:c r="Q787" s="7" t="n">
        <x:v>4519.41</x:v>
      </x:c>
      <x:c r="R787" s="7" t="n">
        <x:v>3504.16</x:v>
      </x:c>
      <x:c r="S787" s="7" t="n">
        <x:v>1275.55</x:v>
      </x:c>
      <x:c r="T787" t="str">
        <x:v>Failed</x:v>
      </x:c>
      <x:c r="U787" t="str">
        <x:v>Cancelled</x:v>
      </x:c>
      <x:c r="V787" s="6" t="n">
        <x:f>IF(ISBLANK(P787),IF(AND(ISNUMBER(N787),N787&gt;0,ISNUMBER(O787),O787&gt;=0,ISNUMBER(Q787),Q787&gt;=0,ISNUMBER(R787),R787&gt;=0,ISNUMBER(S787)),0,""),P787)</x:f>
        <x:v>0.25</x:v>
      </x:c>
      <x:c r="W787" s="7" t="n">
        <x:f>IF(ISBLANK(V787),"",N787*O787*(1-V787))</x:f>
        <x:v>4519.41</x:v>
      </x:c>
      <x:c r="X787" s="7" t="n">
        <x:f>IF(OR(ISBLANK(W787),ISBLANK(R787)),"",W787-R787)</x:f>
        <x:v>1015.25</x:v>
      </x:c>
      <x:c r="Y787" s="8" t="n">
        <x:f>IF(OR(ISBLANK(W787),W787=0),"",X787/W787)</x:f>
        <x:v>0.2246421546175275</x:v>
      </x:c>
      <x:c r="Z787" s="9" t="n">
        <x:f>IF(OR(ISBLANK(B787),ISBLANK(C787)),"",C787-B787)</x:f>
        <x:v>6</x:v>
      </x:c>
      <x:c r="AA787" t="str">
        <x:f>IF(ISBLANK(B787),"",TEXT(B787,"mmm"))</x:f>
        <x:v>May</x:v>
      </x:c>
      <x:c r="AB787" s="9" t="n">
        <x:f>IF(ISBLANK(B787),"",YEAR(B787))</x:f>
        <x:v>2024</x:v>
      </x:c>
      <x:c r="AC787" s="10" t="str">
        <x:v>EXCLUDE: Cancelled order; EXCLUDE: Failed payment</x:v>
      </x:c>
      <x:c r="AD787" t="str">
        <x:f>IF(AND(U787="Completed",T787="Paid",ISERROR(SEARCH("INVALID",AC787)),ISERROR(SEARCH("REVIEW",AC787))),"Include","Exclude")</x:f>
        <x:v>Exclude</x:v>
      </x:c>
      <x:c r="AE787" t="str">
        <x:f>IF(T787="Refunded","Refunded","")</x:f>
      </x:c>
    </x:row>
    <x:row r="788">
      <x:c r="A788" t="str">
        <x:v>ORD-2025-10787</x:v>
      </x:c>
      <x:c r="B788" s="5" t="n">
        <x:v>45844</x:v>
      </x:c>
      <x:c r="C788" s="5" t="n">
        <x:v>45846</x:v>
      </x:c>
      <x:c r="D788" t="str">
        <x:v>CUST-1343</x:v>
      </x:c>
      <x:c r="E788" t="str">
        <x:v>Ananya Rao</x:v>
      </x:c>
      <x:c r="F788" t="str">
        <x:v>Corporate</x:v>
      </x:c>
      <x:c r="G788" t="str">
        <x:v>North</x:v>
      </x:c>
      <x:c r="H788" t="str">
        <x:v>Rajasthan</x:v>
      </x:c>
      <x:c r="I788" t="str">
        <x:v>Jaipur</x:v>
      </x:c>
      <x:c r="J788" t="str">
        <x:v>Furniture</x:v>
      </x:c>
      <x:c r="K788" t="str">
        <x:v>Furnishings</x:v>
      </x:c>
      <x:c r="L788" t="str">
        <x:v>Pro Furnishings 233</x:v>
      </x:c>
      <x:c r="M788" t="str">
        <x:v>Unknown</x:v>
      </x:c>
      <x:c r="N788" t="n">
        <x:v>4</x:v>
      </x:c>
      <x:c r="O788" s="7" t="n">
        <x:v>715.45</x:v>
      </x:c>
      <x:c r="P788" s="6" t="n">
        <x:v>0.05</x:v>
      </x:c>
      <x:c r="Q788" s="7" t="n">
        <x:v>2718.71</x:v>
      </x:c>
      <x:c r="R788" s="7" t="n">
        <x:v>2065.05</x:v>
      </x:c>
      <x:c r="S788" s="7" t="n">
        <x:v>653.66</x:v>
      </x:c>
      <x:c r="T788" t="str">
        <x:v>Refunded</x:v>
      </x:c>
      <x:c r="U788" t="str">
        <x:v>Returned</x:v>
      </x:c>
      <x:c r="V788" s="6" t="n">
        <x:f>IF(ISBLANK(P788),IF(AND(ISNUMBER(N788),N788&gt;0,ISNUMBER(O788),O788&gt;=0,ISNUMBER(Q788),Q788&gt;=0,ISNUMBER(R788),R788&gt;=0,ISNUMBER(S788)),0,""),P788)</x:f>
        <x:v>0.05</x:v>
      </x:c>
      <x:c r="W788" s="7" t="n">
        <x:f>IF(ISBLANK(V788),"",N788*O788*(1-V788))</x:f>
        <x:v>2718.71</x:v>
      </x:c>
      <x:c r="X788" s="7" t="n">
        <x:f>IF(OR(ISBLANK(W788),ISBLANK(R788)),"",W788-R788)</x:f>
        <x:v>653.6599999999999</x:v>
      </x:c>
      <x:c r="Y788" s="8" t="n">
        <x:f>IF(OR(ISBLANK(W788),W788=0),"",X788/W788)</x:f>
        <x:v>0.24043020403058799</x:v>
      </x:c>
      <x:c r="Z788" s="9" t="n">
        <x:f>IF(OR(ISBLANK(B788),ISBLANK(C788)),"",C788-B788)</x:f>
        <x:v>2</x:v>
      </x:c>
      <x:c r="AA788" t="str">
        <x:f>IF(ISBLANK(B788),"",TEXT(B788,"mmm"))</x:f>
        <x:v>Jul</x:v>
      </x:c>
      <x:c r="AB788" s="9" t="n">
        <x:f>IF(ISBLANK(B788),"",YEAR(B788))</x:f>
        <x:v>2025</x:v>
      </x:c>
      <x:c r="AC788" s="10" t="str">
        <x:v>FLAG: Missing ship mode filled as Unknown; REFUND: Summarize separately</x:v>
      </x:c>
      <x:c r="AD788" t="str">
        <x:f>IF(AND(U788="Completed",T788="Paid",ISERROR(SEARCH("INVALID",AC788)),ISERROR(SEARCH("REVIEW",AC788))),"Include","Exclude")</x:f>
        <x:v>Exclude</x:v>
      </x:c>
      <x:c r="AE788" t="str">
        <x:f>IF(T788="Refunded","Refunded","")</x:f>
        <x:v>Refunded</x:v>
      </x:c>
    </x:row>
    <x:row r="789">
      <x:c r="A789" t="str">
        <x:v>ORD-2024-10788</x:v>
      </x:c>
      <x:c r="B789" s="5" t="n">
        <x:v>45547</x:v>
      </x:c>
      <x:c r="C789" s="5" t="n">
        <x:v>45553</x:v>
      </x:c>
      <x:c r="D789" t="str">
        <x:v>CUST-7548</x:v>
      </x:c>
      <x:c r="E789" t="str">
        <x:v>Ananya Rao</x:v>
      </x:c>
      <x:c r="F789" t="str">
        <x:v>Home Office</x:v>
      </x:c>
      <x:c r="G789" t="str">
        <x:v>East</x:v>
      </x:c>
      <x:c r="H789" t="str">
        <x:v>Bihar</x:v>
      </x:c>
      <x:c r="I789" t="str">
        <x:v>Patna</x:v>
      </x:c>
      <x:c r="J789" t="str">
        <x:v>Office Supplies</x:v>
      </x:c>
      <x:c r="K789" t="str">
        <x:v>Paper</x:v>
      </x:c>
      <x:c r="L789" t="str">
        <x:v>Prime Paper 878</x:v>
      </x:c>
      <x:c r="M789" t="str">
        <x:v>Second Class</x:v>
      </x:c>
      <x:c r="N789" t="n">
        <x:v>2</x:v>
      </x:c>
      <x:c r="O789" s="7" t="n">
        <x:v>3718.77</x:v>
      </x:c>
      <x:c r="P789" s="6" t="n">
        <x:v>0.05</x:v>
      </x:c>
      <x:c r="Q789" s="7" t="n">
        <x:v>7065.66</x:v>
      </x:c>
      <x:c r="R789" s="7" t="n">
        <x:v>4915.27</x:v>
      </x:c>
      <x:c r="S789" s="7" t="n">
        <x:v>2150.39</x:v>
      </x:c>
      <x:c r="T789" t="str">
        <x:v>Paid</x:v>
      </x:c>
      <x:c r="U789" t="str">
        <x:v>Completed</x:v>
      </x:c>
      <x:c r="V789" s="6" t="n">
        <x:f>IF(ISBLANK(P789),IF(AND(ISNUMBER(N789),N789&gt;0,ISNUMBER(O789),O789&gt;=0,ISNUMBER(Q789),Q789&gt;=0,ISNUMBER(R789),R789&gt;=0,ISNUMBER(S789)),0,""),P789)</x:f>
        <x:v>0.05</x:v>
      </x:c>
      <x:c r="W789" s="7" t="n">
        <x:f>IF(ISBLANK(V789),"",N789*O789*(1-V789))</x:f>
        <x:v>7065.663</x:v>
      </x:c>
      <x:c r="X789" s="7" t="n">
        <x:f>IF(OR(ISBLANK(W789),ISBLANK(R789)),"",W789-R789)</x:f>
        <x:v>2150.392999999999</x:v>
      </x:c>
      <x:c r="Y789" s="8" t="n">
        <x:f>IF(OR(ISBLANK(W789),W789=0),"",X789/W789)</x:f>
        <x:v>0.30434412170521</x:v>
      </x:c>
      <x:c r="Z789" s="9" t="n">
        <x:f>IF(OR(ISBLANK(B789),ISBLANK(C789)),"",C789-B789)</x:f>
        <x:v>6</x:v>
      </x:c>
      <x:c r="AA789" t="str">
        <x:f>IF(ISBLANK(B789),"",TEXT(B789,"mmm"))</x:f>
        <x:v>Sep</x:v>
      </x:c>
      <x:c r="AB789" s="9" t="n">
        <x:f>IF(ISBLANK(B789),"",YEAR(B789))</x:f>
        <x:v>2024</x:v>
      </x:c>
      <x:c r="AC789" s="10" t="str"/>
      <x:c r="AD789" t="str">
        <x:f>IF(AND(U789="Completed",T789="Paid",ISERROR(SEARCH("INVALID",AC789)),ISERROR(SEARCH("REVIEW",AC789))),"Include","Exclude")</x:f>
        <x:v>Include</x:v>
      </x:c>
      <x:c r="AE789" t="str">
        <x:f>IF(T789="Refunded","Refunded","")</x:f>
      </x:c>
    </x:row>
    <x:row r="790">
      <x:c r="A790" t="str">
        <x:v>ORD-2024-10789</x:v>
      </x:c>
      <x:c r="B790" s="5" t="n">
        <x:v>45505</x:v>
      </x:c>
      <x:c r="C790" s="5" t="n">
        <x:v>45506</x:v>
      </x:c>
      <x:c r="D790" t="str">
        <x:v>CUST-3631</x:v>
      </x:c>
      <x:c r="E790" t="str">
        <x:v>Isha Nair</x:v>
      </x:c>
      <x:c r="F790" t="str">
        <x:v>Corporate</x:v>
      </x:c>
      <x:c r="G790" t="str">
        <x:v>North</x:v>
      </x:c>
      <x:c r="H790" t="str">
        <x:v>Uttar Pradesh</x:v>
      </x:c>
      <x:c r="I790" t="str">
        <x:v>Noida</x:v>
      </x:c>
      <x:c r="J790" t="str">
        <x:v>Furniture</x:v>
      </x:c>
      <x:c r="K790" t="str">
        <x:v>Chairs</x:v>
      </x:c>
      <x:c r="L790" t="str">
        <x:v>Smart Chairs 353</x:v>
      </x:c>
      <x:c r="M790" t="str">
        <x:v>Standard Class</x:v>
      </x:c>
      <x:c r="N790" t="n">
        <x:v>8</x:v>
      </x:c>
      <x:c r="O790" s="7" t="n">
        <x:v>2487.64</x:v>
      </x:c>
      <x:c r="P790" s="6" t="n">
        <x:v>0.1</x:v>
      </x:c>
      <x:c r="Q790" s="7" t="n">
        <x:v>17911.01</x:v>
      </x:c>
      <x:c r="R790" s="7" t="n">
        <x:v>11546.05</x:v>
      </x:c>
      <x:c r="S790" s="7" t="n">
        <x:v>6364.96</x:v>
      </x:c>
      <x:c r="T790" t="str">
        <x:v>Failed</x:v>
      </x:c>
      <x:c r="U790" t="str">
        <x:v>Returned</x:v>
      </x:c>
      <x:c r="V790" s="6" t="n">
        <x:f>IF(ISBLANK(P790),IF(AND(ISNUMBER(N790),N790&gt;0,ISNUMBER(O790),O790&gt;=0,ISNUMBER(Q790),Q790&gt;=0,ISNUMBER(R790),R790&gt;=0,ISNUMBER(S790)),0,""),P790)</x:f>
        <x:v>0.1</x:v>
      </x:c>
      <x:c r="W790" s="7" t="n">
        <x:f>IF(ISBLANK(V790),"",N790*O790*(1-V790))</x:f>
        <x:v>17911.007999999998</x:v>
      </x:c>
      <x:c r="X790" s="7" t="n">
        <x:f>IF(OR(ISBLANK(W790),ISBLANK(R790)),"",W790-R790)</x:f>
        <x:v>6364.957999999999</x:v>
      </x:c>
      <x:c r="Y790" s="8" t="n">
        <x:f>IF(OR(ISBLANK(W790),W790=0),"",X790/W790)</x:f>
        <x:v>0.35536570582738836</x:v>
      </x:c>
      <x:c r="Z790" s="9" t="n">
        <x:f>IF(OR(ISBLANK(B790),ISBLANK(C790)),"",C790-B790)</x:f>
        <x:v>1</x:v>
      </x:c>
      <x:c r="AA790" t="str">
        <x:f>IF(ISBLANK(B790),"",TEXT(B790,"mmm"))</x:f>
        <x:v>Aug</x:v>
      </x:c>
      <x:c r="AB790" s="9" t="n">
        <x:f>IF(ISBLANK(B790),"",YEAR(B790))</x:f>
        <x:v>2024</x:v>
      </x:c>
      <x:c r="AC790" s="10" t="str">
        <x:v>EXCLUDE: Failed payment</x:v>
      </x:c>
      <x:c r="AD790" t="str">
        <x:f>IF(AND(U790="Completed",T790="Paid",ISERROR(SEARCH("INVALID",AC790)),ISERROR(SEARCH("REVIEW",AC790))),"Include","Exclude")</x:f>
        <x:v>Exclude</x:v>
      </x:c>
      <x:c r="AE790" t="str">
        <x:f>IF(T790="Refunded","Refunded","")</x:f>
      </x:c>
    </x:row>
    <x:row r="791">
      <x:c r="A791" t="str">
        <x:v>ORD-2025-10790</x:v>
      </x:c>
      <x:c r="B791" s="5" t="n">
        <x:v>45723</x:v>
      </x:c>
      <x:c r="C791" s="5" t="n">
        <x:v>45724</x:v>
      </x:c>
      <x:c r="D791" t="str">
        <x:v>CUST-1453</x:v>
      </x:c>
      <x:c r="E791" t="str">
        <x:v>Priya Menon</x:v>
      </x:c>
      <x:c r="F791" t="str">
        <x:v>Home Office</x:v>
      </x:c>
      <x:c r="G791" t="str">
        <x:v>Unknown</x:v>
      </x:c>
      <x:c r="H791" t="str">
        <x:v>Rajasthan</x:v>
      </x:c>
      <x:c r="I791" t="str">
        <x:v>Udaipur</x:v>
      </x:c>
      <x:c r="J791" t="str">
        <x:v>Technology</x:v>
      </x:c>
      <x:c r="K791" t="str">
        <x:v>Copiers</x:v>
      </x:c>
      <x:c r="L791" t="str">
        <x:v>Smart Copiers 408</x:v>
      </x:c>
      <x:c r="M791" t="str">
        <x:v>Same Day</x:v>
      </x:c>
      <x:c r="N791" t="n">
        <x:v>4</x:v>
      </x:c>
      <x:c r="O791" s="7" t="n">
        <x:v>3537.48</x:v>
      </x:c>
      <x:c r="P791" s="6" t="n">
        <x:v>0</x:v>
      </x:c>
      <x:c r="Q791" s="7" t="n">
        <x:v>14149.92</x:v>
      </x:c>
      <x:c r="R791" s="7" t="n">
        <x:v>9466.51</x:v>
      </x:c>
      <x:c r="S791" s="7" t="n">
        <x:v>4683.41</x:v>
      </x:c>
      <x:c r="T791" t="str">
        <x:v>Paid</x:v>
      </x:c>
      <x:c r="U791" t="str">
        <x:v>Completed</x:v>
      </x:c>
      <x:c r="V791" s="6" t="n">
        <x:f>IF(ISBLANK(P791),IF(AND(ISNUMBER(N791),N791&gt;0,ISNUMBER(O791),O791&gt;=0,ISNUMBER(Q791),Q791&gt;=0,ISNUMBER(R791),R791&gt;=0,ISNUMBER(S791)),0,""),P791)</x:f>
        <x:v>0</x:v>
      </x:c>
      <x:c r="W791" s="7" t="n">
        <x:f>IF(ISBLANK(V791),"",N791*O791*(1-V791))</x:f>
        <x:v>14149.92</x:v>
      </x:c>
      <x:c r="X791" s="7" t="n">
        <x:f>IF(OR(ISBLANK(W791),ISBLANK(R791)),"",W791-R791)</x:f>
        <x:v>4683.41</x:v>
      </x:c>
      <x:c r="Y791" s="8" t="n">
        <x:f>IF(OR(ISBLANK(W791),W791=0),"",X791/W791)</x:f>
        <x:v>0.33098491016203624</x:v>
      </x:c>
      <x:c r="Z791" s="9" t="n">
        <x:f>IF(OR(ISBLANK(B791),ISBLANK(C791)),"",C791-B791)</x:f>
        <x:v>1</x:v>
      </x:c>
      <x:c r="AA791" t="str">
        <x:f>IF(ISBLANK(B791),"",TEXT(B791,"mmm"))</x:f>
        <x:v>Mar</x:v>
      </x:c>
      <x:c r="AB791" s="9" t="n">
        <x:f>IF(ISBLANK(B791),"",YEAR(B791))</x:f>
        <x:v>2025</x:v>
      </x:c>
      <x:c r="AC791" s="10" t="str">
        <x:v>FLAG: Missing region filled as Unknown</x:v>
      </x:c>
      <x:c r="AD791" t="str">
        <x:f>IF(AND(U791="Completed",T791="Paid",ISERROR(SEARCH("INVALID",AC791)),ISERROR(SEARCH("REVIEW",AC791))),"Include","Exclude")</x:f>
        <x:v>Include</x:v>
      </x:c>
      <x:c r="AE791" t="str">
        <x:f>IF(T791="Refunded","Refunded","")</x:f>
      </x:c>
    </x:row>
    <x:row r="792">
      <x:c r="A792" t="str">
        <x:v>ORD-2024-10791</x:v>
      </x:c>
      <x:c r="B792" s="5" t="n">
        <x:v>45443</x:v>
      </x:c>
      <x:c r="C792" s="5" t="n">
        <x:v>45445</x:v>
      </x:c>
      <x:c r="D792" t="str">
        <x:v>CUST-1951</x:v>
      </x:c>
      <x:c r="E792" t="str">
        <x:v>Rahul Verma</x:v>
      </x:c>
      <x:c r="F792" t="str">
        <x:v>Corporate</x:v>
      </x:c>
      <x:c r="G792" t="str">
        <x:v>South</x:v>
      </x:c>
      <x:c r="H792" t="str">
        <x:v>Andhra Pradesh</x:v>
      </x:c>
      <x:c r="I792" t="str">
        <x:v>Vijayawada</x:v>
      </x:c>
      <x:c r="J792" t="str">
        <x:v>Office Supplies</x:v>
      </x:c>
      <x:c r="K792" t="str">
        <x:v>Art</x:v>
      </x:c>
      <x:c r="L792" t="str">
        <x:v>Classic Art 781</x:v>
      </x:c>
      <x:c r="M792" t="str">
        <x:v>Standard Class</x:v>
      </x:c>
      <x:c r="N792" t="n">
        <x:v>8</x:v>
      </x:c>
      <x:c r="O792" s="7" t="n">
        <x:v>667.59</x:v>
      </x:c>
      <x:c r="P792" s="6" t="n">
        <x:v>0.2</x:v>
      </x:c>
      <x:c r="Q792" s="7" t="n">
        <x:v>4272.58</x:v>
      </x:c>
      <x:c r="R792" s="7" t="n">
        <x:v>3328.92</x:v>
      </x:c>
      <x:c r="S792" s="7" t="n">
        <x:v>943.66</x:v>
      </x:c>
      <x:c r="T792" t="str">
        <x:v>Paid</x:v>
      </x:c>
      <x:c r="U792" t="str">
        <x:v>Completed</x:v>
      </x:c>
      <x:c r="V792" s="6" t="n">
        <x:f>IF(ISBLANK(P792),IF(AND(ISNUMBER(N792),N792&gt;0,ISNUMBER(O792),O792&gt;=0,ISNUMBER(Q792),Q792&gt;=0,ISNUMBER(R792),R792&gt;=0,ISNUMBER(S792)),0,""),P792)</x:f>
        <x:v>0.2</x:v>
      </x:c>
      <x:c r="W792" s="7" t="n">
        <x:f>IF(ISBLANK(V792),"",N792*O792*(1-V792))</x:f>
        <x:v>4272.576</x:v>
      </x:c>
      <x:c r="X792" s="7" t="n">
        <x:f>IF(OR(ISBLANK(W792),ISBLANK(R792)),"",W792-R792)</x:f>
        <x:v>943.656</x:v>
      </x:c>
      <x:c r="Y792" s="8" t="n">
        <x:f>IF(OR(ISBLANK(W792),W792=0),"",X792/W792)</x:f>
        <x:v>0.22086347908147214</x:v>
      </x:c>
      <x:c r="Z792" s="9" t="n">
        <x:f>IF(OR(ISBLANK(B792),ISBLANK(C792)),"",C792-B792)</x:f>
        <x:v>2</x:v>
      </x:c>
      <x:c r="AA792" t="str">
        <x:f>IF(ISBLANK(B792),"",TEXT(B792,"mmm"))</x:f>
        <x:v>May</x:v>
      </x:c>
      <x:c r="AB792" s="9" t="n">
        <x:f>IF(ISBLANK(B792),"",YEAR(B792))</x:f>
        <x:v>2024</x:v>
      </x:c>
      <x:c r="AC792" s="10" t="str"/>
      <x:c r="AD792" t="str">
        <x:f>IF(AND(U792="Completed",T792="Paid",ISERROR(SEARCH("INVALID",AC792)),ISERROR(SEARCH("REVIEW",AC792))),"Include","Exclude")</x:f>
        <x:v>Include</x:v>
      </x:c>
      <x:c r="AE792" t="str">
        <x:f>IF(T792="Refunded","Refunded","")</x:f>
      </x:c>
    </x:row>
    <x:row r="793">
      <x:c r="A793" t="str">
        <x:v>ORD-2024-10792</x:v>
      </x:c>
      <x:c r="B793" s="5" t="n">
        <x:v>45567</x:v>
      </x:c>
      <x:c r="C793" s="5" t="n">
        <x:v>45571</x:v>
      </x:c>
      <x:c r="D793" t="str">
        <x:v>CUST-6300</x:v>
      </x:c>
      <x:c r="E793" t="str">
        <x:v>Rahul Verma</x:v>
      </x:c>
      <x:c r="F793" t="str">
        <x:v>Home Office</x:v>
      </x:c>
      <x:c r="G793" t="str">
        <x:v>South</x:v>
      </x:c>
      <x:c r="H793" t="str">
        <x:v>Karnataka</x:v>
      </x:c>
      <x:c r="I793" t="str">
        <x:v>Bengaluru</x:v>
      </x:c>
      <x:c r="J793" t="str">
        <x:v>Furniture</x:v>
      </x:c>
      <x:c r="K793" t="str">
        <x:v>Bookcases</x:v>
      </x:c>
      <x:c r="L793" t="str">
        <x:v>Eco Bookcases 144</x:v>
      </x:c>
      <x:c r="M793" t="str">
        <x:v>Same Day</x:v>
      </x:c>
      <x:c r="N793" t="n">
        <x:v>8</x:v>
      </x:c>
      <x:c r="O793" s="7" t="n">
        <x:v>1558.77</x:v>
      </x:c>
      <x:c r="P793" s="6" t="n">
        <x:v>0.25</x:v>
      </x:c>
      <x:c r="Q793" s="7" t="n">
        <x:v>9352.62</x:v>
      </x:c>
      <x:c r="R793" s="7" t="n">
        <x:v>5269.41</x:v>
      </x:c>
      <x:c r="S793" s="7" t="n">
        <x:v>4083.21</x:v>
      </x:c>
      <x:c r="T793" t="str">
        <x:v>Paid</x:v>
      </x:c>
      <x:c r="U793" t="str">
        <x:v>Completed</x:v>
      </x:c>
      <x:c r="V793" s="6" t="n">
        <x:f>IF(ISBLANK(P793),IF(AND(ISNUMBER(N793),N793&gt;0,ISNUMBER(O793),O793&gt;=0,ISNUMBER(Q793),Q793&gt;=0,ISNUMBER(R793),R793&gt;=0,ISNUMBER(S793)),0,""),P793)</x:f>
        <x:v>0.25</x:v>
      </x:c>
      <x:c r="W793" s="7" t="n">
        <x:f>IF(ISBLANK(V793),"",N793*O793*(1-V793))</x:f>
        <x:v>9352.619999999999</x:v>
      </x:c>
      <x:c r="X793" s="7" t="n">
        <x:f>IF(OR(ISBLANK(W793),ISBLANK(R793)),"",W793-R793)</x:f>
        <x:v>4083.209999999999</x:v>
      </x:c>
      <x:c r="Y793" s="8" t="n">
        <x:f>IF(OR(ISBLANK(W793),W793=0),"",X793/W793)</x:f>
        <x:v>0.43658461479243243</x:v>
      </x:c>
      <x:c r="Z793" s="9" t="n">
        <x:f>IF(OR(ISBLANK(B793),ISBLANK(C793)),"",C793-B793)</x:f>
        <x:v>4</x:v>
      </x:c>
      <x:c r="AA793" t="str">
        <x:f>IF(ISBLANK(B793),"",TEXT(B793,"mmm"))</x:f>
        <x:v>Oct</x:v>
      </x:c>
      <x:c r="AB793" s="9" t="n">
        <x:f>IF(ISBLANK(B793),"",YEAR(B793))</x:f>
        <x:v>2024</x:v>
      </x:c>
      <x:c r="AC793" s="10" t="str"/>
      <x:c r="AD793" t="str">
        <x:f>IF(AND(U793="Completed",T793="Paid",ISERROR(SEARCH("INVALID",AC793)),ISERROR(SEARCH("REVIEW",AC793))),"Include","Exclude")</x:f>
        <x:v>Include</x:v>
      </x:c>
      <x:c r="AE793" t="str">
        <x:f>IF(T793="Refunded","Refunded","")</x:f>
      </x:c>
    </x:row>
    <x:row r="794">
      <x:c r="A794" t="str">
        <x:v>ORD-2025-10793</x:v>
      </x:c>
      <x:c r="B794" s="5" t="n">
        <x:v>45812</x:v>
      </x:c>
      <x:c r="C794" s="5" t="n">
        <x:v>45816</x:v>
      </x:c>
      <x:c r="D794" t="str">
        <x:v>CUST-1417</x:v>
      </x:c>
      <x:c r="E794" t="str">
        <x:v>Arjun Bose</x:v>
      </x:c>
      <x:c r="F794" t="str">
        <x:v>Small Business</x:v>
      </x:c>
      <x:c r="G794" t="str">
        <x:v>East</x:v>
      </x:c>
      <x:c r="H794" t="str">
        <x:v>Assam</x:v>
      </x:c>
      <x:c r="I794" t="str">
        <x:v>Guwahati</x:v>
      </x:c>
      <x:c r="J794" t="str">
        <x:v>Furniture</x:v>
      </x:c>
      <x:c r="K794" t="str">
        <x:v>Furnishings</x:v>
      </x:c>
      <x:c r="L794" t="str">
        <x:v>Elite Furnishings 852</x:v>
      </x:c>
      <x:c r="M794" t="str">
        <x:v>Second Class</x:v>
      </x:c>
      <x:c r="N794" t="n">
        <x:v>1</x:v>
      </x:c>
      <x:c r="O794" s="7" t="n">
        <x:v>3501.12</x:v>
      </x:c>
      <x:c r="P794" s="6" t="n">
        <x:v>0.2</x:v>
      </x:c>
      <x:c r="Q794" s="7" t="n">
        <x:v>2800.9</x:v>
      </x:c>
      <x:c r="R794" s="7" t="n">
        <x:v>1735.98</x:v>
      </x:c>
      <x:c r="S794" s="7" t="n">
        <x:v>1064.92</x:v>
      </x:c>
      <x:c r="T794" t="str">
        <x:v>Paid</x:v>
      </x:c>
      <x:c r="U794" t="str">
        <x:v>Returned</x:v>
      </x:c>
      <x:c r="V794" s="6" t="n">
        <x:f>IF(ISBLANK(P794),IF(AND(ISNUMBER(N794),N794&gt;0,ISNUMBER(O794),O794&gt;=0,ISNUMBER(Q794),Q794&gt;=0,ISNUMBER(R794),R794&gt;=0,ISNUMBER(S794)),0,""),P794)</x:f>
        <x:v>0.2</x:v>
      </x:c>
      <x:c r="W794" s="7" t="n">
        <x:f>IF(ISBLANK(V794),"",N794*O794*(1-V794))</x:f>
        <x:v>2800.896</x:v>
      </x:c>
      <x:c r="X794" s="7" t="n">
        <x:f>IF(OR(ISBLANK(W794),ISBLANK(R794)),"",W794-R794)</x:f>
        <x:v>1064.9160000000002</x:v>
      </x:c>
      <x:c r="Y794" s="8" t="n">
        <x:f>IF(OR(ISBLANK(W794),W794=0),"",X794/W794)</x:f>
        <x:v>0.38020547710446945</x:v>
      </x:c>
      <x:c r="Z794" s="9" t="n">
        <x:f>IF(OR(ISBLANK(B794),ISBLANK(C794)),"",C794-B794)</x:f>
        <x:v>4</x:v>
      </x:c>
      <x:c r="AA794" t="str">
        <x:f>IF(ISBLANK(B794),"",TEXT(B794,"mmm"))</x:f>
        <x:v>Jun</x:v>
      </x:c>
      <x:c r="AB794" s="9" t="n">
        <x:f>IF(ISBLANK(B794),"",YEAR(B794))</x:f>
        <x:v>2025</x:v>
      </x:c>
      <x:c r="AC794" s="10" t="str"/>
      <x:c r="AD794" t="str">
        <x:f>IF(AND(U794="Completed",T794="Paid",ISERROR(SEARCH("INVALID",AC794)),ISERROR(SEARCH("REVIEW",AC794))),"Include","Exclude")</x:f>
        <x:v>Exclude</x:v>
      </x:c>
      <x:c r="AE794" t="str">
        <x:f>IF(T794="Refunded","Refunded","")</x:f>
      </x:c>
    </x:row>
    <x:row r="795">
      <x:c r="A795" t="str">
        <x:v>ORD-2024-10794</x:v>
      </x:c>
      <x:c r="B795" s="5" t="n">
        <x:v>45440</x:v>
      </x:c>
      <x:c r="C795" s="5" t="n">
        <x:v>45446</x:v>
      </x:c>
      <x:c r="D795" t="str">
        <x:v>CUST-5421</x:v>
      </x:c>
      <x:c r="E795" t="str">
        <x:v>Vikram Iyer</x:v>
      </x:c>
      <x:c r="F795" t="str">
        <x:v>Corporate</x:v>
      </x:c>
      <x:c r="G795" t="str">
        <x:v>North</x:v>
      </x:c>
      <x:c r="H795" t="str">
        <x:v>Rajasthan</x:v>
      </x:c>
      <x:c r="I795" t="str">
        <x:v>Jaipur</x:v>
      </x:c>
      <x:c r="J795" t="str">
        <x:v>Technology</x:v>
      </x:c>
      <x:c r="K795" t="str">
        <x:v>Copiers</x:v>
      </x:c>
      <x:c r="L795" t="str">
        <x:v>Basic Copiers 238</x:v>
      </x:c>
      <x:c r="M795" t="str">
        <x:v>Second Class</x:v>
      </x:c>
      <x:c r="N795" t="n">
        <x:v>5</x:v>
      </x:c>
      <x:c r="O795" s="7" t="n">
        <x:v>4302.32</x:v>
      </x:c>
      <x:c r="P795" s="6" t="n">
        <x:v>0</x:v>
      </x:c>
      <x:c r="Q795" s="7" t="n">
        <x:v>21511.6</x:v>
      </x:c>
      <x:c r="R795" s="7" t="n">
        <x:v>15408.47</x:v>
      </x:c>
      <x:c r="S795" s="7" t="n">
        <x:v>6103.13</x:v>
      </x:c>
      <x:c r="T795" t="str">
        <x:v>Paid</x:v>
      </x:c>
      <x:c r="U795" t="str">
        <x:v>Completed</x:v>
      </x:c>
      <x:c r="V795" s="6" t="n">
        <x:f>IF(ISBLANK(P795),IF(AND(ISNUMBER(N795),N795&gt;0,ISNUMBER(O795),O795&gt;=0,ISNUMBER(Q795),Q795&gt;=0,ISNUMBER(R795),R795&gt;=0,ISNUMBER(S795)),0,""),P795)</x:f>
        <x:v>0</x:v>
      </x:c>
      <x:c r="W795" s="7" t="n">
        <x:f>IF(ISBLANK(V795),"",N795*O795*(1-V795))</x:f>
        <x:v>21511.6</x:v>
      </x:c>
      <x:c r="X795" s="7" t="n">
        <x:f>IF(OR(ISBLANK(W795),ISBLANK(R795)),"",W795-R795)</x:f>
        <x:v>6103.129999999999</x:v>
      </x:c>
      <x:c r="Y795" s="8" t="n">
        <x:f>IF(OR(ISBLANK(W795),W795=0),"",X795/W795)</x:f>
        <x:v>0.28371343833094703</x:v>
      </x:c>
      <x:c r="Z795" s="9" t="n">
        <x:f>IF(OR(ISBLANK(B795),ISBLANK(C795)),"",C795-B795)</x:f>
        <x:v>6</x:v>
      </x:c>
      <x:c r="AA795" t="str">
        <x:f>IF(ISBLANK(B795),"",TEXT(B795,"mmm"))</x:f>
        <x:v>May</x:v>
      </x:c>
      <x:c r="AB795" s="9" t="n">
        <x:f>IF(ISBLANK(B795),"",YEAR(B795))</x:f>
        <x:v>2024</x:v>
      </x:c>
      <x:c r="AC795" s="10" t="str"/>
      <x:c r="AD795" t="str">
        <x:f>IF(AND(U795="Completed",T795="Paid",ISERROR(SEARCH("INVALID",AC795)),ISERROR(SEARCH("REVIEW",AC795))),"Include","Exclude")</x:f>
        <x:v>Include</x:v>
      </x:c>
      <x:c r="AE795" t="str">
        <x:f>IF(T795="Refunded","Refunded","")</x:f>
      </x:c>
    </x:row>
    <x:row r="796">
      <x:c r="A796" t="str">
        <x:v>ORD-2025-10795</x:v>
      </x:c>
      <x:c r="B796" s="5" t="n">
        <x:v>45830</x:v>
      </x:c>
      <x:c r="C796" s="5" t="n">
        <x:v>45832</x:v>
      </x:c>
      <x:c r="D796" t="str">
        <x:v>CUST-2829</x:v>
      </x:c>
      <x:c r="E796" t="str">
        <x:v>Sneha Kapoor</x:v>
      </x:c>
      <x:c r="F796" t="str">
        <x:v>Corporate</x:v>
      </x:c>
      <x:c r="G796" t="str">
        <x:v>East</x:v>
      </x:c>
      <x:c r="H796" t="str">
        <x:v>Assam</x:v>
      </x:c>
      <x:c r="I796" t="str">
        <x:v>Guwahati</x:v>
      </x:c>
      <x:c r="J796" t="str">
        <x:v>Office Supplies</x:v>
      </x:c>
      <x:c r="K796" t="str">
        <x:v>Paper</x:v>
      </x:c>
      <x:c r="L796" t="str">
        <x:v>Elite Paper 847</x:v>
      </x:c>
      <x:c r="M796" t="str">
        <x:v>Standard Class</x:v>
      </x:c>
      <x:c r="N796" t="n">
        <x:v>9</x:v>
      </x:c>
      <x:c r="O796" s="7" t="n">
        <x:v>951.55</x:v>
      </x:c>
      <x:c r="P796" s="6" t="n">
        <x:v>0.15</x:v>
      </x:c>
      <x:c r="Q796" s="7" t="n">
        <x:v>7279.36</x:v>
      </x:c>
      <x:c r="R796" s="7" t="n">
        <x:v>4870.39</x:v>
      </x:c>
      <x:c r="S796" s="7" t="n">
        <x:v>2408.97</x:v>
      </x:c>
      <x:c r="T796" t="str">
        <x:v>Paid</x:v>
      </x:c>
      <x:c r="U796" t="str">
        <x:v>Completed</x:v>
      </x:c>
      <x:c r="V796" s="6" t="n">
        <x:f>IF(ISBLANK(P796),IF(AND(ISNUMBER(N796),N796&gt;0,ISNUMBER(O796),O796&gt;=0,ISNUMBER(Q796),Q796&gt;=0,ISNUMBER(R796),R796&gt;=0,ISNUMBER(S796)),0,""),P796)</x:f>
        <x:v>0.15</x:v>
      </x:c>
      <x:c r="W796" s="7" t="n">
        <x:f>IF(ISBLANK(V796),"",N796*O796*(1-V796))</x:f>
        <x:v>7279.357499999999</x:v>
      </x:c>
      <x:c r="X796" s="7" t="n">
        <x:f>IF(OR(ISBLANK(W796),ISBLANK(R796)),"",W796-R796)</x:f>
        <x:v>2408.967499999999</x:v>
      </x:c>
      <x:c r="Y796" s="8" t="n">
        <x:f>IF(OR(ISBLANK(W796),W796=0),"",X796/W796)</x:f>
        <x:v>0.33093133562955235</x:v>
      </x:c>
      <x:c r="Z796" s="9" t="n">
        <x:f>IF(OR(ISBLANK(B796),ISBLANK(C796)),"",C796-B796)</x:f>
        <x:v>2</x:v>
      </x:c>
      <x:c r="AA796" t="str">
        <x:f>IF(ISBLANK(B796),"",TEXT(B796,"mmm"))</x:f>
        <x:v>Jun</x:v>
      </x:c>
      <x:c r="AB796" s="9" t="n">
        <x:f>IF(ISBLANK(B796),"",YEAR(B796))</x:f>
        <x:v>2025</x:v>
      </x:c>
      <x:c r="AC796" s="10" t="str"/>
      <x:c r="AD796" t="str">
        <x:f>IF(AND(U796="Completed",T796="Paid",ISERROR(SEARCH("INVALID",AC796)),ISERROR(SEARCH("REVIEW",AC796))),"Include","Exclude")</x:f>
        <x:v>Include</x:v>
      </x:c>
      <x:c r="AE796" t="str">
        <x:f>IF(T796="Refunded","Refunded","")</x:f>
      </x:c>
    </x:row>
    <x:row r="797">
      <x:c r="A797" t="str">
        <x:v>ORD-2024-10796</x:v>
      </x:c>
      <x:c r="B797" s="5" t="n">
        <x:v>45503</x:v>
      </x:c>
      <x:c r="C797" s="5" t="n">
        <x:v>45503</x:v>
      </x:c>
      <x:c r="D797" t="str">
        <x:v>CUST-6529</x:v>
      </x:c>
      <x:c r="E797" t="str">
        <x:v>Diya Patel</x:v>
      </x:c>
      <x:c r="F797" t="str">
        <x:v>Home Office</x:v>
      </x:c>
      <x:c r="G797" t="str">
        <x:v>East</x:v>
      </x:c>
      <x:c r="H797" t="str">
        <x:v>Odisha</x:v>
      </x:c>
      <x:c r="I797" t="str">
        <x:v>Bhubaneswar</x:v>
      </x:c>
      <x:c r="J797" t="str">
        <x:v>Technology</x:v>
      </x:c>
      <x:c r="K797" t="str">
        <x:v>Copiers</x:v>
      </x:c>
      <x:c r="L797" t="str">
        <x:v>Pro Copiers 653</x:v>
      </x:c>
      <x:c r="M797" t="str">
        <x:v>Same Day</x:v>
      </x:c>
      <x:c r="N797" t="n">
        <x:v>9</x:v>
      </x:c>
      <x:c r="O797" s="7" t="n">
        <x:v>2894.66</x:v>
      </x:c>
      <x:c r="P797" s="6" t="n">
        <x:v>0</x:v>
      </x:c>
      <x:c r="Q797" s="7" t="n">
        <x:v>26051.94</x:v>
      </x:c>
      <x:c r="R797" s="7" t="n">
        <x:v>16883.59</x:v>
      </x:c>
      <x:c r="S797" s="7" t="n">
        <x:v>9168.35</x:v>
      </x:c>
      <x:c r="T797" t="str">
        <x:v>Refunded</x:v>
      </x:c>
      <x:c r="U797" t="str">
        <x:v>Cancelled</x:v>
      </x:c>
      <x:c r="V797" s="6" t="n">
        <x:f>IF(ISBLANK(P797),IF(AND(ISNUMBER(N797),N797&gt;0,ISNUMBER(O797),O797&gt;=0,ISNUMBER(Q797),Q797&gt;=0,ISNUMBER(R797),R797&gt;=0,ISNUMBER(S797)),0,""),P797)</x:f>
        <x:v>0</x:v>
      </x:c>
      <x:c r="W797" s="7" t="n">
        <x:f>IF(ISBLANK(V797),"",N797*O797*(1-V797))</x:f>
        <x:v>26051.94</x:v>
      </x:c>
      <x:c r="X797" s="7" t="n">
        <x:f>IF(OR(ISBLANK(W797),ISBLANK(R797)),"",W797-R797)</x:f>
        <x:v>9168.349999999999</x:v>
      </x:c>
      <x:c r="Y797" s="8" t="n">
        <x:f>IF(OR(ISBLANK(W797),W797=0),"",X797/W797)</x:f>
        <x:v>0.3519258066769691</x:v>
      </x:c>
      <x:c r="Z797" s="9" t="n">
        <x:f>IF(OR(ISBLANK(B797),ISBLANK(C797)),"",C797-B797)</x:f>
        <x:v>0</x:v>
      </x:c>
      <x:c r="AA797" t="str">
        <x:f>IF(ISBLANK(B797),"",TEXT(B797,"mmm"))</x:f>
        <x:v>Jul</x:v>
      </x:c>
      <x:c r="AB797" s="9" t="n">
        <x:f>IF(ISBLANK(B797),"",YEAR(B797))</x:f>
        <x:v>2024</x:v>
      </x:c>
      <x:c r="AC797" s="10" t="str">
        <x:v>EXCLUDE: Cancelled order; REFUND: Summarize separately</x:v>
      </x:c>
      <x:c r="AD797" t="str">
        <x:f>IF(AND(U797="Completed",T797="Paid",ISERROR(SEARCH("INVALID",AC797)),ISERROR(SEARCH("REVIEW",AC797))),"Include","Exclude")</x:f>
        <x:v>Exclude</x:v>
      </x:c>
      <x:c r="AE797" t="str">
        <x:f>IF(T797="Refunded","Refunded","")</x:f>
        <x:v>Refunded</x:v>
      </x:c>
    </x:row>
    <x:row r="798">
      <x:c r="A798" t="str">
        <x:v>ORD-2024-10797</x:v>
      </x:c>
      <x:c r="B798" s="5" t="n">
        <x:v>45374</x:v>
      </x:c>
      <x:c r="C798" s="5" t="n">
        <x:v>45381</x:v>
      </x:c>
      <x:c r="D798" t="str">
        <x:v>CUST-3126</x:v>
      </x:c>
      <x:c r="E798" t="str">
        <x:v>Rohan Mehta</x:v>
      </x:c>
      <x:c r="F798" t="str">
        <x:v>Small Business</x:v>
      </x:c>
      <x:c r="G798" t="str">
        <x:v>South</x:v>
      </x:c>
      <x:c r="H798" t="str">
        <x:v>Andhra Pradesh</x:v>
      </x:c>
      <x:c r="I798" t="str">
        <x:v>Vijayawada</x:v>
      </x:c>
      <x:c r="J798" t="str">
        <x:v>Technology</x:v>
      </x:c>
      <x:c r="K798" t="str">
        <x:v>Machines</x:v>
      </x:c>
      <x:c r="L798" t="str">
        <x:v>Elite Machines 459</x:v>
      </x:c>
      <x:c r="M798" t="str">
        <x:v>First Class</x:v>
      </x:c>
      <x:c r="N798" t="n">
        <x:v>6</x:v>
      </x:c>
      <x:c r="O798" s="7" t="n">
        <x:v>1894.44</x:v>
      </x:c>
      <x:c r="P798" s="6" t="n">
        <x:v>0.15</x:v>
      </x:c>
      <x:c r="Q798" s="7" t="n">
        <x:v>9661.64</x:v>
      </x:c>
      <x:c r="R798" s="7" t="n">
        <x:v>6303.77</x:v>
      </x:c>
      <x:c r="S798" s="7" t="n">
        <x:v>3357.87</x:v>
      </x:c>
      <x:c r="T798" t="str">
        <x:v>Paid</x:v>
      </x:c>
      <x:c r="U798" t="str">
        <x:v>Completed</x:v>
      </x:c>
      <x:c r="V798" s="6" t="n">
        <x:f>IF(ISBLANK(P798),IF(AND(ISNUMBER(N798),N798&gt;0,ISNUMBER(O798),O798&gt;=0,ISNUMBER(Q798),Q798&gt;=0,ISNUMBER(R798),R798&gt;=0,ISNUMBER(S798)),0,""),P798)</x:f>
        <x:v>0.15</x:v>
      </x:c>
      <x:c r="W798" s="7" t="n">
        <x:f>IF(ISBLANK(V798),"",N798*O798*(1-V798))</x:f>
        <x:v>9661.643999999998</x:v>
      </x:c>
      <x:c r="X798" s="7" t="n">
        <x:f>IF(OR(ISBLANK(W798),ISBLANK(R798)),"",W798-R798)</x:f>
        <x:v>3357.873999999998</x:v>
      </x:c>
      <x:c r="Y798" s="8" t="n">
        <x:f>IF(OR(ISBLANK(W798),W798=0),"",X798/W798)</x:f>
        <x:v>0.34754685641491223</x:v>
      </x:c>
      <x:c r="Z798" s="9" t="n">
        <x:f>IF(OR(ISBLANK(B798),ISBLANK(C798)),"",C798-B798)</x:f>
        <x:v>7</x:v>
      </x:c>
      <x:c r="AA798" t="str">
        <x:f>IF(ISBLANK(B798),"",TEXT(B798,"mmm"))</x:f>
        <x:v>Mar</x:v>
      </x:c>
      <x:c r="AB798" s="9" t="n">
        <x:f>IF(ISBLANK(B798),"",YEAR(B798))</x:f>
        <x:v>2024</x:v>
      </x:c>
      <x:c r="AC798" s="10" t="str"/>
      <x:c r="AD798" t="str">
        <x:f>IF(AND(U798="Completed",T798="Paid",ISERROR(SEARCH("INVALID",AC798)),ISERROR(SEARCH("REVIEW",AC798))),"Include","Exclude")</x:f>
        <x:v>Include</x:v>
      </x:c>
      <x:c r="AE798" t="str">
        <x:f>IF(T798="Refunded","Refunded","")</x:f>
      </x:c>
    </x:row>
    <x:row r="799">
      <x:c r="A799" t="str">
        <x:v>ORD-2024-10798</x:v>
      </x:c>
      <x:c r="B799" s="5" t="n">
        <x:v>45400</x:v>
      </x:c>
      <x:c r="C799" s="5" t="n">
        <x:v>45404</x:v>
      </x:c>
      <x:c r="D799" t="str">
        <x:v>CUST-3991</x:v>
      </x:c>
      <x:c r="E799" t="str">
        <x:v>Aarav Sharma</x:v>
      </x:c>
      <x:c r="F799" t="str">
        <x:v>Consumer</x:v>
      </x:c>
      <x:c r="G799" t="str">
        <x:v>East</x:v>
      </x:c>
      <x:c r="H799" t="str">
        <x:v>Odisha</x:v>
      </x:c>
      <x:c r="I799" t="str">
        <x:v>Bhubaneswar</x:v>
      </x:c>
      <x:c r="J799" t="str">
        <x:v>Office Supplies</x:v>
      </x:c>
      <x:c r="K799" t="str">
        <x:v>Binders</x:v>
      </x:c>
      <x:c r="L799" t="str">
        <x:v>Elite Binders 764</x:v>
      </x:c>
      <x:c r="M799" t="str">
        <x:v>First Class</x:v>
      </x:c>
      <x:c r="N799" t="n">
        <x:v>8</x:v>
      </x:c>
      <x:c r="O799" s="7" t="n">
        <x:v>1714.37</x:v>
      </x:c>
      <x:c r="P799" s="6" t="n">
        <x:v>0</x:v>
      </x:c>
      <x:c r="Q799" s="7" t="n">
        <x:v>13714.96</x:v>
      </x:c>
      <x:c r="R799" s="7" t="n">
        <x:v>10550.47</x:v>
      </x:c>
      <x:c r="S799" s="7" t="n">
        <x:v>3164.49</x:v>
      </x:c>
      <x:c r="T799" t="str">
        <x:v>Failed</x:v>
      </x:c>
      <x:c r="U799" t="str">
        <x:v>Cancelled</x:v>
      </x:c>
      <x:c r="V799" s="6" t="n">
        <x:f>IF(ISBLANK(P799),IF(AND(ISNUMBER(N799),N799&gt;0,ISNUMBER(O799),O799&gt;=0,ISNUMBER(Q799),Q799&gt;=0,ISNUMBER(R799),R799&gt;=0,ISNUMBER(S799)),0,""),P799)</x:f>
        <x:v>0</x:v>
      </x:c>
      <x:c r="W799" s="7" t="n">
        <x:f>IF(ISBLANK(V799),"",N799*O799*(1-V799))</x:f>
        <x:v>13714.96</x:v>
      </x:c>
      <x:c r="X799" s="7" t="n">
        <x:f>IF(OR(ISBLANK(W799),ISBLANK(R799)),"",W799-R799)</x:f>
        <x:v>3164.49</x:v>
      </x:c>
      <x:c r="Y799" s="8" t="n">
        <x:f>IF(OR(ISBLANK(W799),W799=0),"",X799/W799)</x:f>
        <x:v>0.23073271814135804</x:v>
      </x:c>
      <x:c r="Z799" s="9" t="n">
        <x:f>IF(OR(ISBLANK(B799),ISBLANK(C799)),"",C799-B799)</x:f>
        <x:v>4</x:v>
      </x:c>
      <x:c r="AA799" t="str">
        <x:f>IF(ISBLANK(B799),"",TEXT(B799,"mmm"))</x:f>
        <x:v>Apr</x:v>
      </x:c>
      <x:c r="AB799" s="9" t="n">
        <x:f>IF(ISBLANK(B799),"",YEAR(B799))</x:f>
        <x:v>2024</x:v>
      </x:c>
      <x:c r="AC799" s="10" t="str">
        <x:v>EXCLUDE: Cancelled order; EXCLUDE: Failed payment</x:v>
      </x:c>
      <x:c r="AD799" t="str">
        <x:f>IF(AND(U799="Completed",T799="Paid",ISERROR(SEARCH("INVALID",AC799)),ISERROR(SEARCH("REVIEW",AC799))),"Include","Exclude")</x:f>
        <x:v>Exclude</x:v>
      </x:c>
      <x:c r="AE799" t="str">
        <x:f>IF(T799="Refunded","Refunded","")</x:f>
      </x:c>
    </x:row>
    <x:row r="800">
      <x:c r="A800" t="str">
        <x:v>ORD-2025-10799</x:v>
      </x:c>
      <x:c r="B800" s="5" t="n">
        <x:v>45849</x:v>
      </x:c>
      <x:c r="C800" s="5" t="n">
        <x:v>45847</x:v>
      </x:c>
      <x:c r="D800" t="str">
        <x:v>CUST-7553</x:v>
      </x:c>
      <x:c r="E800" t="str">
        <x:v>Aditi Sen</x:v>
      </x:c>
      <x:c r="F800" t="str">
        <x:v>Corporate</x:v>
      </x:c>
      <x:c r="G800" t="str">
        <x:v>North</x:v>
      </x:c>
      <x:c r="H800" t="str">
        <x:v>Delhi</x:v>
      </x:c>
      <x:c r="I800" t="str">
        <x:v>New Delhi</x:v>
      </x:c>
      <x:c r="J800" t="str">
        <x:v>Furniture</x:v>
      </x:c>
      <x:c r="K800" t="str">
        <x:v>Furnishings</x:v>
      </x:c>
      <x:c r="L800" t="str">
        <x:v>Classic Furnishings 348</x:v>
      </x:c>
      <x:c r="M800" t="str">
        <x:v>Standard Class</x:v>
      </x:c>
      <x:c r="N800" t="n">
        <x:v>9</x:v>
      </x:c>
      <x:c r="O800" s="7" t="n">
        <x:v>1706.05</x:v>
      </x:c>
      <x:c r="P800" s="6" t="n">
        <x:v>0</x:v>
      </x:c>
      <x:c r="Q800" s="7" t="n">
        <x:v>15354.45</x:v>
      </x:c>
      <x:c r="R800" s="7" t="n">
        <x:v>9656.5</x:v>
      </x:c>
      <x:c r="S800" s="7" t="n">
        <x:v>5697.95</x:v>
      </x:c>
      <x:c r="T800" t="str">
        <x:v>Paid</x:v>
      </x:c>
      <x:c r="U800" t="str">
        <x:v>Completed</x:v>
      </x:c>
      <x:c r="V800" s="6" t="n">
        <x:f>IF(ISBLANK(P800),IF(AND(ISNUMBER(N800),N800&gt;0,ISNUMBER(O800),O800&gt;=0,ISNUMBER(Q800),Q800&gt;=0,ISNUMBER(R800),R800&gt;=0,ISNUMBER(S800)),0,""),P800)</x:f>
        <x:v>0</x:v>
      </x:c>
      <x:c r="W800" s="7" t="n">
        <x:f>IF(ISBLANK(V800),"",N800*O800*(1-V800))</x:f>
        <x:v>15354.449999999999</x:v>
      </x:c>
      <x:c r="X800" s="7" t="n">
        <x:f>IF(OR(ISBLANK(W800),ISBLANK(R800)),"",W800-R800)</x:f>
        <x:v>5697.949999999999</x:v>
      </x:c>
      <x:c r="Y800" s="8" t="n">
        <x:f>IF(OR(ISBLANK(W800),W800=0),"",X800/W800)</x:f>
        <x:v>0.3710943732924331</x:v>
      </x:c>
      <x:c r="Z800" s="9" t="n">
        <x:f>IF(OR(ISBLANK(B800),ISBLANK(C800)),"",C800-B800)</x:f>
        <x:v>-2</x:v>
      </x:c>
      <x:c r="AA800" t="str">
        <x:f>IF(ISBLANK(B800),"",TEXT(B800,"mmm"))</x:f>
        <x:v>Jul</x:v>
      </x:c>
      <x:c r="AB800" s="9" t="n">
        <x:f>IF(ISBLANK(B800),"",YEAR(B800))</x:f>
        <x:v>2025</x:v>
      </x:c>
      <x:c r="AC800" s="10" t="str">
        <x:v>INVALID: Ship date before order date</x:v>
      </x:c>
      <x:c r="AD800" t="str">
        <x:f>IF(AND(U800="Completed",T800="Paid",ISERROR(SEARCH("INVALID",AC800)),ISERROR(SEARCH("REVIEW",AC800))),"Include","Exclude")</x:f>
        <x:v>Exclude</x:v>
      </x:c>
      <x:c r="AE800" t="str">
        <x:f>IF(T800="Refunded","Refunded","")</x:f>
      </x:c>
    </x:row>
    <x:row r="801">
      <x:c r="A801" t="str">
        <x:v>ORD-2024-10800</x:v>
      </x:c>
      <x:c r="B801" s="5" t="n">
        <x:v>45575</x:v>
      </x:c>
      <x:c r="C801" s="5" t="n">
        <x:v>45582</x:v>
      </x:c>
      <x:c r="D801" t="str">
        <x:v>CUST-8527</x:v>
      </x:c>
      <x:c r="E801" t="str">
        <x:v>Isha Nair</x:v>
      </x:c>
      <x:c r="F801" t="str">
        <x:v>Home Office</x:v>
      </x:c>
      <x:c r="G801" t="str">
        <x:v>North</x:v>
      </x:c>
      <x:c r="H801" t="str">
        <x:v>Haryana</x:v>
      </x:c>
      <x:c r="I801" t="str">
        <x:v>Gurugram</x:v>
      </x:c>
      <x:c r="J801" t="str">
        <x:v>Technology</x:v>
      </x:c>
      <x:c r="K801" t="str">
        <x:v>Accessories</x:v>
      </x:c>
      <x:c r="L801" t="str">
        <x:v>Smart Accessories 487</x:v>
      </x:c>
      <x:c r="M801" t="str">
        <x:v>Unknown</x:v>
      </x:c>
      <x:c r="N801" t="n">
        <x:v>5</x:v>
      </x:c>
      <x:c r="O801" s="7" t="n">
        <x:v>967.41</x:v>
      </x:c>
      <x:c r="P801" s="6" t="n">
        <x:v>0.05</x:v>
      </x:c>
      <x:c r="Q801" s="7" t="n">
        <x:v>4595.2</x:v>
      </x:c>
      <x:c r="R801" s="7" t="n">
        <x:v>3887.41</x:v>
      </x:c>
      <x:c r="S801" s="7" t="n">
        <x:v>707.79</x:v>
      </x:c>
      <x:c r="T801" t="str">
        <x:v>Paid</x:v>
      </x:c>
      <x:c r="U801" t="str">
        <x:v>Returned</x:v>
      </x:c>
      <x:c r="V801" s="6" t="n">
        <x:f>IF(ISBLANK(P801),IF(AND(ISNUMBER(N801),N801&gt;0,ISNUMBER(O801),O801&gt;=0,ISNUMBER(Q801),Q801&gt;=0,ISNUMBER(R801),R801&gt;=0,ISNUMBER(S801)),0,""),P801)</x:f>
        <x:v>0.05</x:v>
      </x:c>
      <x:c r="W801" s="7" t="n">
        <x:f>IF(ISBLANK(V801),"",N801*O801*(1-V801))</x:f>
        <x:v>4595.1975</x:v>
      </x:c>
      <x:c r="X801" s="7" t="n">
        <x:f>IF(OR(ISBLANK(W801),ISBLANK(R801)),"",W801-R801)</x:f>
        <x:v>707.7875000000004</x:v>
      </x:c>
      <x:c r="Y801" s="8" t="n">
        <x:f>IF(OR(ISBLANK(W801),W801=0),"",X801/W801)</x:f>
        <x:v>0.15402765604742785</x:v>
      </x:c>
      <x:c r="Z801" s="9" t="n">
        <x:f>IF(OR(ISBLANK(B801),ISBLANK(C801)),"",C801-B801)</x:f>
        <x:v>7</x:v>
      </x:c>
      <x:c r="AA801" t="str">
        <x:f>IF(ISBLANK(B801),"",TEXT(B801,"mmm"))</x:f>
        <x:v>Oct</x:v>
      </x:c>
      <x:c r="AB801" s="9" t="n">
        <x:f>IF(ISBLANK(B801),"",YEAR(B801))</x:f>
        <x:v>2024</x:v>
      </x:c>
      <x:c r="AC801" s="10" t="str">
        <x:v>FLAG: Missing ship mode filled as Unknown</x:v>
      </x:c>
      <x:c r="AD801" t="str">
        <x:f>IF(AND(U801="Completed",T801="Paid",ISERROR(SEARCH("INVALID",AC801)),ISERROR(SEARCH("REVIEW",AC801))),"Include","Exclude")</x:f>
        <x:v>Exclude</x:v>
      </x:c>
      <x:c r="AE801" t="str">
        <x:f>IF(T801="Refunded","Refunded","")</x:f>
      </x:c>
    </x:row>
    <x:row r="802">
      <x:c r="A802" t="str">
        <x:v>ORD-2024-10801</x:v>
      </x:c>
      <x:c r="B802" s="5" t="n">
        <x:v>45352</x:v>
      </x:c>
      <x:c r="C802" s="5" t="n">
        <x:v>45358</x:v>
      </x:c>
      <x:c r="D802" t="str">
        <x:v>CUST-5015</x:v>
      </x:c>
      <x:c r="E802" t="str">
        <x:v>Vikram Iyer</x:v>
      </x:c>
      <x:c r="F802" t="str">
        <x:v>Small Business</x:v>
      </x:c>
      <x:c r="G802" t="str">
        <x:v>West</x:v>
      </x:c>
      <x:c r="H802" t="str">
        <x:v>Maharashtra</x:v>
      </x:c>
      <x:c r="I802" t="str">
        <x:v>Mumbai</x:v>
      </x:c>
      <x:c r="J802" t="str">
        <x:v>Office Supplies</x:v>
      </x:c>
      <x:c r="K802" t="str">
        <x:v>Storage</x:v>
      </x:c>
      <x:c r="L802" t="str">
        <x:v>Elite Storage 825</x:v>
      </x:c>
      <x:c r="M802" t="str">
        <x:v>Second Class</x:v>
      </x:c>
      <x:c r="N802" t="n">
        <x:v>6</x:v>
      </x:c>
      <x:c r="O802" s="7" t="n">
        <x:v>4163.72</x:v>
      </x:c>
      <x:c r="P802" s="6" t="n">
        <x:v>0.15</x:v>
      </x:c>
      <x:c r="Q802" s="7" t="n">
        <x:v>21234.97</x:v>
      </x:c>
      <x:c r="R802" s="7" t="n">
        <x:v>16736.09</x:v>
      </x:c>
      <x:c r="S802" s="7" t="n">
        <x:v>4498.88</x:v>
      </x:c>
      <x:c r="T802" t="str">
        <x:v>Paid</x:v>
      </x:c>
      <x:c r="U802" t="str">
        <x:v>Completed</x:v>
      </x:c>
      <x:c r="V802" s="6" t="n">
        <x:f>IF(ISBLANK(P802),IF(AND(ISNUMBER(N802),N802&gt;0,ISNUMBER(O802),O802&gt;=0,ISNUMBER(Q802),Q802&gt;=0,ISNUMBER(R802),R802&gt;=0,ISNUMBER(S802)),0,""),P802)</x:f>
        <x:v>0.15</x:v>
      </x:c>
      <x:c r="W802" s="7" t="n">
        <x:f>IF(ISBLANK(V802),"",N802*O802*(1-V802))</x:f>
        <x:v>21234.971999999998</x:v>
      </x:c>
      <x:c r="X802" s="7" t="n">
        <x:f>IF(OR(ISBLANK(W802),ISBLANK(R802)),"",W802-R802)</x:f>
        <x:v>4498.881999999998</x:v>
      </x:c>
      <x:c r="Y802" s="8" t="n">
        <x:f>IF(OR(ISBLANK(W802),W802=0),"",X802/W802)</x:f>
        <x:v>0.21186192286950029</x:v>
      </x:c>
      <x:c r="Z802" s="9" t="n">
        <x:f>IF(OR(ISBLANK(B802),ISBLANK(C802)),"",C802-B802)</x:f>
        <x:v>6</x:v>
      </x:c>
      <x:c r="AA802" t="str">
        <x:f>IF(ISBLANK(B802),"",TEXT(B802,"mmm"))</x:f>
        <x:v>Mar</x:v>
      </x:c>
      <x:c r="AB802" s="9" t="n">
        <x:f>IF(ISBLANK(B802),"",YEAR(B802))</x:f>
        <x:v>2024</x:v>
      </x:c>
      <x:c r="AC802" s="10" t="str"/>
      <x:c r="AD802" t="str">
        <x:f>IF(AND(U802="Completed",T802="Paid",ISERROR(SEARCH("INVALID",AC802)),ISERROR(SEARCH("REVIEW",AC802))),"Include","Exclude")</x:f>
        <x:v>Include</x:v>
      </x:c>
      <x:c r="AE802" t="str">
        <x:f>IF(T802="Refunded","Refunded","")</x:f>
      </x:c>
    </x:row>
    <x:row r="803">
      <x:c r="A803" t="str">
        <x:v>ORD-2025-10802</x:v>
      </x:c>
      <x:c r="B803" s="5" t="n">
        <x:v>45938</x:v>
      </x:c>
      <x:c r="C803" s="5" t="n">
        <x:v>45945</x:v>
      </x:c>
      <x:c r="D803" t="str">
        <x:v>CUST-3344</x:v>
      </x:c>
      <x:c r="E803" t="str">
        <x:v>Aarav Sharma</x:v>
      </x:c>
      <x:c r="F803" t="str">
        <x:v>Home Office</x:v>
      </x:c>
      <x:c r="G803" t="str">
        <x:v>East</x:v>
      </x:c>
      <x:c r="H803" t="str">
        <x:v>Odisha</x:v>
      </x:c>
      <x:c r="I803" t="str">
        <x:v>Bhubaneswar</x:v>
      </x:c>
      <x:c r="J803" t="str">
        <x:v>Technology</x:v>
      </x:c>
      <x:c r="K803" t="str">
        <x:v>Accessories</x:v>
      </x:c>
      <x:c r="L803" t="str">
        <x:v>Pro Accessories 500</x:v>
      </x:c>
      <x:c r="M803" t="str">
        <x:v>Second Class</x:v>
      </x:c>
      <x:c r="N803" t="n">
        <x:v>3</x:v>
      </x:c>
      <x:c r="O803" s="7" t="n">
        <x:v>3372.21</x:v>
      </x:c>
      <x:c r="P803" s="6" t="n">
        <x:v>0.2</x:v>
      </x:c>
      <x:c r="Q803" s="7" t="n">
        <x:v>8093.3</x:v>
      </x:c>
      <x:c r="R803" s="7" t="n">
        <x:v>6052.43</x:v>
      </x:c>
      <x:c r="S803" s="7" t="n">
        <x:v>2040.87</x:v>
      </x:c>
      <x:c r="T803" t="str">
        <x:v>Pending</x:v>
      </x:c>
      <x:c r="U803" t="str">
        <x:v>Cancelled</x:v>
      </x:c>
      <x:c r="V803" s="6" t="n">
        <x:f>IF(ISBLANK(P803),IF(AND(ISNUMBER(N803),N803&gt;0,ISNUMBER(O803),O803&gt;=0,ISNUMBER(Q803),Q803&gt;=0,ISNUMBER(R803),R803&gt;=0,ISNUMBER(S803)),0,""),P803)</x:f>
        <x:v>0.2</x:v>
      </x:c>
      <x:c r="W803" s="7" t="n">
        <x:f>IF(ISBLANK(V803),"",N803*O803*(1-V803))</x:f>
        <x:v>8093.304000000001</x:v>
      </x:c>
      <x:c r="X803" s="7" t="n">
        <x:f>IF(OR(ISBLANK(W803),ISBLANK(R803)),"",W803-R803)</x:f>
        <x:v>2040.8740000000007</x:v>
      </x:c>
      <x:c r="Y803" s="8" t="n">
        <x:f>IF(OR(ISBLANK(W803),W803=0),"",X803/W803)</x:f>
        <x:v>0.25216821214179036</x:v>
      </x:c>
      <x:c r="Z803" s="9" t="n">
        <x:f>IF(OR(ISBLANK(B803),ISBLANK(C803)),"",C803-B803)</x:f>
        <x:v>7</x:v>
      </x:c>
      <x:c r="AA803" t="str">
        <x:f>IF(ISBLANK(B803),"",TEXT(B803,"mmm"))</x:f>
        <x:v>Oct</x:v>
      </x:c>
      <x:c r="AB803" s="9" t="n">
        <x:f>IF(ISBLANK(B803),"",YEAR(B803))</x:f>
        <x:v>2025</x:v>
      </x:c>
      <x:c r="AC803" s="10" t="str">
        <x:v>EXCLUDE: Cancelled order</x:v>
      </x:c>
      <x:c r="AD803" t="str">
        <x:f>IF(AND(U803="Completed",T803="Paid",ISERROR(SEARCH("INVALID",AC803)),ISERROR(SEARCH("REVIEW",AC803))),"Include","Exclude")</x:f>
        <x:v>Exclude</x:v>
      </x:c>
      <x:c r="AE803" t="str">
        <x:f>IF(T803="Refunded","Refunded","")</x:f>
      </x:c>
    </x:row>
    <x:row r="804">
      <x:c r="A804" t="str">
        <x:v>ORD-2025-10803</x:v>
      </x:c>
      <x:c r="B804" s="5" t="n">
        <x:v>45704</x:v>
      </x:c>
      <x:c r="C804" s="5" t="n">
        <x:v>45704</x:v>
      </x:c>
      <x:c r="D804" t="str">
        <x:v>CUST-5866</x:v>
      </x:c>
      <x:c r="E804" t="str">
        <x:v>Rohan Mehta</x:v>
      </x:c>
      <x:c r="F804" t="str">
        <x:v>Small Business</x:v>
      </x:c>
      <x:c r="G804" t="str">
        <x:v>East</x:v>
      </x:c>
      <x:c r="H804" t="str">
        <x:v>Assam</x:v>
      </x:c>
      <x:c r="I804" t="str">
        <x:v>Guwahati</x:v>
      </x:c>
      <x:c r="J804" t="str">
        <x:v>Furniture</x:v>
      </x:c>
      <x:c r="K804" t="str">
        <x:v>Furnishings</x:v>
      </x:c>
      <x:c r="L804" t="str">
        <x:v>Pro Furnishings 909</x:v>
      </x:c>
      <x:c r="M804" t="str">
        <x:v>Second Class</x:v>
      </x:c>
      <x:c r="N804" t="n">
        <x:v>6</x:v>
      </x:c>
      <x:c r="O804" s="7" t="n">
        <x:v>1441.91</x:v>
      </x:c>
      <x:c r="P804" s="6" t="n">
        <x:v>0</x:v>
      </x:c>
      <x:c r="Q804" s="7" t="n">
        <x:v>8651.46</x:v>
      </x:c>
      <x:c r="R804" s="7" t="n">
        <x:v>5254.62</x:v>
      </x:c>
      <x:c r="S804" s="7" t="n">
        <x:v>3396.84</x:v>
      </x:c>
      <x:c r="T804" t="str">
        <x:v>Failed</x:v>
      </x:c>
      <x:c r="U804" t="str">
        <x:v>Returned</x:v>
      </x:c>
      <x:c r="V804" s="6" t="n">
        <x:f>IF(ISBLANK(P804),IF(AND(ISNUMBER(N804),N804&gt;0,ISNUMBER(O804),O804&gt;=0,ISNUMBER(Q804),Q804&gt;=0,ISNUMBER(R804),R804&gt;=0,ISNUMBER(S804)),0,""),P804)</x:f>
        <x:v>0</x:v>
      </x:c>
      <x:c r="W804" s="7" t="n">
        <x:f>IF(ISBLANK(V804),"",N804*O804*(1-V804))</x:f>
        <x:v>8651.460000000001</x:v>
      </x:c>
      <x:c r="X804" s="7" t="n">
        <x:f>IF(OR(ISBLANK(W804),ISBLANK(R804)),"",W804-R804)</x:f>
        <x:v>3396.840000000001</x:v>
      </x:c>
      <x:c r="Y804" s="8" t="n">
        <x:f>IF(OR(ISBLANK(W804),W804=0),"",X804/W804)</x:f>
        <x:v>0.3926319950621052</x:v>
      </x:c>
      <x:c r="Z804" s="9" t="n">
        <x:f>IF(OR(ISBLANK(B804),ISBLANK(C804)),"",C804-B804)</x:f>
        <x:v>0</x:v>
      </x:c>
      <x:c r="AA804" t="str">
        <x:f>IF(ISBLANK(B804),"",TEXT(B804,"mmm"))</x:f>
        <x:v>Feb</x:v>
      </x:c>
      <x:c r="AB804" s="9" t="n">
        <x:f>IF(ISBLANK(B804),"",YEAR(B804))</x:f>
        <x:v>2025</x:v>
      </x:c>
      <x:c r="AC804" s="10" t="str">
        <x:v>EXCLUDE: Failed payment</x:v>
      </x:c>
      <x:c r="AD804" t="str">
        <x:f>IF(AND(U804="Completed",T804="Paid",ISERROR(SEARCH("INVALID",AC804)),ISERROR(SEARCH("REVIEW",AC804))),"Include","Exclude")</x:f>
        <x:v>Exclude</x:v>
      </x:c>
      <x:c r="AE804" t="str">
        <x:f>IF(T804="Refunded","Refunded","")</x:f>
      </x:c>
    </x:row>
    <x:row r="805">
      <x:c r="A805" t="str">
        <x:v>ORD-2024-10804</x:v>
      </x:c>
      <x:c r="B805" s="5" t="n">
        <x:v>45635</x:v>
      </x:c>
      <x:c r="C805" s="5" t="n">
        <x:v>45639</x:v>
      </x:c>
      <x:c r="D805" t="str">
        <x:v>CUST-7180</x:v>
      </x:c>
      <x:c r="E805" t="str">
        <x:v>Rohan Mehta</x:v>
      </x:c>
      <x:c r="F805" t="str">
        <x:v>Consumer</x:v>
      </x:c>
      <x:c r="G805" t="str">
        <x:v>Unknown</x:v>
      </x:c>
      <x:c r="H805" t="str">
        <x:v>Jharkhand</x:v>
      </x:c>
      <x:c r="I805" t="str">
        <x:v>Ranchi</x:v>
      </x:c>
      <x:c r="J805" t="str">
        <x:v>Office Supplies</x:v>
      </x:c>
      <x:c r="K805" t="str">
        <x:v>Labels</x:v>
      </x:c>
      <x:c r="L805" t="str">
        <x:v>Basic Labels 359</x:v>
      </x:c>
      <x:c r="M805" t="str">
        <x:v>First Class</x:v>
      </x:c>
      <x:c r="N805" t="n">
        <x:v>1</x:v>
      </x:c>
      <x:c r="O805" s="7" t="n">
        <x:v>4306.65</x:v>
      </x:c>
      <x:c r="P805" s="6" t="n">
        <x:v>0</x:v>
      </x:c>
      <x:c r="Q805" s="7" t="n">
        <x:v>4306.65</x:v>
      </x:c>
      <x:c r="R805" s="7" t="n">
        <x:v>2568.82</x:v>
      </x:c>
      <x:c r="S805" s="7" t="n">
        <x:v>1737.83</x:v>
      </x:c>
      <x:c r="T805" t="str">
        <x:v>Paid</x:v>
      </x:c>
      <x:c r="U805" t="str">
        <x:v>Completed</x:v>
      </x:c>
      <x:c r="V805" s="6" t="n">
        <x:f>IF(ISBLANK(P805),IF(AND(ISNUMBER(N805),N805&gt;0,ISNUMBER(O805),O805&gt;=0,ISNUMBER(Q805),Q805&gt;=0,ISNUMBER(R805),R805&gt;=0,ISNUMBER(S805)),0,""),P805)</x:f>
        <x:v>0</x:v>
      </x:c>
      <x:c r="W805" s="7" t="n">
        <x:f>IF(ISBLANK(V805),"",N805*O805*(1-V805))</x:f>
        <x:v>4306.65</x:v>
      </x:c>
      <x:c r="X805" s="7" t="n">
        <x:f>IF(OR(ISBLANK(W805),ISBLANK(R805)),"",W805-R805)</x:f>
        <x:v>1737.8299999999995</x:v>
      </x:c>
      <x:c r="Y805" s="8" t="n">
        <x:f>IF(OR(ISBLANK(W805),W805=0),"",X805/W805)</x:f>
        <x:v>0.40352245945224235</x:v>
      </x:c>
      <x:c r="Z805" s="9" t="n">
        <x:f>IF(OR(ISBLANK(B805),ISBLANK(C805)),"",C805-B805)</x:f>
        <x:v>4</x:v>
      </x:c>
      <x:c r="AA805" t="str">
        <x:f>IF(ISBLANK(B805),"",TEXT(B805,"mmm"))</x:f>
        <x:v>Dec</x:v>
      </x:c>
      <x:c r="AB805" s="9" t="n">
        <x:f>IF(ISBLANK(B805),"",YEAR(B805))</x:f>
        <x:v>2024</x:v>
      </x:c>
      <x:c r="AC805" s="10" t="str">
        <x:v>FLAG: Missing region filled as Unknown</x:v>
      </x:c>
      <x:c r="AD805" t="str">
        <x:f>IF(AND(U805="Completed",T805="Paid",ISERROR(SEARCH("INVALID",AC805)),ISERROR(SEARCH("REVIEW",AC805))),"Include","Exclude")</x:f>
        <x:v>Include</x:v>
      </x:c>
      <x:c r="AE805" t="str">
        <x:f>IF(T805="Refunded","Refunded","")</x:f>
      </x:c>
    </x:row>
    <x:row r="806">
      <x:c r="A806" t="str">
        <x:v>ORD-2025-10805</x:v>
      </x:c>
      <x:c r="B806" s="5" t="n">
        <x:v>45910</x:v>
      </x:c>
      <x:c r="C806" s="5" t="n">
        <x:v>45918</x:v>
      </x:c>
      <x:c r="D806" t="str">
        <x:v>CUST-8745</x:v>
      </x:c>
      <x:c r="E806" t="str">
        <x:v>Rahul Verma</x:v>
      </x:c>
      <x:c r="F806" t="str">
        <x:v>Home Office</x:v>
      </x:c>
      <x:c r="G806" t="str">
        <x:v>South</x:v>
      </x:c>
      <x:c r="H806" t="str">
        <x:v>Telangana</x:v>
      </x:c>
      <x:c r="I806" t="str">
        <x:v>Hyderabad</x:v>
      </x:c>
      <x:c r="J806" t="str">
        <x:v>Furniture</x:v>
      </x:c>
      <x:c r="K806" t="str">
        <x:v>Furnishings</x:v>
      </x:c>
      <x:c r="L806" t="str">
        <x:v>Eco Furnishings 541</x:v>
      </x:c>
      <x:c r="M806" t="str">
        <x:v>Standard Class</x:v>
      </x:c>
      <x:c r="N806" t="n">
        <x:v>1</x:v>
      </x:c>
      <x:c r="O806" s="7" t="n">
        <x:v>2050.62</x:v>
      </x:c>
      <x:c r="P806" s="6" t="n">
        <x:v>0.05</x:v>
      </x:c>
      <x:c r="Q806" s="7" t="n">
        <x:v>1948.09</x:v>
      </x:c>
      <x:c r="R806" s="7" t="n">
        <x:v>1507.08</x:v>
      </x:c>
      <x:c r="S806" s="7" t="n">
        <x:v>441.01</x:v>
      </x:c>
      <x:c r="T806" t="str">
        <x:v>Paid</x:v>
      </x:c>
      <x:c r="U806" t="str">
        <x:v>Completed</x:v>
      </x:c>
      <x:c r="V806" s="6" t="n">
        <x:f>IF(ISBLANK(P806),IF(AND(ISNUMBER(N806),N806&gt;0,ISNUMBER(O806),O806&gt;=0,ISNUMBER(Q806),Q806&gt;=0,ISNUMBER(R806),R806&gt;=0,ISNUMBER(S806)),0,""),P806)</x:f>
        <x:v>0.05</x:v>
      </x:c>
      <x:c r="W806" s="7" t="n">
        <x:f>IF(ISBLANK(V806),"",N806*O806*(1-V806))</x:f>
        <x:v>1948.0889999999997</x:v>
      </x:c>
      <x:c r="X806" s="7" t="n">
        <x:f>IF(OR(ISBLANK(W806),ISBLANK(R806)),"",W806-R806)</x:f>
        <x:v>441.0089999999998</x:v>
      </x:c>
      <x:c r="Y806" s="8" t="n">
        <x:f>IF(OR(ISBLANK(W806),W806=0),"",X806/W806)</x:f>
        <x:v>0.22638031424642296</x:v>
      </x:c>
      <x:c r="Z806" s="9" t="n">
        <x:f>IF(OR(ISBLANK(B806),ISBLANK(C806)),"",C806-B806)</x:f>
        <x:v>8</x:v>
      </x:c>
      <x:c r="AA806" t="str">
        <x:f>IF(ISBLANK(B806),"",TEXT(B806,"mmm"))</x:f>
        <x:v>Sep</x:v>
      </x:c>
      <x:c r="AB806" s="9" t="n">
        <x:f>IF(ISBLANK(B806),"",YEAR(B806))</x:f>
        <x:v>2025</x:v>
      </x:c>
      <x:c r="AC806" s="10" t="str"/>
      <x:c r="AD806" t="str">
        <x:f>IF(AND(U806="Completed",T806="Paid",ISERROR(SEARCH("INVALID",AC806)),ISERROR(SEARCH("REVIEW",AC806))),"Include","Exclude")</x:f>
        <x:v>Include</x:v>
      </x:c>
      <x:c r="AE806" t="str">
        <x:f>IF(T806="Refunded","Refunded","")</x:f>
      </x:c>
    </x:row>
    <x:row r="807">
      <x:c r="A807" t="str">
        <x:v>ORD-2025-10806</x:v>
      </x:c>
      <x:c r="B807" s="5" t="n">
        <x:v>45753</x:v>
      </x:c>
      <x:c r="C807" s="5" t="n">
        <x:v>45754</x:v>
      </x:c>
      <x:c r="D807" t="str">
        <x:v>CUST-2098</x:v>
      </x:c>
      <x:c r="E807" t="str">
        <x:v>Priya Menon</x:v>
      </x:c>
      <x:c r="F807" t="str">
        <x:v>Home Office</x:v>
      </x:c>
      <x:c r="G807" t="str">
        <x:v>East</x:v>
      </x:c>
      <x:c r="H807" t="str">
        <x:v>Assam</x:v>
      </x:c>
      <x:c r="I807" t="str">
        <x:v>Guwahati</x:v>
      </x:c>
      <x:c r="J807" t="str">
        <x:v>Office Supplies</x:v>
      </x:c>
      <x:c r="K807" t="str">
        <x:v>Binders</x:v>
      </x:c>
      <x:c r="L807" t="str">
        <x:v>Classic Binders 103</x:v>
      </x:c>
      <x:c r="M807" t="str">
        <x:v>Second Class</x:v>
      </x:c>
      <x:c r="N807" t="n">
        <x:v>2</x:v>
      </x:c>
      <x:c r="O807" s="7" t="n">
        <x:v>2030.06</x:v>
      </x:c>
      <x:c r="P807" s="6" t="n">
        <x:v>0.25</x:v>
      </x:c>
      <x:c r="Q807" s="7" t="n">
        <x:v>3045.09</x:v>
      </x:c>
      <x:c r="R807" s="7" t="n">
        <x:v>2601.09</x:v>
      </x:c>
      <x:c r="S807" s="7" t="n">
        <x:v>444</x:v>
      </x:c>
      <x:c r="T807" t="str">
        <x:v>Paid</x:v>
      </x:c>
      <x:c r="U807" t="str">
        <x:v>Completed</x:v>
      </x:c>
      <x:c r="V807" s="6" t="n">
        <x:f>IF(ISBLANK(P807),IF(AND(ISNUMBER(N807),N807&gt;0,ISNUMBER(O807),O807&gt;=0,ISNUMBER(Q807),Q807&gt;=0,ISNUMBER(R807),R807&gt;=0,ISNUMBER(S807)),0,""),P807)</x:f>
        <x:v>0.25</x:v>
      </x:c>
      <x:c r="W807" s="7" t="n">
        <x:f>IF(ISBLANK(V807),"",N807*O807*(1-V807))</x:f>
        <x:v>3045.09</x:v>
      </x:c>
      <x:c r="X807" s="7" t="n">
        <x:f>IF(OR(ISBLANK(W807),ISBLANK(R807)),"",W807-R807)</x:f>
        <x:v>444</x:v>
      </x:c>
      <x:c r="Y807" s="8" t="n">
        <x:f>IF(OR(ISBLANK(W807),W807=0),"",X807/W807)</x:f>
        <x:v>0.14580849827098705</x:v>
      </x:c>
      <x:c r="Z807" s="9" t="n">
        <x:f>IF(OR(ISBLANK(B807),ISBLANK(C807)),"",C807-B807)</x:f>
        <x:v>1</x:v>
      </x:c>
      <x:c r="AA807" t="str">
        <x:f>IF(ISBLANK(B807),"",TEXT(B807,"mmm"))</x:f>
        <x:v>Apr</x:v>
      </x:c>
      <x:c r="AB807" s="9" t="n">
        <x:f>IF(ISBLANK(B807),"",YEAR(B807))</x:f>
        <x:v>2025</x:v>
      </x:c>
      <x:c r="AC807" s="10" t="str"/>
      <x:c r="AD807" t="str">
        <x:f>IF(AND(U807="Completed",T807="Paid",ISERROR(SEARCH("INVALID",AC807)),ISERROR(SEARCH("REVIEW",AC807))),"Include","Exclude")</x:f>
        <x:v>Include</x:v>
      </x:c>
      <x:c r="AE807" t="str">
        <x:f>IF(T807="Refunded","Refunded","")</x:f>
      </x:c>
    </x:row>
    <x:row r="808">
      <x:c r="A808" t="str">
        <x:v>ORD-2024-10807</x:v>
      </x:c>
      <x:c r="B808" s="5" t="n">
        <x:v>45605</x:v>
      </x:c>
      <x:c r="C808" s="5" t="n">
        <x:v>45611</x:v>
      </x:c>
      <x:c r="D808" t="str">
        <x:v>CUST-3704</x:v>
      </x:c>
      <x:c r="E808" t="str">
        <x:v>Isha Nair</x:v>
      </x:c>
      <x:c r="F808" t="str">
        <x:v>Home Office</x:v>
      </x:c>
      <x:c r="G808" t="str">
        <x:v>North</x:v>
      </x:c>
      <x:c r="H808" t="str">
        <x:v>Rajasthan</x:v>
      </x:c>
      <x:c r="I808" t="str">
        <x:v>Jaipur</x:v>
      </x:c>
      <x:c r="J808" t="str">
        <x:v>Technology</x:v>
      </x:c>
      <x:c r="K808" t="str">
        <x:v>Copiers</x:v>
      </x:c>
      <x:c r="L808" t="str">
        <x:v>Max Copiers 560</x:v>
      </x:c>
      <x:c r="M808" t="str">
        <x:v>Standard Class</x:v>
      </x:c>
      <x:c r="N808" t="n">
        <x:v>1</x:v>
      </x:c>
      <x:c r="O808" s="7" t="n">
        <x:v>3665.97</x:v>
      </x:c>
      <x:c r="P808" s="6" t="n">
        <x:v>0.2</x:v>
      </x:c>
      <x:c r="Q808" s="7" t="n">
        <x:v>2932.78</x:v>
      </x:c>
      <x:c r="R808" s="7" t="n">
        <x:v>1900.35</x:v>
      </x:c>
      <x:c r="S808" s="7" t="n">
        <x:v>1032.43</x:v>
      </x:c>
      <x:c r="T808" t="str">
        <x:v>Failed</x:v>
      </x:c>
      <x:c r="U808" t="str">
        <x:v>Cancelled</x:v>
      </x:c>
      <x:c r="V808" s="6" t="n">
        <x:f>IF(ISBLANK(P808),IF(AND(ISNUMBER(N808),N808&gt;0,ISNUMBER(O808),O808&gt;=0,ISNUMBER(Q808),Q808&gt;=0,ISNUMBER(R808),R808&gt;=0,ISNUMBER(S808)),0,""),P808)</x:f>
        <x:v>0.2</x:v>
      </x:c>
      <x:c r="W808" s="7" t="n">
        <x:f>IF(ISBLANK(V808),"",N808*O808*(1-V808))</x:f>
        <x:v>2932.776</x:v>
      </x:c>
      <x:c r="X808" s="7" t="n">
        <x:f>IF(OR(ISBLANK(W808),ISBLANK(R808)),"",W808-R808)</x:f>
        <x:v>1032.426</x:v>
      </x:c>
      <x:c r="Y808" s="8" t="n">
        <x:f>IF(OR(ISBLANK(W808),W808=0),"",X808/W808)</x:f>
        <x:v>0.35203029484693</x:v>
      </x:c>
      <x:c r="Z808" s="9" t="n">
        <x:f>IF(OR(ISBLANK(B808),ISBLANK(C808)),"",C808-B808)</x:f>
        <x:v>6</x:v>
      </x:c>
      <x:c r="AA808" t="str">
        <x:f>IF(ISBLANK(B808),"",TEXT(B808,"mmm"))</x:f>
        <x:v>Nov</x:v>
      </x:c>
      <x:c r="AB808" s="9" t="n">
        <x:f>IF(ISBLANK(B808),"",YEAR(B808))</x:f>
        <x:v>2024</x:v>
      </x:c>
      <x:c r="AC808" s="10" t="str">
        <x:v>EXCLUDE: Cancelled order; EXCLUDE: Failed payment</x:v>
      </x:c>
      <x:c r="AD808" t="str">
        <x:f>IF(AND(U808="Completed",T808="Paid",ISERROR(SEARCH("INVALID",AC808)),ISERROR(SEARCH("REVIEW",AC808))),"Include","Exclude")</x:f>
        <x:v>Exclude</x:v>
      </x:c>
      <x:c r="AE808" t="str">
        <x:f>IF(T808="Refunded","Refunded","")</x:f>
      </x:c>
    </x:row>
    <x:row r="809">
      <x:c r="A809" t="str">
        <x:v>ORD-2025-10808</x:v>
      </x:c>
      <x:c r="B809" s="5" t="n">
        <x:v>45695</x:v>
      </x:c>
      <x:c r="C809" s="5" t="n">
        <x:v>45696</x:v>
      </x:c>
      <x:c r="D809" t="str">
        <x:v>CUST-5884</x:v>
      </x:c>
      <x:c r="E809" t="str">
        <x:v>Karan Malhotra</x:v>
      </x:c>
      <x:c r="F809" t="str">
        <x:v>Small Business</x:v>
      </x:c>
      <x:c r="G809" t="str">
        <x:v>South</x:v>
      </x:c>
      <x:c r="H809" t="str">
        <x:v>Telangana</x:v>
      </x:c>
      <x:c r="I809" t="str">
        <x:v>Hyderabad</x:v>
      </x:c>
      <x:c r="J809" t="str">
        <x:v>Office Supplies</x:v>
      </x:c>
      <x:c r="K809" t="str">
        <x:v>Labels</x:v>
      </x:c>
      <x:c r="L809" t="str">
        <x:v>Smart Labels 436</x:v>
      </x:c>
      <x:c r="M809" t="str">
        <x:v>Standard Class</x:v>
      </x:c>
      <x:c r="N809" t="n">
        <x:v>2</x:v>
      </x:c>
      <x:c r="O809" s="7" t="n">
        <x:v>2432.98</x:v>
      </x:c>
      <x:c r="P809" s="6" t="n">
        <x:v>0.1</x:v>
      </x:c>
      <x:c r="Q809" s="7" t="n">
        <x:v>4379.36</x:v>
      </x:c>
      <x:c r="R809" s="7" t="n">
        <x:v>3723.93</x:v>
      </x:c>
      <x:c r="S809" s="7" t="n">
        <x:v>655.43</x:v>
      </x:c>
      <x:c r="T809" t="str">
        <x:v>Paid</x:v>
      </x:c>
      <x:c r="U809" t="str">
        <x:v>Completed</x:v>
      </x:c>
      <x:c r="V809" s="6" t="n">
        <x:f>IF(ISBLANK(P809),IF(AND(ISNUMBER(N809),N809&gt;0,ISNUMBER(O809),O809&gt;=0,ISNUMBER(Q809),Q809&gt;=0,ISNUMBER(R809),R809&gt;=0,ISNUMBER(S809)),0,""),P809)</x:f>
        <x:v>0.1</x:v>
      </x:c>
      <x:c r="W809" s="7" t="n">
        <x:f>IF(ISBLANK(V809),"",N809*O809*(1-V809))</x:f>
        <x:v>4379.3640000000005</x:v>
      </x:c>
      <x:c r="X809" s="7" t="n">
        <x:f>IF(OR(ISBLANK(W809),ISBLANK(R809)),"",W809-R809)</x:f>
        <x:v>655.4340000000007</x:v>
      </x:c>
      <x:c r="Y809" s="8" t="n">
        <x:f>IF(OR(ISBLANK(W809),W809=0),"",X809/W809)</x:f>
        <x:v>0.14966419781502532</x:v>
      </x:c>
      <x:c r="Z809" s="9" t="n">
        <x:f>IF(OR(ISBLANK(B809),ISBLANK(C809)),"",C809-B809)</x:f>
        <x:v>1</x:v>
      </x:c>
      <x:c r="AA809" t="str">
        <x:f>IF(ISBLANK(B809),"",TEXT(B809,"mmm"))</x:f>
        <x:v>Feb</x:v>
      </x:c>
      <x:c r="AB809" s="9" t="n">
        <x:f>IF(ISBLANK(B809),"",YEAR(B809))</x:f>
        <x:v>2025</x:v>
      </x:c>
      <x:c r="AC809" s="10" t="str"/>
      <x:c r="AD809" t="str">
        <x:f>IF(AND(U809="Completed",T809="Paid",ISERROR(SEARCH("INVALID",AC809)),ISERROR(SEARCH("REVIEW",AC809))),"Include","Exclude")</x:f>
        <x:v>Include</x:v>
      </x:c>
      <x:c r="AE809" t="str">
        <x:f>IF(T809="Refunded","Refunded","")</x:f>
      </x:c>
    </x:row>
    <x:row r="810">
      <x:c r="A810" t="str">
        <x:v>ORD-2025-10809</x:v>
      </x:c>
      <x:c r="B810" s="5" t="n">
        <x:v>45900</x:v>
      </x:c>
      <x:c r="C810" s="5" t="n">
        <x:v>45897</x:v>
      </x:c>
      <x:c r="D810" t="str">
        <x:v>CUST-7503</x:v>
      </x:c>
      <x:c r="E810" t="str">
        <x:v>Aarav Sharma</x:v>
      </x:c>
      <x:c r="F810" t="str">
        <x:v>Small Business</x:v>
      </x:c>
      <x:c r="G810" t="str">
        <x:v>South</x:v>
      </x:c>
      <x:c r="H810" t="str">
        <x:v>Tamil Nadu</x:v>
      </x:c>
      <x:c r="I810" t="str">
        <x:v>Chennai</x:v>
      </x:c>
      <x:c r="J810" t="str">
        <x:v>Furniture</x:v>
      </x:c>
      <x:c r="K810" t="str">
        <x:v>Furnishings</x:v>
      </x:c>
      <x:c r="L810" t="str">
        <x:v>Pro Furnishings 386</x:v>
      </x:c>
      <x:c r="M810" t="str">
        <x:v>First Class</x:v>
      </x:c>
      <x:c r="N810" t="n">
        <x:v>7</x:v>
      </x:c>
      <x:c r="O810" s="7" t="n">
        <x:v>977.28</x:v>
      </x:c>
      <x:c r="P810" s="6" t="n">
        <x:v>0.2</x:v>
      </x:c>
      <x:c r="Q810" s="7" t="n">
        <x:v>5472.77</x:v>
      </x:c>
      <x:c r="R810" s="7" t="n">
        <x:v>4477.33</x:v>
      </x:c>
      <x:c r="S810" s="7" t="n">
        <x:v>995.44</x:v>
      </x:c>
      <x:c r="T810" t="str">
        <x:v>Paid</x:v>
      </x:c>
      <x:c r="U810" t="str">
        <x:v>Completed</x:v>
      </x:c>
      <x:c r="V810" s="6" t="n">
        <x:f>IF(ISBLANK(P810),IF(AND(ISNUMBER(N810),N810&gt;0,ISNUMBER(O810),O810&gt;=0,ISNUMBER(Q810),Q810&gt;=0,ISNUMBER(R810),R810&gt;=0,ISNUMBER(S810)),0,""),P810)</x:f>
        <x:v>0.2</x:v>
      </x:c>
      <x:c r="W810" s="7" t="n">
        <x:f>IF(ISBLANK(V810),"",N810*O810*(1-V810))</x:f>
        <x:v>5472.768</x:v>
      </x:c>
      <x:c r="X810" s="7" t="n">
        <x:f>IF(OR(ISBLANK(W810),ISBLANK(R810)),"",W810-R810)</x:f>
        <x:v>995.4380000000001</x:v>
      </x:c>
      <x:c r="Y810" s="8" t="n">
        <x:f>IF(OR(ISBLANK(W810),W810=0),"",X810/W810)</x:f>
        <x:v>0.18188931085695575</x:v>
      </x:c>
      <x:c r="Z810" s="9" t="n">
        <x:f>IF(OR(ISBLANK(B810),ISBLANK(C810)),"",C810-B810)</x:f>
        <x:v>-3</x:v>
      </x:c>
      <x:c r="AA810" t="str">
        <x:f>IF(ISBLANK(B810),"",TEXT(B810,"mmm"))</x:f>
        <x:v>Aug</x:v>
      </x:c>
      <x:c r="AB810" s="9" t="n">
        <x:f>IF(ISBLANK(B810),"",YEAR(B810))</x:f>
        <x:v>2025</x:v>
      </x:c>
      <x:c r="AC810" s="10" t="str">
        <x:v>INVALID: Ship date before order date</x:v>
      </x:c>
      <x:c r="AD810" t="str">
        <x:f>IF(AND(U810="Completed",T810="Paid",ISERROR(SEARCH("INVALID",AC810)),ISERROR(SEARCH("REVIEW",AC810))),"Include","Exclude")</x:f>
        <x:v>Exclude</x:v>
      </x:c>
      <x:c r="AE810" t="str">
        <x:f>IF(T810="Refunded","Refunded","")</x:f>
      </x:c>
    </x:row>
    <x:row r="811">
      <x:c r="A811" t="str">
        <x:v>ORD-2025-10810</x:v>
      </x:c>
      <x:c r="B811" s="5" t="n">
        <x:v>45833</x:v>
      </x:c>
      <x:c r="C811" s="5" t="n">
        <x:v>45833</x:v>
      </x:c>
      <x:c r="D811" t="str">
        <x:v>CUST-6973</x:v>
      </x:c>
      <x:c r="E811" t="str">
        <x:v>Arjun Bose</x:v>
      </x:c>
      <x:c r="F811" t="str">
        <x:v>Small Business</x:v>
      </x:c>
      <x:c r="G811" t="str">
        <x:v>Unknown</x:v>
      </x:c>
      <x:c r="H811" t="str">
        <x:v>Punjab</x:v>
      </x:c>
      <x:c r="I811" t="str">
        <x:v>Ludhiana</x:v>
      </x:c>
      <x:c r="J811" t="str">
        <x:v>Office Supplies</x:v>
      </x:c>
      <x:c r="K811" t="str">
        <x:v>Binders</x:v>
      </x:c>
      <x:c r="L811" t="str">
        <x:v>Eco Binders 601</x:v>
      </x:c>
      <x:c r="M811" t="str">
        <x:v>Second Class</x:v>
      </x:c>
      <x:c r="N811" t="n">
        <x:v>6</x:v>
      </x:c>
      <x:c r="O811" s="7" t="n">
        <x:v>1366.13</x:v>
      </x:c>
      <x:c r="P811" s="6" t="n">
        <x:v>0.1</x:v>
      </x:c>
      <x:c r="Q811" s="7" t="n">
        <x:v>7377.1</x:v>
      </x:c>
      <x:c r="R811" s="7" t="n">
        <x:v>5085.21</x:v>
      </x:c>
      <x:c r="S811" s="7" t="n">
        <x:v>2291.89</x:v>
      </x:c>
      <x:c r="T811" t="str">
        <x:v>Paid</x:v>
      </x:c>
      <x:c r="U811" t="str">
        <x:v>Completed</x:v>
      </x:c>
      <x:c r="V811" s="6" t="n">
        <x:f>IF(ISBLANK(P811),IF(AND(ISNUMBER(N811),N811&gt;0,ISNUMBER(O811),O811&gt;=0,ISNUMBER(Q811),Q811&gt;=0,ISNUMBER(R811),R811&gt;=0,ISNUMBER(S811)),0,""),P811)</x:f>
        <x:v>0.1</x:v>
      </x:c>
      <x:c r="W811" s="7" t="n">
        <x:f>IF(ISBLANK(V811),"",N811*O811*(1-V811))</x:f>
        <x:v>7377.102000000001</x:v>
      </x:c>
      <x:c r="X811" s="7" t="n">
        <x:f>IF(OR(ISBLANK(W811),ISBLANK(R811)),"",W811-R811)</x:f>
        <x:v>2291.8920000000007</x:v>
      </x:c>
      <x:c r="Y811" s="8" t="n">
        <x:f>IF(OR(ISBLANK(W811),W811=0),"",X811/W811)</x:f>
        <x:v>0.31067646888981615</x:v>
      </x:c>
      <x:c r="Z811" s="9" t="n">
        <x:f>IF(OR(ISBLANK(B811),ISBLANK(C811)),"",C811-B811)</x:f>
        <x:v>0</x:v>
      </x:c>
      <x:c r="AA811" t="str">
        <x:f>IF(ISBLANK(B811),"",TEXT(B811,"mmm"))</x:f>
        <x:v>Jun</x:v>
      </x:c>
      <x:c r="AB811" s="9" t="n">
        <x:f>IF(ISBLANK(B811),"",YEAR(B811))</x:f>
        <x:v>2025</x:v>
      </x:c>
      <x:c r="AC811" s="10" t="str">
        <x:v>FLAG: Missing region filled as Unknown</x:v>
      </x:c>
      <x:c r="AD811" t="str">
        <x:f>IF(AND(U811="Completed",T811="Paid",ISERROR(SEARCH("INVALID",AC811)),ISERROR(SEARCH("REVIEW",AC811))),"Include","Exclude")</x:f>
        <x:v>Include</x:v>
      </x:c>
      <x:c r="AE811" t="str">
        <x:f>IF(T811="Refunded","Refunded","")</x:f>
      </x:c>
    </x:row>
    <x:row r="812">
      <x:c r="A812" t="str">
        <x:v>ORD-2024-10811</x:v>
      </x:c>
      <x:c r="B812" s="5" t="n">
        <x:v>45385</x:v>
      </x:c>
      <x:c r="C812" s="5" t="n">
        <x:v>45390</x:v>
      </x:c>
      <x:c r="D812" t="str">
        <x:v>CUST-4653</x:v>
      </x:c>
      <x:c r="E812" t="str">
        <x:v>Kabir Singh</x:v>
      </x:c>
      <x:c r="F812" t="str">
        <x:v>Home Office</x:v>
      </x:c>
      <x:c r="G812" t="str">
        <x:v>West</x:v>
      </x:c>
      <x:c r="H812" t="str">
        <x:v>Gujarat</x:v>
      </x:c>
      <x:c r="I812" t="str">
        <x:v>Ahmedabad</x:v>
      </x:c>
      <x:c r="J812" t="str">
        <x:v>Technology</x:v>
      </x:c>
      <x:c r="K812" t="str">
        <x:v>Copiers</x:v>
      </x:c>
      <x:c r="L812" t="str">
        <x:v>Pro Copiers 867</x:v>
      </x:c>
      <x:c r="M812" t="str">
        <x:v>First Class</x:v>
      </x:c>
      <x:c r="N812" t="n">
        <x:v>1</x:v>
      </x:c>
      <x:c r="O812" s="7" t="n">
        <x:v>3151.85</x:v>
      </x:c>
      <x:c r="P812" s="6" t="n">
        <x:v>0.25</x:v>
      </x:c>
      <x:c r="Q812" s="7" t="n">
        <x:v>2363.89</x:v>
      </x:c>
      <x:c r="R812" s="7" t="n">
        <x:v>1471.51</x:v>
      </x:c>
      <x:c r="S812" s="7" t="n">
        <x:v>892.38</x:v>
      </x:c>
      <x:c r="T812" t="str">
        <x:v>Paid</x:v>
      </x:c>
      <x:c r="U812" t="str">
        <x:v>Completed</x:v>
      </x:c>
      <x:c r="V812" s="6" t="n">
        <x:f>IF(ISBLANK(P812),IF(AND(ISNUMBER(N812),N812&gt;0,ISNUMBER(O812),O812&gt;=0,ISNUMBER(Q812),Q812&gt;=0,ISNUMBER(R812),R812&gt;=0,ISNUMBER(S812)),0,""),P812)</x:f>
        <x:v>0.25</x:v>
      </x:c>
      <x:c r="W812" s="7" t="n">
        <x:f>IF(ISBLANK(V812),"",N812*O812*(1-V812))</x:f>
        <x:v>2363.8875</x:v>
      </x:c>
      <x:c r="X812" s="7" t="n">
        <x:f>IF(OR(ISBLANK(W812),ISBLANK(R812)),"",W812-R812)</x:f>
        <x:v>892.3774999999998</x:v>
      </x:c>
      <x:c r="Y812" s="8" t="n">
        <x:f>IF(OR(ISBLANK(W812),W812=0),"",X812/W812)</x:f>
        <x:v>0.37750421710001</x:v>
      </x:c>
      <x:c r="Z812" s="9" t="n">
        <x:f>IF(OR(ISBLANK(B812),ISBLANK(C812)),"",C812-B812)</x:f>
        <x:v>5</x:v>
      </x:c>
      <x:c r="AA812" t="str">
        <x:f>IF(ISBLANK(B812),"",TEXT(B812,"mmm"))</x:f>
        <x:v>Apr</x:v>
      </x:c>
      <x:c r="AB812" s="9" t="n">
        <x:f>IF(ISBLANK(B812),"",YEAR(B812))</x:f>
        <x:v>2024</x:v>
      </x:c>
      <x:c r="AC812" s="10" t="str"/>
      <x:c r="AD812" t="str">
        <x:f>IF(AND(U812="Completed",T812="Paid",ISERROR(SEARCH("INVALID",AC812)),ISERROR(SEARCH("REVIEW",AC812))),"Include","Exclude")</x:f>
        <x:v>Include</x:v>
      </x:c>
      <x:c r="AE812" t="str">
        <x:f>IF(T812="Refunded","Refunded","")</x:f>
      </x:c>
    </x:row>
    <x:row r="813">
      <x:c r="A813" t="str">
        <x:v>ORD-2024-10812</x:v>
      </x:c>
      <x:c r="B813" s="5" t="n">
        <x:v>45638</x:v>
      </x:c>
      <x:c r="C813" s="5" t="n">
        <x:v>45645</x:v>
      </x:c>
      <x:c r="D813" t="str">
        <x:v>CUST-3303</x:v>
      </x:c>
      <x:c r="E813" t="str">
        <x:v>Rohan Mehta</x:v>
      </x:c>
      <x:c r="F813" t="str">
        <x:v>Home Office</x:v>
      </x:c>
      <x:c r="G813" t="str">
        <x:v>North</x:v>
      </x:c>
      <x:c r="H813" t="str">
        <x:v>Haryana</x:v>
      </x:c>
      <x:c r="I813" t="str">
        <x:v>Gurugram</x:v>
      </x:c>
      <x:c r="J813" t="str">
        <x:v>Technology</x:v>
      </x:c>
      <x:c r="K813" t="str">
        <x:v>Accessories</x:v>
      </x:c>
      <x:c r="L813" t="str">
        <x:v>Eco Accessories 122</x:v>
      </x:c>
      <x:c r="M813" t="str">
        <x:v>First Class</x:v>
      </x:c>
      <x:c r="N813" t="n">
        <x:v>2</x:v>
      </x:c>
      <x:c r="O813" s="7" t="n">
        <x:v>1610.75</x:v>
      </x:c>
      <x:c r="P813" s="6" t="n">
        <x:v>0.2</x:v>
      </x:c>
      <x:c r="Q813" s="7" t="n">
        <x:v>2577.2</x:v>
      </x:c>
      <x:c r="R813" s="7" t="n">
        <x:v>1475.87</x:v>
      </x:c>
      <x:c r="S813" s="7" t="n">
        <x:v>1101.33</x:v>
      </x:c>
      <x:c r="T813" t="str">
        <x:v>Paid</x:v>
      </x:c>
      <x:c r="U813" t="str">
        <x:v>Completed</x:v>
      </x:c>
      <x:c r="V813" s="6" t="n">
        <x:f>IF(ISBLANK(P813),IF(AND(ISNUMBER(N813),N813&gt;0,ISNUMBER(O813),O813&gt;=0,ISNUMBER(Q813),Q813&gt;=0,ISNUMBER(R813),R813&gt;=0,ISNUMBER(S813)),0,""),P813)</x:f>
        <x:v>0.2</x:v>
      </x:c>
      <x:c r="W813" s="7" t="n">
        <x:f>IF(ISBLANK(V813),"",N813*O813*(1-V813))</x:f>
        <x:v>2577.2000000000003</x:v>
      </x:c>
      <x:c r="X813" s="7" t="n">
        <x:f>IF(OR(ISBLANK(W813),ISBLANK(R813)),"",W813-R813)</x:f>
        <x:v>1101.3300000000004</x:v>
      </x:c>
      <x:c r="Y813" s="8" t="n">
        <x:f>IF(OR(ISBLANK(W813),W813=0),"",X813/W813)</x:f>
        <x:v>0.42733586838429316</x:v>
      </x:c>
      <x:c r="Z813" s="9" t="n">
        <x:f>IF(OR(ISBLANK(B813),ISBLANK(C813)),"",C813-B813)</x:f>
        <x:v>7</x:v>
      </x:c>
      <x:c r="AA813" t="str">
        <x:f>IF(ISBLANK(B813),"",TEXT(B813,"mmm"))</x:f>
        <x:v>Dec</x:v>
      </x:c>
      <x:c r="AB813" s="9" t="n">
        <x:f>IF(ISBLANK(B813),"",YEAR(B813))</x:f>
        <x:v>2024</x:v>
      </x:c>
      <x:c r="AC813" s="10" t="str"/>
      <x:c r="AD813" t="str">
        <x:f>IF(AND(U813="Completed",T813="Paid",ISERROR(SEARCH("INVALID",AC813)),ISERROR(SEARCH("REVIEW",AC813))),"Include","Exclude")</x:f>
        <x:v>Include</x:v>
      </x:c>
      <x:c r="AE813" t="str">
        <x:f>IF(T813="Refunded","Refunded","")</x:f>
      </x:c>
    </x:row>
    <x:row r="814">
      <x:c r="A814" t="str">
        <x:v>ORD-2024-10813</x:v>
      </x:c>
      <x:c r="B814" s="5" t="n">
        <x:v>45458</x:v>
      </x:c>
      <x:c r="C814" s="5" t="n">
        <x:v>45463</x:v>
      </x:c>
      <x:c r="D814" t="str">
        <x:v>CUST-5754</x:v>
      </x:c>
      <x:c r="E814" t="str">
        <x:v>Sneha Kapoor</x:v>
      </x:c>
      <x:c r="F814" t="str">
        <x:v>Small Business</x:v>
      </x:c>
      <x:c r="G814" t="str">
        <x:v>East</x:v>
      </x:c>
      <x:c r="H814" t="str">
        <x:v>Jharkhand</x:v>
      </x:c>
      <x:c r="I814" t="str">
        <x:v>Ranchi</x:v>
      </x:c>
      <x:c r="J814" t="str">
        <x:v>Furniture</x:v>
      </x:c>
      <x:c r="K814" t="str">
        <x:v>Tables</x:v>
      </x:c>
      <x:c r="L814" t="str">
        <x:v>Basic Tables 127</x:v>
      </x:c>
      <x:c r="M814" t="str">
        <x:v>First Class</x:v>
      </x:c>
      <x:c r="N814" t="n">
        <x:v>8</x:v>
      </x:c>
      <x:c r="O814" s="7" t="n">
        <x:v>2228.47</x:v>
      </x:c>
      <x:c r="P814" s="6" t="n">
        <x:v>0</x:v>
      </x:c>
      <x:c r="Q814" s="7" t="n">
        <x:v>17827.76</x:v>
      </x:c>
      <x:c r="R814" s="7" t="n">
        <x:v>14122.13</x:v>
      </x:c>
      <x:c r="S814" s="7" t="n">
        <x:v>3705.63</x:v>
      </x:c>
      <x:c r="T814" t="str">
        <x:v>Paid</x:v>
      </x:c>
      <x:c r="U814" t="str">
        <x:v>Completed</x:v>
      </x:c>
      <x:c r="V814" s="6" t="n">
        <x:f>IF(ISBLANK(P814),IF(AND(ISNUMBER(N814),N814&gt;0,ISNUMBER(O814),O814&gt;=0,ISNUMBER(Q814),Q814&gt;=0,ISNUMBER(R814),R814&gt;=0,ISNUMBER(S814)),0,""),P814)</x:f>
        <x:v>0</x:v>
      </x:c>
      <x:c r="W814" s="7" t="n">
        <x:f>IF(ISBLANK(V814),"",N814*O814*(1-V814))</x:f>
        <x:v>17827.76</x:v>
      </x:c>
      <x:c r="X814" s="7" t="n">
        <x:f>IF(OR(ISBLANK(W814),ISBLANK(R814)),"",W814-R814)</x:f>
        <x:v>3705.629999999999</x:v>
      </x:c>
      <x:c r="Y814" s="8" t="n">
        <x:f>IF(OR(ISBLANK(W814),W814=0),"",X814/W814)</x:f>
        <x:v>0.20785729671029896</x:v>
      </x:c>
      <x:c r="Z814" s="9" t="n">
        <x:f>IF(OR(ISBLANK(B814),ISBLANK(C814)),"",C814-B814)</x:f>
        <x:v>5</x:v>
      </x:c>
      <x:c r="AA814" t="str">
        <x:f>IF(ISBLANK(B814),"",TEXT(B814,"mmm"))</x:f>
        <x:v>Jun</x:v>
      </x:c>
      <x:c r="AB814" s="9" t="n">
        <x:f>IF(ISBLANK(B814),"",YEAR(B814))</x:f>
        <x:v>2024</x:v>
      </x:c>
      <x:c r="AC814" s="10" t="str"/>
      <x:c r="AD814" t="str">
        <x:f>IF(AND(U814="Completed",T814="Paid",ISERROR(SEARCH("INVALID",AC814)),ISERROR(SEARCH("REVIEW",AC814))),"Include","Exclude")</x:f>
        <x:v>Include</x:v>
      </x:c>
      <x:c r="AE814" t="str">
        <x:f>IF(T814="Refunded","Refunded","")</x:f>
      </x:c>
    </x:row>
    <x:row r="815">
      <x:c r="A815" t="str">
        <x:v>ORD-2025-10814</x:v>
      </x:c>
      <x:c r="B815" s="5" t="n">
        <x:v>45753</x:v>
      </x:c>
      <x:c r="C815" s="5" t="n">
        <x:v>45757</x:v>
      </x:c>
      <x:c r="D815" t="str">
        <x:v>CUST-7848</x:v>
      </x:c>
      <x:c r="E815" t="str">
        <x:v>Rohan Mehta</x:v>
      </x:c>
      <x:c r="F815" t="str">
        <x:v>Consumer</x:v>
      </x:c>
      <x:c r="G815" t="str">
        <x:v>East</x:v>
      </x:c>
      <x:c r="H815" t="str">
        <x:v>Odisha</x:v>
      </x:c>
      <x:c r="I815" t="str">
        <x:v>Bhubaneswar</x:v>
      </x:c>
      <x:c r="J815" t="str">
        <x:v>Furniture</x:v>
      </x:c>
      <x:c r="K815" t="str">
        <x:v>Bookcases</x:v>
      </x:c>
      <x:c r="L815" t="str">
        <x:v>Elite Bookcases 988</x:v>
      </x:c>
      <x:c r="M815" t="str">
        <x:v>Standard Class</x:v>
      </x:c>
      <x:c r="N815" t="n">
        <x:v>2</x:v>
      </x:c>
      <x:c r="O815" s="7" t="n">
        <x:v>1337.67</x:v>
      </x:c>
      <x:c r="P815" s="6" t="n">
        <x:v>0</x:v>
      </x:c>
      <x:c r="Q815" s="7" t="n">
        <x:v>2675.34</x:v>
      </x:c>
      <x:c r="R815" s="7" t="n">
        <x:v>1595.87</x:v>
      </x:c>
      <x:c r="S815" s="7" t="n">
        <x:v>1079.47</x:v>
      </x:c>
      <x:c r="T815" t="str">
        <x:v>Paid</x:v>
      </x:c>
      <x:c r="U815" t="str">
        <x:v>Completed</x:v>
      </x:c>
      <x:c r="V815" s="6" t="n">
        <x:f>IF(ISBLANK(P815),IF(AND(ISNUMBER(N815),N815&gt;0,ISNUMBER(O815),O815&gt;=0,ISNUMBER(Q815),Q815&gt;=0,ISNUMBER(R815),R815&gt;=0,ISNUMBER(S815)),0,""),P815)</x:f>
        <x:v>0</x:v>
      </x:c>
      <x:c r="W815" s="7" t="n">
        <x:f>IF(ISBLANK(V815),"",N815*O815*(1-V815))</x:f>
        <x:v>2675.34</x:v>
      </x:c>
      <x:c r="X815" s="7" t="n">
        <x:f>IF(OR(ISBLANK(W815),ISBLANK(R815)),"",W815-R815)</x:f>
        <x:v>1079.4700000000003</x:v>
      </x:c>
      <x:c r="Y815" s="8" t="n">
        <x:f>IF(OR(ISBLANK(W815),W815=0),"",X815/W815)</x:f>
        <x:v>0.4034889023451226</x:v>
      </x:c>
      <x:c r="Z815" s="9" t="n">
        <x:f>IF(OR(ISBLANK(B815),ISBLANK(C815)),"",C815-B815)</x:f>
        <x:v>4</x:v>
      </x:c>
      <x:c r="AA815" t="str">
        <x:f>IF(ISBLANK(B815),"",TEXT(B815,"mmm"))</x:f>
        <x:v>Apr</x:v>
      </x:c>
      <x:c r="AB815" s="9" t="n">
        <x:f>IF(ISBLANK(B815),"",YEAR(B815))</x:f>
        <x:v>2025</x:v>
      </x:c>
      <x:c r="AC815" s="10" t="str"/>
      <x:c r="AD815" t="str">
        <x:f>IF(AND(U815="Completed",T815="Paid",ISERROR(SEARCH("INVALID",AC815)),ISERROR(SEARCH("REVIEW",AC815))),"Include","Exclude")</x:f>
        <x:v>Include</x:v>
      </x:c>
      <x:c r="AE815" t="str">
        <x:f>IF(T815="Refunded","Refunded","")</x:f>
      </x:c>
    </x:row>
    <x:row r="816">
      <x:c r="A816" t="str">
        <x:v>ORD-2025-10815</x:v>
      </x:c>
      <x:c r="B816" s="5" t="n">
        <x:v>45875</x:v>
      </x:c>
      <x:c r="C816" s="5" t="n">
        <x:v>45880</x:v>
      </x:c>
      <x:c r="D816" t="str">
        <x:v>CUST-9048</x:v>
      </x:c>
      <x:c r="E816" t="str">
        <x:v>Arjun Bose</x:v>
      </x:c>
      <x:c r="F816" t="str">
        <x:v>Consumer</x:v>
      </x:c>
      <x:c r="G816" t="str">
        <x:v>West</x:v>
      </x:c>
      <x:c r="H816" t="str">
        <x:v>Madhya Pradesh</x:v>
      </x:c>
      <x:c r="I816" t="str">
        <x:v>Indore</x:v>
      </x:c>
      <x:c r="J816" t="str">
        <x:v>Office Supplies</x:v>
      </x:c>
      <x:c r="K816" t="str">
        <x:v>Labels</x:v>
      </x:c>
      <x:c r="L816" t="str">
        <x:v>Smart Labels 126</x:v>
      </x:c>
      <x:c r="M816" t="str">
        <x:v>First Class</x:v>
      </x:c>
      <x:c r="N816" t="n">
        <x:v>2</x:v>
      </x:c>
      <x:c r="O816" s="7" t="n">
        <x:v>2375.94</x:v>
      </x:c>
      <x:c r="P816" s="6" t="n">
        <x:v>0.25</x:v>
      </x:c>
      <x:c r="Q816" s="7" t="n">
        <x:v>3563.91</x:v>
      </x:c>
      <x:c r="R816" s="7" t="n">
        <x:v>2639.7</x:v>
      </x:c>
      <x:c r="S816" s="7" t="n">
        <x:v>924.21</x:v>
      </x:c>
      <x:c r="T816" t="str">
        <x:v>Paid</x:v>
      </x:c>
      <x:c r="U816" t="str">
        <x:v>Completed</x:v>
      </x:c>
      <x:c r="V816" s="6" t="n">
        <x:f>IF(ISBLANK(P816),IF(AND(ISNUMBER(N816),N816&gt;0,ISNUMBER(O816),O816&gt;=0,ISNUMBER(Q816),Q816&gt;=0,ISNUMBER(R816),R816&gt;=0,ISNUMBER(S816)),0,""),P816)</x:f>
        <x:v>0.25</x:v>
      </x:c>
      <x:c r="W816" s="7" t="n">
        <x:f>IF(ISBLANK(V816),"",N816*O816*(1-V816))</x:f>
        <x:v>3563.91</x:v>
      </x:c>
      <x:c r="X816" s="7" t="n">
        <x:f>IF(OR(ISBLANK(W816),ISBLANK(R816)),"",W816-R816)</x:f>
        <x:v>924.21</x:v>
      </x:c>
      <x:c r="Y816" s="8" t="n">
        <x:f>IF(OR(ISBLANK(W816),W816=0),"",X816/W816)</x:f>
        <x:v>0.25932473042248544</x:v>
      </x:c>
      <x:c r="Z816" s="9" t="n">
        <x:f>IF(OR(ISBLANK(B816),ISBLANK(C816)),"",C816-B816)</x:f>
        <x:v>5</x:v>
      </x:c>
      <x:c r="AA816" t="str">
        <x:f>IF(ISBLANK(B816),"",TEXT(B816,"mmm"))</x:f>
        <x:v>Aug</x:v>
      </x:c>
      <x:c r="AB816" s="9" t="n">
        <x:f>IF(ISBLANK(B816),"",YEAR(B816))</x:f>
        <x:v>2025</x:v>
      </x:c>
      <x:c r="AC816" s="10" t="str"/>
      <x:c r="AD816" t="str">
        <x:f>IF(AND(U816="Completed",T816="Paid",ISERROR(SEARCH("INVALID",AC816)),ISERROR(SEARCH("REVIEW",AC816))),"Include","Exclude")</x:f>
        <x:v>Include</x:v>
      </x:c>
      <x:c r="AE816" t="str">
        <x:f>IF(T816="Refunded","Refunded","")</x:f>
      </x:c>
    </x:row>
    <x:row r="817">
      <x:c r="A817" t="str">
        <x:v>ORD-2024-10816</x:v>
      </x:c>
      <x:c r="B817" s="5" t="n">
        <x:v>45383</x:v>
      </x:c>
      <x:c r="C817" s="5" t="n">
        <x:v>45390</x:v>
      </x:c>
      <x:c r="D817" t="str">
        <x:v>CUST-2951</x:v>
      </x:c>
      <x:c r="E817" t="str">
        <x:v>Diya Patel</x:v>
      </x:c>
      <x:c r="F817" t="str">
        <x:v>Consumer</x:v>
      </x:c>
      <x:c r="G817" t="str">
        <x:v>East</x:v>
      </x:c>
      <x:c r="H817" t="str">
        <x:v>Odisha</x:v>
      </x:c>
      <x:c r="I817" t="str">
        <x:v>Bhubaneswar</x:v>
      </x:c>
      <x:c r="J817" t="str">
        <x:v>Technology</x:v>
      </x:c>
      <x:c r="K817" t="str">
        <x:v>Machines</x:v>
      </x:c>
      <x:c r="L817" t="str">
        <x:v>Max Machines 569</x:v>
      </x:c>
      <x:c r="M817" t="str">
        <x:v>Standard Class</x:v>
      </x:c>
      <x:c r="N817" t="n">
        <x:v>7</x:v>
      </x:c>
      <x:c r="O817" s="7" t="n">
        <x:v>715.81</x:v>
      </x:c>
      <x:c r="P817" s="6" t="n">
        <x:v>0.15</x:v>
      </x:c>
      <x:c r="Q817" s="7" t="n">
        <x:v>4259.07</x:v>
      </x:c>
      <x:c r="R817" s="7" t="n">
        <x:v>3130.32</x:v>
      </x:c>
      <x:c r="S817" s="7" t="n">
        <x:v>1128.75</x:v>
      </x:c>
      <x:c r="T817" t="str">
        <x:v>Pending</x:v>
      </x:c>
      <x:c r="U817" t="str">
        <x:v>Cancelled</x:v>
      </x:c>
      <x:c r="V817" s="6" t="n">
        <x:f>IF(ISBLANK(P817),IF(AND(ISNUMBER(N817),N817&gt;0,ISNUMBER(O817),O817&gt;=0,ISNUMBER(Q817),Q817&gt;=0,ISNUMBER(R817),R817&gt;=0,ISNUMBER(S817)),0,""),P817)</x:f>
        <x:v>0.15</x:v>
      </x:c>
      <x:c r="W817" s="7" t="n">
        <x:f>IF(ISBLANK(V817),"",N817*O817*(1-V817))</x:f>
        <x:v>4259.0695</x:v>
      </x:c>
      <x:c r="X817" s="7" t="n">
        <x:f>IF(OR(ISBLANK(W817),ISBLANK(R817)),"",W817-R817)</x:f>
        <x:v>1128.7494999999994</x:v>
      </x:c>
      <x:c r="Y817" s="8" t="n">
        <x:f>IF(OR(ISBLANK(W817),W817=0),"",X817/W817)</x:f>
        <x:v>0.26502255950507486</x:v>
      </x:c>
      <x:c r="Z817" s="9" t="n">
        <x:f>IF(OR(ISBLANK(B817),ISBLANK(C817)),"",C817-B817)</x:f>
        <x:v>7</x:v>
      </x:c>
      <x:c r="AA817" t="str">
        <x:f>IF(ISBLANK(B817),"",TEXT(B817,"mmm"))</x:f>
        <x:v>Apr</x:v>
      </x:c>
      <x:c r="AB817" s="9" t="n">
        <x:f>IF(ISBLANK(B817),"",YEAR(B817))</x:f>
        <x:v>2024</x:v>
      </x:c>
      <x:c r="AC817" s="10" t="str">
        <x:v>EXCLUDE: Cancelled order</x:v>
      </x:c>
      <x:c r="AD817" t="str">
        <x:f>IF(AND(U817="Completed",T817="Paid",ISERROR(SEARCH("INVALID",AC817)),ISERROR(SEARCH("REVIEW",AC817))),"Include","Exclude")</x:f>
        <x:v>Exclude</x:v>
      </x:c>
      <x:c r="AE817" t="str">
        <x:f>IF(T817="Refunded","Refunded","")</x:f>
      </x:c>
    </x:row>
    <x:row r="818">
      <x:c r="A818" t="str">
        <x:v>ORD-2024-10817</x:v>
      </x:c>
      <x:c r="B818" s="5" t="n">
        <x:v>45623</x:v>
      </x:c>
      <x:c r="C818" s="5" t="n">
        <x:v>45626</x:v>
      </x:c>
      <x:c r="D818" t="str">
        <x:v>CUST-3072</x:v>
      </x:c>
      <x:c r="E818" t="str">
        <x:v>Rahul Verma</x:v>
      </x:c>
      <x:c r="F818" t="str">
        <x:v>Small Business</x:v>
      </x:c>
      <x:c r="G818" t="str">
        <x:v>East</x:v>
      </x:c>
      <x:c r="H818" t="str">
        <x:v>Jharkhand</x:v>
      </x:c>
      <x:c r="I818" t="str">
        <x:v>Ranchi</x:v>
      </x:c>
      <x:c r="J818" t="str">
        <x:v>Furniture</x:v>
      </x:c>
      <x:c r="K818" t="str">
        <x:v>Furnishings</x:v>
      </x:c>
      <x:c r="L818" t="str">
        <x:v>Basic Furnishings 306</x:v>
      </x:c>
      <x:c r="M818" t="str">
        <x:v>First Class</x:v>
      </x:c>
      <x:c r="N818" t="n">
        <x:v>1</x:v>
      </x:c>
      <x:c r="O818" s="7" t="n">
        <x:v>874.3</x:v>
      </x:c>
      <x:c r="P818" s="6" t="n">
        <x:v>0.1</x:v>
      </x:c>
      <x:c r="Q818" s="7" t="n">
        <x:v>786.87</x:v>
      </x:c>
      <x:c r="R818" s="7" t="n">
        <x:v>498.5</x:v>
      </x:c>
      <x:c r="S818" s="7" t="n">
        <x:v>288.37</x:v>
      </x:c>
      <x:c r="T818" t="str">
        <x:v>Paid</x:v>
      </x:c>
      <x:c r="U818" t="str">
        <x:v>Completed</x:v>
      </x:c>
      <x:c r="V818" s="6" t="n">
        <x:f>IF(ISBLANK(P818),IF(AND(ISNUMBER(N818),N818&gt;0,ISNUMBER(O818),O818&gt;=0,ISNUMBER(Q818),Q818&gt;=0,ISNUMBER(R818),R818&gt;=0,ISNUMBER(S818)),0,""),P818)</x:f>
        <x:v>0.1</x:v>
      </x:c>
      <x:c r="W818" s="7" t="n">
        <x:f>IF(ISBLANK(V818),"",N818*O818*(1-V818))</x:f>
        <x:v>786.87</x:v>
      </x:c>
      <x:c r="X818" s="7" t="n">
        <x:f>IF(OR(ISBLANK(W818),ISBLANK(R818)),"",W818-R818)</x:f>
        <x:v>288.37</x:v>
      </x:c>
      <x:c r="Y818" s="8" t="n">
        <x:f>IF(OR(ISBLANK(W818),W818=0),"",X818/W818)</x:f>
        <x:v>0.36647730883119195</x:v>
      </x:c>
      <x:c r="Z818" s="9" t="n">
        <x:f>IF(OR(ISBLANK(B818),ISBLANK(C818)),"",C818-B818)</x:f>
        <x:v>3</x:v>
      </x:c>
      <x:c r="AA818" t="str">
        <x:f>IF(ISBLANK(B818),"",TEXT(B818,"mmm"))</x:f>
        <x:v>Nov</x:v>
      </x:c>
      <x:c r="AB818" s="9" t="n">
        <x:f>IF(ISBLANK(B818),"",YEAR(B818))</x:f>
        <x:v>2024</x:v>
      </x:c>
      <x:c r="AC818" s="10" t="str"/>
      <x:c r="AD818" t="str">
        <x:f>IF(AND(U818="Completed",T818="Paid",ISERROR(SEARCH("INVALID",AC818)),ISERROR(SEARCH("REVIEW",AC818))),"Include","Exclude")</x:f>
        <x:v>Include</x:v>
      </x:c>
      <x:c r="AE818" t="str">
        <x:f>IF(T818="Refunded","Refunded","")</x:f>
      </x:c>
    </x:row>
    <x:row r="819">
      <x:c r="A819" t="str">
        <x:v>ORD-2025-10818</x:v>
      </x:c>
      <x:c r="B819" s="5" t="n">
        <x:v>45752</x:v>
      </x:c>
      <x:c r="C819" s="5" t="n">
        <x:v>45752</x:v>
      </x:c>
      <x:c r="D819" t="str">
        <x:v>CUST-2221</x:v>
      </x:c>
      <x:c r="E819" t="str">
        <x:v>Sneha Kapoor</x:v>
      </x:c>
      <x:c r="F819" t="str">
        <x:v>Consumer</x:v>
      </x:c>
      <x:c r="G819" t="str">
        <x:v>East</x:v>
      </x:c>
      <x:c r="H819" t="str">
        <x:v>Bihar</x:v>
      </x:c>
      <x:c r="I819" t="str">
        <x:v>Patna</x:v>
      </x:c>
      <x:c r="J819" t="str">
        <x:v>Office Supplies</x:v>
      </x:c>
      <x:c r="K819" t="str">
        <x:v>Binders</x:v>
      </x:c>
      <x:c r="L819" t="str">
        <x:v>Classic Binders 873</x:v>
      </x:c>
      <x:c r="M819" t="str">
        <x:v>Standard Class</x:v>
      </x:c>
      <x:c r="N819" t="n">
        <x:v>6</x:v>
      </x:c>
      <x:c r="O819" s="7" t="n">
        <x:v>1829.69</x:v>
      </x:c>
      <x:c r="P819" s="6" t="n">
        <x:v>0.25</x:v>
      </x:c>
      <x:c r="Q819" s="7" t="n">
        <x:v>8233.6</x:v>
      </x:c>
      <x:c r="R819" s="7" t="n">
        <x:v>4713.79</x:v>
      </x:c>
      <x:c r="S819" s="7" t="n">
        <x:v>3519.81</x:v>
      </x:c>
      <x:c r="T819" t="str">
        <x:v>Paid</x:v>
      </x:c>
      <x:c r="U819" t="str">
        <x:v>Completed</x:v>
      </x:c>
      <x:c r="V819" s="6" t="n">
        <x:f>IF(ISBLANK(P819),IF(AND(ISNUMBER(N819),N819&gt;0,ISNUMBER(O819),O819&gt;=0,ISNUMBER(Q819),Q819&gt;=0,ISNUMBER(R819),R819&gt;=0,ISNUMBER(S819)),0,""),P819)</x:f>
        <x:v>0.25</x:v>
      </x:c>
      <x:c r="W819" s="7" t="n">
        <x:f>IF(ISBLANK(V819),"",N819*O819*(1-V819))</x:f>
        <x:v>8233.605</x:v>
      </x:c>
      <x:c r="X819" s="7" t="n">
        <x:f>IF(OR(ISBLANK(W819),ISBLANK(R819)),"",W819-R819)</x:f>
        <x:v>3519.8149999999996</x:v>
      </x:c>
      <x:c r="Y819" s="8" t="n">
        <x:f>IF(OR(ISBLANK(W819),W819=0),"",X819/W819)</x:f>
        <x:v>0.4274937891725435</x:v>
      </x:c>
      <x:c r="Z819" s="9" t="n">
        <x:f>IF(OR(ISBLANK(B819),ISBLANK(C819)),"",C819-B819)</x:f>
        <x:v>0</x:v>
      </x:c>
      <x:c r="AA819" t="str">
        <x:f>IF(ISBLANK(B819),"",TEXT(B819,"mmm"))</x:f>
        <x:v>Apr</x:v>
      </x:c>
      <x:c r="AB819" s="9" t="n">
        <x:f>IF(ISBLANK(B819),"",YEAR(B819))</x:f>
        <x:v>2025</x:v>
      </x:c>
      <x:c r="AC819" s="10" t="str"/>
      <x:c r="AD819" t="str">
        <x:f>IF(AND(U819="Completed",T819="Paid",ISERROR(SEARCH("INVALID",AC819)),ISERROR(SEARCH("REVIEW",AC819))),"Include","Exclude")</x:f>
        <x:v>Include</x:v>
      </x:c>
      <x:c r="AE819" t="str">
        <x:f>IF(T819="Refunded","Refunded","")</x:f>
      </x:c>
    </x:row>
    <x:row r="820">
      <x:c r="A820" t="str">
        <x:v>ORD-2024-10819</x:v>
      </x:c>
      <x:c r="B820" s="5" t="n">
        <x:v>45564</x:v>
      </x:c>
      <x:c r="C820" s="5" t="n">
        <x:v>45570</x:v>
      </x:c>
      <x:c r="D820" t="str">
        <x:v>CUST-3943</x:v>
      </x:c>
      <x:c r="E820" t="str">
        <x:v>Priya Menon</x:v>
      </x:c>
      <x:c r="F820" t="str">
        <x:v>Small Business</x:v>
      </x:c>
      <x:c r="G820" t="str">
        <x:v>West</x:v>
      </x:c>
      <x:c r="H820" t="str">
        <x:v>Maharashtra</x:v>
      </x:c>
      <x:c r="I820" t="str">
        <x:v>Mumbai</x:v>
      </x:c>
      <x:c r="J820" t="str">
        <x:v>Office Supplies</x:v>
      </x:c>
      <x:c r="K820" t="str">
        <x:v>Labels</x:v>
      </x:c>
      <x:c r="L820" t="str">
        <x:v>Pro Labels 611</x:v>
      </x:c>
      <x:c r="M820" t="str">
        <x:v>First Class</x:v>
      </x:c>
      <x:c r="N820" t="n">
        <x:v>8</x:v>
      </x:c>
      <x:c r="O820" s="7" t="n">
        <x:v>1981.04</x:v>
      </x:c>
      <x:c r="P820" s="6" t="n">
        <x:v>-0.14</x:v>
      </x:c>
      <x:c r="Q820" s="7" t="n">
        <x:v>12678.66</x:v>
      </x:c>
      <x:c r="R820" s="7" t="n">
        <x:v>10088.65</x:v>
      </x:c>
      <x:c r="S820" s="7" t="n">
        <x:v>2590.01</x:v>
      </x:c>
      <x:c r="T820" t="str">
        <x:v>Paid</x:v>
      </x:c>
      <x:c r="U820" t="str">
        <x:v>Completed</x:v>
      </x:c>
      <x:c r="V820" s="6" t="n">
        <x:f>IF(ISBLANK(P820),IF(AND(ISNUMBER(N820),N820&gt;0,ISNUMBER(O820),O820&gt;=0,ISNUMBER(Q820),Q820&gt;=0,ISNUMBER(R820),R820&gt;=0,ISNUMBER(S820)),0,""),P820)</x:f>
        <x:v>-0.14</x:v>
      </x:c>
      <x:c r="W820" s="7" t="n">
        <x:f>IF(ISBLANK(V820),"",N820*O820*(1-V820))</x:f>
        <x:v>18067.0848</x:v>
      </x:c>
      <x:c r="X820" s="7" t="n">
        <x:f>IF(OR(ISBLANK(W820),ISBLANK(R820)),"",W820-R820)</x:f>
        <x:v>7978.434800000001</x:v>
      </x:c>
      <x:c r="Y820" s="8" t="n">
        <x:f>IF(OR(ISBLANK(W820),W820=0),"",X820/W820)</x:f>
        <x:v>0.4416005619235263</x:v>
      </x:c>
      <x:c r="Z820" s="9" t="n">
        <x:f>IF(OR(ISBLANK(B820),ISBLANK(C820)),"",C820-B820)</x:f>
        <x:v>6</x:v>
      </x:c>
      <x:c r="AA820" t="str">
        <x:f>IF(ISBLANK(B820),"",TEXT(B820,"mmm"))</x:f>
        <x:v>Sep</x:v>
      </x:c>
      <x:c r="AB820" s="9" t="n">
        <x:f>IF(ISBLANK(B820),"",YEAR(B820))</x:f>
        <x:v>2024</x:v>
      </x:c>
      <x:c r="AC820" s="10" t="str">
        <x:v>INVALID: Negative discount</x:v>
      </x:c>
      <x:c r="AD820" t="str">
        <x:f>IF(AND(U820="Completed",T820="Paid",ISERROR(SEARCH("INVALID",AC820)),ISERROR(SEARCH("REVIEW",AC820))),"Include","Exclude")</x:f>
        <x:v>Exclude</x:v>
      </x:c>
      <x:c r="AE820" t="str">
        <x:f>IF(T820="Refunded","Refunded","")</x:f>
      </x:c>
    </x:row>
    <x:row r="821">
      <x:c r="A821" t="str">
        <x:v>ORD-2024-10820</x:v>
      </x:c>
      <x:c r="B821" s="5" t="n">
        <x:v>45504</x:v>
      </x:c>
      <x:c r="C821" s="5" t="n">
        <x:v>45504</x:v>
      </x:c>
      <x:c r="D821" t="str">
        <x:v>CUST-7510</x:v>
      </x:c>
      <x:c r="E821" t="str">
        <x:v>Karan Malhotra</x:v>
      </x:c>
      <x:c r="F821" t="str">
        <x:v>Home Office</x:v>
      </x:c>
      <x:c r="G821" t="str">
        <x:v>South</x:v>
      </x:c>
      <x:c r="H821" t="str">
        <x:v>Kerala</x:v>
      </x:c>
      <x:c r="I821" t="str">
        <x:v>Kochi</x:v>
      </x:c>
      <x:c r="J821" t="str">
        <x:v>Technology</x:v>
      </x:c>
      <x:c r="K821" t="str">
        <x:v>Machines</x:v>
      </x:c>
      <x:c r="L821" t="str">
        <x:v>Prime Machines 524</x:v>
      </x:c>
      <x:c r="M821" t="str">
        <x:v>Standard Class</x:v>
      </x:c>
      <x:c r="N821" t="n">
        <x:v>8</x:v>
      </x:c>
      <x:c r="O821" s="7" t="n">
        <x:v>4246.01</x:v>
      </x:c>
      <x:c r="P821" s="6" t="n">
        <x:v>0</x:v>
      </x:c>
      <x:c r="Q821" s="7" t="n">
        <x:v>33968.08</x:v>
      </x:c>
      <x:c r="R821" s="7" t="n">
        <x:v>26902.44</x:v>
      </x:c>
      <x:c r="S821" s="7" t="n">
        <x:v>7065.64</x:v>
      </x:c>
      <x:c r="T821" t="str">
        <x:v>Failed</x:v>
      </x:c>
      <x:c r="U821" t="str">
        <x:v>Cancelled</x:v>
      </x:c>
      <x:c r="V821" s="6" t="n">
        <x:f>IF(ISBLANK(P821),IF(AND(ISNUMBER(N821),N821&gt;0,ISNUMBER(O821),O821&gt;=0,ISNUMBER(Q821),Q821&gt;=0,ISNUMBER(R821),R821&gt;=0,ISNUMBER(S821)),0,""),P821)</x:f>
        <x:v>0</x:v>
      </x:c>
      <x:c r="W821" s="7" t="n">
        <x:f>IF(ISBLANK(V821),"",N821*O821*(1-V821))</x:f>
        <x:v>33968.08</x:v>
      </x:c>
      <x:c r="X821" s="7" t="n">
        <x:f>IF(OR(ISBLANK(W821),ISBLANK(R821)),"",W821-R821)</x:f>
        <x:v>7065.640000000003</x:v>
      </x:c>
      <x:c r="Y821" s="8" t="n">
        <x:f>IF(OR(ISBLANK(W821),W821=0),"",X821/W821)</x:f>
        <x:v>0.20800822419165294</x:v>
      </x:c>
      <x:c r="Z821" s="9" t="n">
        <x:f>IF(OR(ISBLANK(B821),ISBLANK(C821)),"",C821-B821)</x:f>
        <x:v>0</x:v>
      </x:c>
      <x:c r="AA821" t="str">
        <x:f>IF(ISBLANK(B821),"",TEXT(B821,"mmm"))</x:f>
        <x:v>Jul</x:v>
      </x:c>
      <x:c r="AB821" s="9" t="n">
        <x:f>IF(ISBLANK(B821),"",YEAR(B821))</x:f>
        <x:v>2024</x:v>
      </x:c>
      <x:c r="AC821" s="10" t="str">
        <x:v>EXCLUDE: Cancelled order; EXCLUDE: Failed payment</x:v>
      </x:c>
      <x:c r="AD821" t="str">
        <x:f>IF(AND(U821="Completed",T821="Paid",ISERROR(SEARCH("INVALID",AC821)),ISERROR(SEARCH("REVIEW",AC821))),"Include","Exclude")</x:f>
        <x:v>Exclude</x:v>
      </x:c>
      <x:c r="AE821" t="str">
        <x:f>IF(T821="Refunded","Refunded","")</x:f>
      </x:c>
    </x:row>
    <x:row r="822">
      <x:c r="A822" t="str">
        <x:v>ORD-2025-10821</x:v>
      </x:c>
      <x:c r="B822" s="5" t="n">
        <x:v>45694</x:v>
      </x:c>
      <x:c r="C822" s="5" t="n">
        <x:v>45698</x:v>
      </x:c>
      <x:c r="D822" t="str">
        <x:v>CUST-2041</x:v>
      </x:c>
      <x:c r="E822" t="str">
        <x:v>Ananya Rao</x:v>
      </x:c>
      <x:c r="F822" t="str">
        <x:v>Home Office</x:v>
      </x:c>
      <x:c r="G822" t="str">
        <x:v>North</x:v>
      </x:c>
      <x:c r="H822" t="str">
        <x:v>Uttar Pradesh</x:v>
      </x:c>
      <x:c r="I822" t="str">
        <x:v>Noida</x:v>
      </x:c>
      <x:c r="J822" t="str">
        <x:v>Furniture</x:v>
      </x:c>
      <x:c r="K822" t="str">
        <x:v>Bookcases</x:v>
      </x:c>
      <x:c r="L822" t="str">
        <x:v>Classic Bookcases 882</x:v>
      </x:c>
      <x:c r="M822" t="str">
        <x:v>Standard Class</x:v>
      </x:c>
      <x:c r="N822" t="n">
        <x:v>2</x:v>
      </x:c>
      <x:c r="O822" s="7" t="n">
        <x:v>319.57</x:v>
      </x:c>
      <x:c r="P822" s="6" t="n">
        <x:v>0.2</x:v>
      </x:c>
      <x:c r="Q822" s="7" t="n">
        <x:v>511.31</x:v>
      </x:c>
      <x:c r="R822" s="7" t="n">
        <x:v>436.43</x:v>
      </x:c>
      <x:c r="S822" s="7" t="n">
        <x:v>74.88</x:v>
      </x:c>
      <x:c r="T822" t="str">
        <x:v>Paid</x:v>
      </x:c>
      <x:c r="U822" t="str">
        <x:v>Completed</x:v>
      </x:c>
      <x:c r="V822" s="6" t="n">
        <x:f>IF(ISBLANK(P822),IF(AND(ISNUMBER(N822),N822&gt;0,ISNUMBER(O822),O822&gt;=0,ISNUMBER(Q822),Q822&gt;=0,ISNUMBER(R822),R822&gt;=0,ISNUMBER(S822)),0,""),P822)</x:f>
        <x:v>0.2</x:v>
      </x:c>
      <x:c r="W822" s="7" t="n">
        <x:f>IF(ISBLANK(V822),"",N822*O822*(1-V822))</x:f>
        <x:v>511.312</x:v>
      </x:c>
      <x:c r="X822" s="7" t="n">
        <x:f>IF(OR(ISBLANK(W822),ISBLANK(R822)),"",W822-R822)</x:f>
        <x:v>74.882</x:v>
      </x:c>
      <x:c r="Y822" s="8" t="n">
        <x:f>IF(OR(ISBLANK(W822),W822=0),"",X822/W822)</x:f>
        <x:v>0.14645069937728825</x:v>
      </x:c>
      <x:c r="Z822" s="9" t="n">
        <x:f>IF(OR(ISBLANK(B822),ISBLANK(C822)),"",C822-B822)</x:f>
        <x:v>4</x:v>
      </x:c>
      <x:c r="AA822" t="str">
        <x:f>IF(ISBLANK(B822),"",TEXT(B822,"mmm"))</x:f>
        <x:v>Feb</x:v>
      </x:c>
      <x:c r="AB822" s="9" t="n">
        <x:f>IF(ISBLANK(B822),"",YEAR(B822))</x:f>
        <x:v>2025</x:v>
      </x:c>
      <x:c r="AC822" s="10" t="str"/>
      <x:c r="AD822" t="str">
        <x:f>IF(AND(U822="Completed",T822="Paid",ISERROR(SEARCH("INVALID",AC822)),ISERROR(SEARCH("REVIEW",AC822))),"Include","Exclude")</x:f>
        <x:v>Include</x:v>
      </x:c>
      <x:c r="AE822" t="str">
        <x:f>IF(T822="Refunded","Refunded","")</x:f>
      </x:c>
    </x:row>
    <x:row r="823">
      <x:c r="A823" t="str">
        <x:v>ORD-2024-10822</x:v>
      </x:c>
      <x:c r="B823" s="5" t="n">
        <x:v>45476</x:v>
      </x:c>
      <x:c r="C823" s="5" t="n">
        <x:v>45479</x:v>
      </x:c>
      <x:c r="D823" t="str">
        <x:v>CUST-4466</x:v>
      </x:c>
      <x:c r="E823" t="str">
        <x:v>Aarav Sharma</x:v>
      </x:c>
      <x:c r="F823" t="str">
        <x:v>Corporate</x:v>
      </x:c>
      <x:c r="G823" t="str">
        <x:v>South</x:v>
      </x:c>
      <x:c r="H823" t="str">
        <x:v>Karnataka</x:v>
      </x:c>
      <x:c r="I823" t="str">
        <x:v>Bengaluru</x:v>
      </x:c>
      <x:c r="J823" t="str">
        <x:v>Technology</x:v>
      </x:c>
      <x:c r="K823" t="str">
        <x:v>Accessories</x:v>
      </x:c>
      <x:c r="L823" t="str">
        <x:v>Classic Accessories 471</x:v>
      </x:c>
      <x:c r="M823" t="str">
        <x:v>First Class</x:v>
      </x:c>
      <x:c r="N823" t="n">
        <x:v>7</x:v>
      </x:c>
      <x:c r="O823" s="7" t="n">
        <x:v>1942.49</x:v>
      </x:c>
      <x:c r="P823" s="6" t="n">
        <x:v>0.2</x:v>
      </x:c>
      <x:c r="Q823" s="7" t="n">
        <x:v>10877.94</x:v>
      </x:c>
      <x:c r="R823" s="7" t="n">
        <x:v>9110.14</x:v>
      </x:c>
      <x:c r="S823" s="7" t="n">
        <x:v>1767.8</x:v>
      </x:c>
      <x:c r="T823" t="str">
        <x:v>Paid</x:v>
      </x:c>
      <x:c r="U823" t="str">
        <x:v>Completed</x:v>
      </x:c>
      <x:c r="V823" s="6" t="n">
        <x:f>IF(ISBLANK(P823),IF(AND(ISNUMBER(N823),N823&gt;0,ISNUMBER(O823),O823&gt;=0,ISNUMBER(Q823),Q823&gt;=0,ISNUMBER(R823),R823&gt;=0,ISNUMBER(S823)),0,""),P823)</x:f>
        <x:v>0.2</x:v>
      </x:c>
      <x:c r="W823" s="7" t="n">
        <x:f>IF(ISBLANK(V823),"",N823*O823*(1-V823))</x:f>
        <x:v>10877.944000000001</x:v>
      </x:c>
      <x:c r="X823" s="7" t="n">
        <x:f>IF(OR(ISBLANK(W823),ISBLANK(R823)),"",W823-R823)</x:f>
        <x:v>1767.804000000002</x:v>
      </x:c>
      <x:c r="Y823" s="8" t="n">
        <x:f>IF(OR(ISBLANK(W823),W823=0),"",X823/W823)</x:f>
        <x:v>0.16251269541376584</x:v>
      </x:c>
      <x:c r="Z823" s="9" t="n">
        <x:f>IF(OR(ISBLANK(B823),ISBLANK(C823)),"",C823-B823)</x:f>
        <x:v>3</x:v>
      </x:c>
      <x:c r="AA823" t="str">
        <x:f>IF(ISBLANK(B823),"",TEXT(B823,"mmm"))</x:f>
        <x:v>Jul</x:v>
      </x:c>
      <x:c r="AB823" s="9" t="n">
        <x:f>IF(ISBLANK(B823),"",YEAR(B823))</x:f>
        <x:v>2024</x:v>
      </x:c>
      <x:c r="AC823" s="10" t="str"/>
      <x:c r="AD823" t="str">
        <x:f>IF(AND(U823="Completed",T823="Paid",ISERROR(SEARCH("INVALID",AC823)),ISERROR(SEARCH("REVIEW",AC823))),"Include","Exclude")</x:f>
        <x:v>Include</x:v>
      </x:c>
      <x:c r="AE823" t="str">
        <x:f>IF(T823="Refunded","Refunded","")</x:f>
      </x:c>
    </x:row>
    <x:row r="824">
      <x:c r="A824" t="str">
        <x:v>ORD-2024-10823</x:v>
      </x:c>
      <x:c r="B824" s="5" t="n">
        <x:v>45577</x:v>
      </x:c>
      <x:c r="C824" s="5" t="n">
        <x:v>45573</x:v>
      </x:c>
      <x:c r="D824" t="str">
        <x:v>CUST-3188</x:v>
      </x:c>
      <x:c r="E824" t="str">
        <x:v>Mira Das</x:v>
      </x:c>
      <x:c r="F824" t="str">
        <x:v>Corporate</x:v>
      </x:c>
      <x:c r="G824" t="str">
        <x:v>East</x:v>
      </x:c>
      <x:c r="H824" t="str">
        <x:v>Assam</x:v>
      </x:c>
      <x:c r="I824" t="str">
        <x:v>Guwahati</x:v>
      </x:c>
      <x:c r="J824" t="str">
        <x:v>Furniture</x:v>
      </x:c>
      <x:c r="K824" t="str">
        <x:v>Furnishings</x:v>
      </x:c>
      <x:c r="L824" t="str">
        <x:v>Smart Furnishings 175</x:v>
      </x:c>
      <x:c r="M824" t="str">
        <x:v>Second Class</x:v>
      </x:c>
      <x:c r="N824" t="n">
        <x:v>4</x:v>
      </x:c>
      <x:c r="O824" s="7" t="n">
        <x:v>3202.04</x:v>
      </x:c>
      <x:c r="P824" s="6" t="n">
        <x:v>0.2</x:v>
      </x:c>
      <x:c r="Q824" s="7" t="n">
        <x:v>10246.53</x:v>
      </x:c>
      <x:c r="R824" s="7" t="n">
        <x:v>8634.42</x:v>
      </x:c>
      <x:c r="S824" s="7" t="n">
        <x:v>1612.11</x:v>
      </x:c>
      <x:c r="T824" t="str">
        <x:v>Pending</x:v>
      </x:c>
      <x:c r="U824" t="str">
        <x:v>Returned</x:v>
      </x:c>
      <x:c r="V824" s="6" t="n">
        <x:f>IF(ISBLANK(P824),IF(AND(ISNUMBER(N824),N824&gt;0,ISNUMBER(O824),O824&gt;=0,ISNUMBER(Q824),Q824&gt;=0,ISNUMBER(R824),R824&gt;=0,ISNUMBER(S824)),0,""),P824)</x:f>
        <x:v>0.2</x:v>
      </x:c>
      <x:c r="W824" s="7" t="n">
        <x:f>IF(ISBLANK(V824),"",N824*O824*(1-V824))</x:f>
        <x:v>10246.528</x:v>
      </x:c>
      <x:c r="X824" s="7" t="n">
        <x:f>IF(OR(ISBLANK(W824),ISBLANK(R824)),"",W824-R824)</x:f>
        <x:v>1612.1080000000002</x:v>
      </x:c>
      <x:c r="Y824" s="8" t="n">
        <x:f>IF(OR(ISBLANK(W824),W824=0),"",X824/W824)</x:f>
        <x:v>0.15733212264681268</x:v>
      </x:c>
      <x:c r="Z824" s="9" t="n">
        <x:f>IF(OR(ISBLANK(B824),ISBLANK(C824)),"",C824-B824)</x:f>
        <x:v>-4</x:v>
      </x:c>
      <x:c r="AA824" t="str">
        <x:f>IF(ISBLANK(B824),"",TEXT(B824,"mmm"))</x:f>
        <x:v>Oct</x:v>
      </x:c>
      <x:c r="AB824" s="9" t="n">
        <x:f>IF(ISBLANK(B824),"",YEAR(B824))</x:f>
        <x:v>2024</x:v>
      </x:c>
      <x:c r="AC824" s="10" t="str">
        <x:v>INVALID: Ship date before order date</x:v>
      </x:c>
      <x:c r="AD824" t="str">
        <x:f>IF(AND(U824="Completed",T824="Paid",ISERROR(SEARCH("INVALID",AC824)),ISERROR(SEARCH("REVIEW",AC824))),"Include","Exclude")</x:f>
        <x:v>Exclude</x:v>
      </x:c>
      <x:c r="AE824" t="str">
        <x:f>IF(T824="Refunded","Refunded","")</x:f>
      </x:c>
    </x:row>
    <x:row r="825">
      <x:c r="A825" t="str">
        <x:v>ORD-2025-10824</x:v>
      </x:c>
      <x:c r="B825" s="5" t="n">
        <x:v>45663</x:v>
      </x:c>
      <x:c r="C825" s="5" t="n">
        <x:v>45669</x:v>
      </x:c>
      <x:c r="D825" t="str">
        <x:v>CUST-6638</x:v>
      </x:c>
      <x:c r="E825" t="str">
        <x:v>Mira Das</x:v>
      </x:c>
      <x:c r="F825" t="str">
        <x:v>Home Office</x:v>
      </x:c>
      <x:c r="G825" t="str">
        <x:v>West</x:v>
      </x:c>
      <x:c r="H825" t="str">
        <x:v>Goa</x:v>
      </x:c>
      <x:c r="I825" t="str">
        <x:v>Panaji</x:v>
      </x:c>
      <x:c r="J825" t="str">
        <x:v>Office Supplies</x:v>
      </x:c>
      <x:c r="K825" t="str">
        <x:v>Paper</x:v>
      </x:c>
      <x:c r="L825" t="str">
        <x:v>Basic Paper 899</x:v>
      </x:c>
      <x:c r="M825" t="str">
        <x:v>Same Day</x:v>
      </x:c>
      <x:c r="N825" t="n">
        <x:v>3</x:v>
      </x:c>
      <x:c r="O825" s="7" t="n">
        <x:v>668.33</x:v>
      </x:c>
      <x:c r="P825" s="6" t="n">
        <x:v>0.15</x:v>
      </x:c>
      <x:c r="Q825" s="7" t="n">
        <x:v>1704.24</x:v>
      </x:c>
      <x:c r="R825" s="7" t="n">
        <x:v>957.55</x:v>
      </x:c>
      <x:c r="S825" s="7" t="n">
        <x:v>746.69</x:v>
      </x:c>
      <x:c r="T825" t="str">
        <x:v>Paid</x:v>
      </x:c>
      <x:c r="U825" t="str">
        <x:v>Completed</x:v>
      </x:c>
      <x:c r="V825" s="6" t="n">
        <x:f>IF(ISBLANK(P825),IF(AND(ISNUMBER(N825),N825&gt;0,ISNUMBER(O825),O825&gt;=0,ISNUMBER(Q825),Q825&gt;=0,ISNUMBER(R825),R825&gt;=0,ISNUMBER(S825)),0,""),P825)</x:f>
        <x:v>0.15</x:v>
      </x:c>
      <x:c r="W825" s="7" t="n">
        <x:f>IF(ISBLANK(V825),"",N825*O825*(1-V825))</x:f>
        <x:v>1704.2415</x:v>
      </x:c>
      <x:c r="X825" s="7" t="n">
        <x:f>IF(OR(ISBLANK(W825),ISBLANK(R825)),"",W825-R825)</x:f>
        <x:v>746.6915000000001</x:v>
      </x:c>
      <x:c r="Y825" s="8" t="n">
        <x:f>IF(OR(ISBLANK(W825),W825=0),"",X825/W825)</x:f>
        <x:v>0.43813714194848563</x:v>
      </x:c>
      <x:c r="Z825" s="9" t="n">
        <x:f>IF(OR(ISBLANK(B825),ISBLANK(C825)),"",C825-B825)</x:f>
        <x:v>6</x:v>
      </x:c>
      <x:c r="AA825" t="str">
        <x:f>IF(ISBLANK(B825),"",TEXT(B825,"mmm"))</x:f>
        <x:v>Jan</x:v>
      </x:c>
      <x:c r="AB825" s="9" t="n">
        <x:f>IF(ISBLANK(B825),"",YEAR(B825))</x:f>
        <x:v>2025</x:v>
      </x:c>
      <x:c r="AC825" s="10" t="str"/>
      <x:c r="AD825" t="str">
        <x:f>IF(AND(U825="Completed",T825="Paid",ISERROR(SEARCH("INVALID",AC825)),ISERROR(SEARCH("REVIEW",AC825))),"Include","Exclude")</x:f>
        <x:v>Include</x:v>
      </x:c>
      <x:c r="AE825" t="str">
        <x:f>IF(T825="Refunded","Refunded","")</x:f>
      </x:c>
    </x:row>
    <x:row r="826">
      <x:c r="A826" t="str">
        <x:v>ORD-2025-10825</x:v>
      </x:c>
      <x:c r="B826" s="5" t="n">
        <x:v>45737</x:v>
      </x:c>
      <x:c r="C826" s="5" t="n">
        <x:v>45738</x:v>
      </x:c>
      <x:c r="D826" t="str">
        <x:v>CUST-3540</x:v>
      </x:c>
      <x:c r="E826" t="str">
        <x:v>Priya Menon</x:v>
      </x:c>
      <x:c r="F826" t="str">
        <x:v>Consumer</x:v>
      </x:c>
      <x:c r="G826" t="str">
        <x:v>West</x:v>
      </x:c>
      <x:c r="H826" t="str">
        <x:v>Goa</x:v>
      </x:c>
      <x:c r="I826" t="str">
        <x:v>Panaji</x:v>
      </x:c>
      <x:c r="J826" t="str">
        <x:v>Office Supplies</x:v>
      </x:c>
      <x:c r="K826" t="str">
        <x:v>Paper</x:v>
      </x:c>
      <x:c r="L826" t="str">
        <x:v>Pro Paper 267</x:v>
      </x:c>
      <x:c r="M826" t="str">
        <x:v>First Class</x:v>
      </x:c>
      <x:c r="N826" t="n">
        <x:v>8</x:v>
      </x:c>
      <x:c r="O826" s="7" t="n">
        <x:v>4436.74</x:v>
      </x:c>
      <x:c r="P826" s="6" t="n">
        <x:v>0.05</x:v>
      </x:c>
      <x:c r="Q826" s="7" t="n">
        <x:v>33719.22</x:v>
      </x:c>
      <x:c r="R826" s="7" t="n">
        <x:v>28924.43</x:v>
      </x:c>
      <x:c r="S826" s="7" t="n">
        <x:v>4794.79</x:v>
      </x:c>
      <x:c r="T826" t="str">
        <x:v>Paid</x:v>
      </x:c>
      <x:c r="U826" t="str">
        <x:v>Completed</x:v>
      </x:c>
      <x:c r="V826" s="6" t="n">
        <x:f>IF(ISBLANK(P826),IF(AND(ISNUMBER(N826),N826&gt;0,ISNUMBER(O826),O826&gt;=0,ISNUMBER(Q826),Q826&gt;=0,ISNUMBER(R826),R826&gt;=0,ISNUMBER(S826)),0,""),P826)</x:f>
        <x:v>0.05</x:v>
      </x:c>
      <x:c r="W826" s="7" t="n">
        <x:f>IF(ISBLANK(V826),"",N826*O826*(1-V826))</x:f>
        <x:v>33719.223999999995</x:v>
      </x:c>
      <x:c r="X826" s="7" t="n">
        <x:f>IF(OR(ISBLANK(W826),ISBLANK(R826)),"",W826-R826)</x:f>
        <x:v>4794.793999999994</x:v>
      </x:c>
      <x:c r="Y826" s="8" t="n">
        <x:f>IF(OR(ISBLANK(W826),W826=0),"",X826/W826)</x:f>
        <x:v>0.14219763776295669</x:v>
      </x:c>
      <x:c r="Z826" s="9" t="n">
        <x:f>IF(OR(ISBLANK(B826),ISBLANK(C826)),"",C826-B826)</x:f>
        <x:v>1</x:v>
      </x:c>
      <x:c r="AA826" t="str">
        <x:f>IF(ISBLANK(B826),"",TEXT(B826,"mmm"))</x:f>
        <x:v>Mar</x:v>
      </x:c>
      <x:c r="AB826" s="9" t="n">
        <x:f>IF(ISBLANK(B826),"",YEAR(B826))</x:f>
        <x:v>2025</x:v>
      </x:c>
      <x:c r="AC826" s="10" t="str"/>
      <x:c r="AD826" t="str">
        <x:f>IF(AND(U826="Completed",T826="Paid",ISERROR(SEARCH("INVALID",AC826)),ISERROR(SEARCH("REVIEW",AC826))),"Include","Exclude")</x:f>
        <x:v>Include</x:v>
      </x:c>
      <x:c r="AE826" t="str">
        <x:f>IF(T826="Refunded","Refunded","")</x:f>
      </x:c>
    </x:row>
    <x:row r="827">
      <x:c r="A827" t="str">
        <x:v>ORD-2025-10826</x:v>
      </x:c>
      <x:c r="B827" s="5" t="n">
        <x:v>45763</x:v>
      </x:c>
      <x:c r="C827" s="5" t="n">
        <x:v>45764</x:v>
      </x:c>
      <x:c r="D827" t="str">
        <x:v>CUST-3351</x:v>
      </x:c>
      <x:c r="E827" t="str">
        <x:v>Vikram Iyer</x:v>
      </x:c>
      <x:c r="F827" t="str">
        <x:v>Small Business</x:v>
      </x:c>
      <x:c r="G827" t="str">
        <x:v>North</x:v>
      </x:c>
      <x:c r="H827" t="str">
        <x:v>Uttar Pradesh</x:v>
      </x:c>
      <x:c r="I827" t="str">
        <x:v>Noida</x:v>
      </x:c>
      <x:c r="J827" t="str">
        <x:v>Technology</x:v>
      </x:c>
      <x:c r="K827" t="str">
        <x:v>Machines</x:v>
      </x:c>
      <x:c r="L827" t="str">
        <x:v>Basic Machines 832</x:v>
      </x:c>
      <x:c r="M827" t="str">
        <x:v>First Class</x:v>
      </x:c>
      <x:c r="N827" t="n">
        <x:v>1</x:v>
      </x:c>
      <x:c r="O827" s="7" t="n">
        <x:v>2720.17</x:v>
      </x:c>
      <x:c r="P827" s="6" t="n">
        <x:v>0</x:v>
      </x:c>
      <x:c r="Q827" s="7" t="n">
        <x:v>2720.17</x:v>
      </x:c>
      <x:c r="R827" s="7" t="n">
        <x:v>1834.23</x:v>
      </x:c>
      <x:c r="S827" s="7" t="n">
        <x:v>885.94</x:v>
      </x:c>
      <x:c r="T827" t="str">
        <x:v>Paid</x:v>
      </x:c>
      <x:c r="U827" t="str">
        <x:v>Completed</x:v>
      </x:c>
      <x:c r="V827" s="6" t="n">
        <x:f>IF(ISBLANK(P827),IF(AND(ISNUMBER(N827),N827&gt;0,ISNUMBER(O827),O827&gt;=0,ISNUMBER(Q827),Q827&gt;=0,ISNUMBER(R827),R827&gt;=0,ISNUMBER(S827)),0,""),P827)</x:f>
        <x:v>0</x:v>
      </x:c>
      <x:c r="W827" s="7" t="n">
        <x:f>IF(ISBLANK(V827),"",N827*O827*(1-V827))</x:f>
        <x:v>2720.17</x:v>
      </x:c>
      <x:c r="X827" s="7" t="n">
        <x:f>IF(OR(ISBLANK(W827),ISBLANK(R827)),"",W827-R827)</x:f>
        <x:v>885.94</x:v>
      </x:c>
      <x:c r="Y827" s="8" t="n">
        <x:f>IF(OR(ISBLANK(W827),W827=0),"",X827/W827)</x:f>
        <x:v>0.3256928794891496</x:v>
      </x:c>
      <x:c r="Z827" s="9" t="n">
        <x:f>IF(OR(ISBLANK(B827),ISBLANK(C827)),"",C827-B827)</x:f>
        <x:v>1</x:v>
      </x:c>
      <x:c r="AA827" t="str">
        <x:f>IF(ISBLANK(B827),"",TEXT(B827,"mmm"))</x:f>
        <x:v>Apr</x:v>
      </x:c>
      <x:c r="AB827" s="9" t="n">
        <x:f>IF(ISBLANK(B827),"",YEAR(B827))</x:f>
        <x:v>2025</x:v>
      </x:c>
      <x:c r="AC827" s="10" t="str"/>
      <x:c r="AD827" t="str">
        <x:f>IF(AND(U827="Completed",T827="Paid",ISERROR(SEARCH("INVALID",AC827)),ISERROR(SEARCH("REVIEW",AC827))),"Include","Exclude")</x:f>
        <x:v>Include</x:v>
      </x:c>
      <x:c r="AE827" t="str">
        <x:f>IF(T827="Refunded","Refunded","")</x:f>
      </x:c>
    </x:row>
    <x:row r="828">
      <x:c r="A828" t="str">
        <x:v>ORD-2025-10827</x:v>
      </x:c>
      <x:c r="B828" s="5" t="n">
        <x:v>45879</x:v>
      </x:c>
      <x:c r="C828" s="5" t="n">
        <x:v>45883</x:v>
      </x:c>
      <x:c r="D828" t="str">
        <x:v>CUST-4375</x:v>
      </x:c>
      <x:c r="E828" t="str">
        <x:v>Aditi Sen</x:v>
      </x:c>
      <x:c r="F828" t="str">
        <x:v>Consumer</x:v>
      </x:c>
      <x:c r="G828" t="str">
        <x:v>West</x:v>
      </x:c>
      <x:c r="H828" t="str">
        <x:v>Rajasthan</x:v>
      </x:c>
      <x:c r="I828" t="str">
        <x:v>Udaipur</x:v>
      </x:c>
      <x:c r="J828" t="str">
        <x:v>Technology</x:v>
      </x:c>
      <x:c r="K828" t="str">
        <x:v>Accessories</x:v>
      </x:c>
      <x:c r="L828" t="str">
        <x:v>Elite Accessories 790</x:v>
      </x:c>
      <x:c r="M828" t="str">
        <x:v>Standard Class</x:v>
      </x:c>
      <x:c r="N828" t="n">
        <x:v>5</x:v>
      </x:c>
      <x:c r="O828" s="7" t="n">
        <x:v>2190.14</x:v>
      </x:c>
      <x:c r="P828" s="6" t="n">
        <x:v>0.25</x:v>
      </x:c>
      <x:c r="Q828" s="7" t="n">
        <x:v>8213.02</x:v>
      </x:c>
      <x:c r="R828" s="7" t="n">
        <x:v>5569.3</x:v>
      </x:c>
      <x:c r="S828" s="7" t="n">
        <x:v>2643.72</x:v>
      </x:c>
      <x:c r="T828" t="str">
        <x:v>Paid</x:v>
      </x:c>
      <x:c r="U828" t="str">
        <x:v>Completed</x:v>
      </x:c>
      <x:c r="V828" s="6" t="n">
        <x:f>IF(ISBLANK(P828),IF(AND(ISNUMBER(N828),N828&gt;0,ISNUMBER(O828),O828&gt;=0,ISNUMBER(Q828),Q828&gt;=0,ISNUMBER(R828),R828&gt;=0,ISNUMBER(S828)),0,""),P828)</x:f>
        <x:v>0.25</x:v>
      </x:c>
      <x:c r="W828" s="7" t="n">
        <x:f>IF(ISBLANK(V828),"",N828*O828*(1-V828))</x:f>
        <x:v>8213.025</x:v>
      </x:c>
      <x:c r="X828" s="7" t="n">
        <x:f>IF(OR(ISBLANK(W828),ISBLANK(R828)),"",W828-R828)</x:f>
        <x:v>2643.7249999999995</x:v>
      </x:c>
      <x:c r="Y828" s="8" t="n">
        <x:f>IF(OR(ISBLANK(W828),W828=0),"",X828/W828)</x:f>
        <x:v>0.32189418636860345</x:v>
      </x:c>
      <x:c r="Z828" s="9" t="n">
        <x:f>IF(OR(ISBLANK(B828),ISBLANK(C828)),"",C828-B828)</x:f>
        <x:v>4</x:v>
      </x:c>
      <x:c r="AA828" t="str">
        <x:f>IF(ISBLANK(B828),"",TEXT(B828,"mmm"))</x:f>
        <x:v>Aug</x:v>
      </x:c>
      <x:c r="AB828" s="9" t="n">
        <x:f>IF(ISBLANK(B828),"",YEAR(B828))</x:f>
        <x:v>2025</x:v>
      </x:c>
      <x:c r="AC828" s="10" t="str"/>
      <x:c r="AD828" t="str">
        <x:f>IF(AND(U828="Completed",T828="Paid",ISERROR(SEARCH("INVALID",AC828)),ISERROR(SEARCH("REVIEW",AC828))),"Include","Exclude")</x:f>
        <x:v>Include</x:v>
      </x:c>
      <x:c r="AE828" t="str">
        <x:f>IF(T828="Refunded","Refunded","")</x:f>
      </x:c>
    </x:row>
    <x:row r="829">
      <x:c r="A829" t="str">
        <x:v>ORD-2024-10828</x:v>
      </x:c>
      <x:c r="B829" s="5" t="n">
        <x:v>45620</x:v>
      </x:c>
      <x:c r="C829" s="5" t="n">
        <x:v>45627</x:v>
      </x:c>
      <x:c r="D829" t="str">
        <x:v>CUST-5125</x:v>
      </x:c>
      <x:c r="E829" t="str">
        <x:v>Priya Menon</x:v>
      </x:c>
      <x:c r="F829" t="str">
        <x:v>Home Office</x:v>
      </x:c>
      <x:c r="G829" t="str">
        <x:v>South</x:v>
      </x:c>
      <x:c r="H829" t="str">
        <x:v>Tamil Nadu</x:v>
      </x:c>
      <x:c r="I829" t="str">
        <x:v>Chennai</x:v>
      </x:c>
      <x:c r="J829" t="str">
        <x:v>Office Supplies</x:v>
      </x:c>
      <x:c r="K829" t="str">
        <x:v>Paper</x:v>
      </x:c>
      <x:c r="L829" t="str">
        <x:v>Basic Paper 707</x:v>
      </x:c>
      <x:c r="M829" t="str">
        <x:v>Same Day</x:v>
      </x:c>
      <x:c r="N829" t="n">
        <x:v>1</x:v>
      </x:c>
      <x:c r="O829" s="7" t="n">
        <x:v>844.89</x:v>
      </x:c>
      <x:c r="P829" s="6" t="n">
        <x:v>0.25</x:v>
      </x:c>
      <x:c r="Q829" s="7" t="n">
        <x:v>633.67</x:v>
      </x:c>
      <x:c r="R829" s="7" t="n">
        <x:v>520.47</x:v>
      </x:c>
      <x:c r="S829" s="7" t="n">
        <x:v>113.2</x:v>
      </x:c>
      <x:c r="T829" t="str">
        <x:v>Paid</x:v>
      </x:c>
      <x:c r="U829" t="str">
        <x:v>Cancelled</x:v>
      </x:c>
      <x:c r="V829" s="6" t="n">
        <x:f>IF(ISBLANK(P829),IF(AND(ISNUMBER(N829),N829&gt;0,ISNUMBER(O829),O829&gt;=0,ISNUMBER(Q829),Q829&gt;=0,ISNUMBER(R829),R829&gt;=0,ISNUMBER(S829)),0,""),P829)</x:f>
        <x:v>0.25</x:v>
      </x:c>
      <x:c r="W829" s="7" t="n">
        <x:f>IF(ISBLANK(V829),"",N829*O829*(1-V829))</x:f>
        <x:v>633.6675</x:v>
      </x:c>
      <x:c r="X829" s="7" t="n">
        <x:f>IF(OR(ISBLANK(W829),ISBLANK(R829)),"",W829-R829)</x:f>
        <x:v>113.19749999999999</x:v>
      </x:c>
      <x:c r="Y829" s="8" t="n">
        <x:f>IF(OR(ISBLANK(W829),W829=0),"",X829/W829)</x:f>
        <x:v>0.1786386393495011</x:v>
      </x:c>
      <x:c r="Z829" s="9" t="n">
        <x:f>IF(OR(ISBLANK(B829),ISBLANK(C829)),"",C829-B829)</x:f>
        <x:v>7</x:v>
      </x:c>
      <x:c r="AA829" t="str">
        <x:f>IF(ISBLANK(B829),"",TEXT(B829,"mmm"))</x:f>
        <x:v>Nov</x:v>
      </x:c>
      <x:c r="AB829" s="9" t="n">
        <x:f>IF(ISBLANK(B829),"",YEAR(B829))</x:f>
        <x:v>2024</x:v>
      </x:c>
      <x:c r="AC829" s="10" t="str">
        <x:v>EXCLUDE: Cancelled order</x:v>
      </x:c>
      <x:c r="AD829" t="str">
        <x:f>IF(AND(U829="Completed",T829="Paid",ISERROR(SEARCH("INVALID",AC829)),ISERROR(SEARCH("REVIEW",AC829))),"Include","Exclude")</x:f>
        <x:v>Exclude</x:v>
      </x:c>
      <x:c r="AE829" t="str">
        <x:f>IF(T829="Refunded","Refunded","")</x:f>
      </x:c>
    </x:row>
    <x:row r="830">
      <x:c r="A830" t="str">
        <x:v>ORD-2025-10829</x:v>
      </x:c>
      <x:c r="B830" s="5" t="n">
        <x:v>45940</x:v>
      </x:c>
      <x:c r="C830" s="5" t="n">
        <x:v>45941</x:v>
      </x:c>
      <x:c r="D830" t="str">
        <x:v>CUST-6010</x:v>
      </x:c>
      <x:c r="E830" t="str">
        <x:v>Karan Malhotra</x:v>
      </x:c>
      <x:c r="F830" t="str">
        <x:v>Corporate</x:v>
      </x:c>
      <x:c r="G830" t="str">
        <x:v>East</x:v>
      </x:c>
      <x:c r="H830" t="str">
        <x:v>Odisha</x:v>
      </x:c>
      <x:c r="I830" t="str">
        <x:v>Bhubaneswar</x:v>
      </x:c>
      <x:c r="J830" t="str">
        <x:v>Furniture</x:v>
      </x:c>
      <x:c r="K830" t="str">
        <x:v>Chairs</x:v>
      </x:c>
      <x:c r="L830" t="str">
        <x:v>Elite Chairs 979</x:v>
      </x:c>
      <x:c r="M830" t="str">
        <x:v>Second Class</x:v>
      </x:c>
      <x:c r="N830" t="n">
        <x:v>7</x:v>
      </x:c>
      <x:c r="O830" s="7" t="n">
        <x:v>3791.96</x:v>
      </x:c>
      <x:c r="P830" s="6" t="n">
        <x:v>0.05</x:v>
      </x:c>
      <x:c r="Q830" s="7" t="n">
        <x:v>25216.53</x:v>
      </x:c>
      <x:c r="R830" s="7" t="n">
        <x:v>14216.94</x:v>
      </x:c>
      <x:c r="S830" s="7" t="n">
        <x:v>10999.59</x:v>
      </x:c>
      <x:c r="T830" t="str">
        <x:v>Failed</x:v>
      </x:c>
      <x:c r="U830" t="str">
        <x:v>Cancelled</x:v>
      </x:c>
      <x:c r="V830" s="6" t="n">
        <x:f>IF(ISBLANK(P830),IF(AND(ISNUMBER(N830),N830&gt;0,ISNUMBER(O830),O830&gt;=0,ISNUMBER(Q830),Q830&gt;=0,ISNUMBER(R830),R830&gt;=0,ISNUMBER(S830)),0,""),P830)</x:f>
        <x:v>0.05</x:v>
      </x:c>
      <x:c r="W830" s="7" t="n">
        <x:f>IF(ISBLANK(V830),"",N830*O830*(1-V830))</x:f>
        <x:v>25216.534</x:v>
      </x:c>
      <x:c r="X830" s="7" t="n">
        <x:f>IF(OR(ISBLANK(W830),ISBLANK(R830)),"",W830-R830)</x:f>
        <x:v>10999.594</x:v>
      </x:c>
      <x:c r="Y830" s="8" t="n">
        <x:f>IF(OR(ISBLANK(W830),W830=0),"",X830/W830)</x:f>
        <x:v>0.4362056260388521</x:v>
      </x:c>
      <x:c r="Z830" s="9" t="n">
        <x:f>IF(OR(ISBLANK(B830),ISBLANK(C830)),"",C830-B830)</x:f>
        <x:v>1</x:v>
      </x:c>
      <x:c r="AA830" t="str">
        <x:f>IF(ISBLANK(B830),"",TEXT(B830,"mmm"))</x:f>
        <x:v>Oct</x:v>
      </x:c>
      <x:c r="AB830" s="9" t="n">
        <x:f>IF(ISBLANK(B830),"",YEAR(B830))</x:f>
        <x:v>2025</x:v>
      </x:c>
      <x:c r="AC830" s="10" t="str">
        <x:v>EXCLUDE: Cancelled order; EXCLUDE: Failed payment</x:v>
      </x:c>
      <x:c r="AD830" t="str">
        <x:f>IF(AND(U830="Completed",T830="Paid",ISERROR(SEARCH("INVALID",AC830)),ISERROR(SEARCH("REVIEW",AC830))),"Include","Exclude")</x:f>
        <x:v>Exclude</x:v>
      </x:c>
      <x:c r="AE830" t="str">
        <x:f>IF(T830="Refunded","Refunded","")</x:f>
      </x:c>
    </x:row>
    <x:row r="831">
      <x:c r="A831" t="str">
        <x:v>ORD-2024-10830</x:v>
      </x:c>
      <x:c r="B831" s="5" t="n">
        <x:v>45348</x:v>
      </x:c>
      <x:c r="C831" s="5" t="n">
        <x:v>45350</x:v>
      </x:c>
      <x:c r="D831" t="str">
        <x:v>CUST-9036</x:v>
      </x:c>
      <x:c r="E831" t="str">
        <x:v>Aditi Sen</x:v>
      </x:c>
      <x:c r="F831" t="str">
        <x:v>Small Business</x:v>
      </x:c>
      <x:c r="G831" t="str">
        <x:v>West</x:v>
      </x:c>
      <x:c r="H831" t="str">
        <x:v>Goa</x:v>
      </x:c>
      <x:c r="I831" t="str">
        <x:v>Panaji</x:v>
      </x:c>
      <x:c r="J831" t="str">
        <x:v>Furniture</x:v>
      </x:c>
      <x:c r="K831" t="str">
        <x:v>Furnishings</x:v>
      </x:c>
      <x:c r="L831" t="str">
        <x:v>Pro Furnishings 192</x:v>
      </x:c>
      <x:c r="M831" t="str">
        <x:v>Second Class</x:v>
      </x:c>
      <x:c r="N831" t="n">
        <x:v>7</x:v>
      </x:c>
      <x:c r="O831" s="7" t="n">
        <x:v>1035.14</x:v>
      </x:c>
      <x:c r="P831" s="6" t="n">
        <x:v>0.1</x:v>
      </x:c>
      <x:c r="Q831" s="7" t="n">
        <x:v>6521.38</x:v>
      </x:c>
      <x:c r="R831" s="7" t="n">
        <x:v>4511.1</x:v>
      </x:c>
      <x:c r="S831" s="7" t="n">
        <x:v>2010.28</x:v>
      </x:c>
      <x:c r="T831" t="str">
        <x:v>Paid</x:v>
      </x:c>
      <x:c r="U831" t="str">
        <x:v>Completed</x:v>
      </x:c>
      <x:c r="V831" s="6" t="n">
        <x:f>IF(ISBLANK(P831),IF(AND(ISNUMBER(N831),N831&gt;0,ISNUMBER(O831),O831&gt;=0,ISNUMBER(Q831),Q831&gt;=0,ISNUMBER(R831),R831&gt;=0,ISNUMBER(S831)),0,""),P831)</x:f>
        <x:v>0.1</x:v>
      </x:c>
      <x:c r="W831" s="7" t="n">
        <x:f>IF(ISBLANK(V831),"",N831*O831*(1-V831))</x:f>
        <x:v>6521.3820000000005</x:v>
      </x:c>
      <x:c r="X831" s="7" t="n">
        <x:f>IF(OR(ISBLANK(W831),ISBLANK(R831)),"",W831-R831)</x:f>
        <x:v>2010.2820000000002</x:v>
      </x:c>
      <x:c r="Y831" s="8" t="n">
        <x:f>IF(OR(ISBLANK(W831),W831=0),"",X831/W831)</x:f>
        <x:v>0.3082601203241889</x:v>
      </x:c>
      <x:c r="Z831" s="9" t="n">
        <x:f>IF(OR(ISBLANK(B831),ISBLANK(C831)),"",C831-B831)</x:f>
        <x:v>2</x:v>
      </x:c>
      <x:c r="AA831" t="str">
        <x:f>IF(ISBLANK(B831),"",TEXT(B831,"mmm"))</x:f>
        <x:v>Feb</x:v>
      </x:c>
      <x:c r="AB831" s="9" t="n">
        <x:f>IF(ISBLANK(B831),"",YEAR(B831))</x:f>
        <x:v>2024</x:v>
      </x:c>
      <x:c r="AC831" s="10" t="str"/>
      <x:c r="AD831" t="str">
        <x:f>IF(AND(U831="Completed",T831="Paid",ISERROR(SEARCH("INVALID",AC831)),ISERROR(SEARCH("REVIEW",AC831))),"Include","Exclude")</x:f>
        <x:v>Include</x:v>
      </x:c>
      <x:c r="AE831" t="str">
        <x:f>IF(T831="Refunded","Refunded","")</x:f>
      </x:c>
    </x:row>
    <x:row r="832">
      <x:c r="A832" t="str">
        <x:v>ORD-2025-10831</x:v>
      </x:c>
      <x:c r="B832" s="5" t="n">
        <x:v>45853</x:v>
      </x:c>
      <x:c r="C832" s="5" t="n">
        <x:v>45856</x:v>
      </x:c>
      <x:c r="D832" t="str">
        <x:v>CUST-7929</x:v>
      </x:c>
      <x:c r="E832" t="str">
        <x:v>Aditi Sen</x:v>
      </x:c>
      <x:c r="F832" t="str">
        <x:v>Small Business</x:v>
      </x:c>
      <x:c r="G832" t="str">
        <x:v>Unknown</x:v>
      </x:c>
      <x:c r="H832" t="str">
        <x:v>Tamil Nadu</x:v>
      </x:c>
      <x:c r="I832" t="str">
        <x:v>Chennai</x:v>
      </x:c>
      <x:c r="J832" t="str">
        <x:v>Technology</x:v>
      </x:c>
      <x:c r="K832" t="str">
        <x:v>Machines</x:v>
      </x:c>
      <x:c r="L832" t="str">
        <x:v>Smart Machines 951</x:v>
      </x:c>
      <x:c r="M832" t="str">
        <x:v>First Class</x:v>
      </x:c>
      <x:c r="N832" t="n">
        <x:v>6</x:v>
      </x:c>
      <x:c r="O832" s="7" t="n">
        <x:v>2382.88</x:v>
      </x:c>
      <x:c r="P832" s="6" t="n">
        <x:v>0.1</x:v>
      </x:c>
      <x:c r="Q832" s="7" t="n">
        <x:v>12867.55</x:v>
      </x:c>
      <x:c r="R832" s="7" t="n">
        <x:v>10068.94</x:v>
      </x:c>
      <x:c r="S832" s="7" t="n">
        <x:v>2798.61</x:v>
      </x:c>
      <x:c r="T832" t="str">
        <x:v>Paid</x:v>
      </x:c>
      <x:c r="U832" t="str">
        <x:v>Completed</x:v>
      </x:c>
      <x:c r="V832" s="6" t="n">
        <x:f>IF(ISBLANK(P832),IF(AND(ISNUMBER(N832),N832&gt;0,ISNUMBER(O832),O832&gt;=0,ISNUMBER(Q832),Q832&gt;=0,ISNUMBER(R832),R832&gt;=0,ISNUMBER(S832)),0,""),P832)</x:f>
        <x:v>0.1</x:v>
      </x:c>
      <x:c r="W832" s="7" t="n">
        <x:f>IF(ISBLANK(V832),"",N832*O832*(1-V832))</x:f>
        <x:v>12867.552000000001</x:v>
      </x:c>
      <x:c r="X832" s="7" t="n">
        <x:f>IF(OR(ISBLANK(W832),ISBLANK(R832)),"",W832-R832)</x:f>
        <x:v>2798.612000000001</x:v>
      </x:c>
      <x:c r="Y832" s="8" t="n">
        <x:f>IF(OR(ISBLANK(W832),W832=0),"",X832/W832)</x:f>
        <x:v>0.21749373929089236</x:v>
      </x:c>
      <x:c r="Z832" s="9" t="n">
        <x:f>IF(OR(ISBLANK(B832),ISBLANK(C832)),"",C832-B832)</x:f>
        <x:v>3</x:v>
      </x:c>
      <x:c r="AA832" t="str">
        <x:f>IF(ISBLANK(B832),"",TEXT(B832,"mmm"))</x:f>
        <x:v>Jul</x:v>
      </x:c>
      <x:c r="AB832" s="9" t="n">
        <x:f>IF(ISBLANK(B832),"",YEAR(B832))</x:f>
        <x:v>2025</x:v>
      </x:c>
      <x:c r="AC832" s="10" t="str">
        <x:v>FLAG: Missing region filled as Unknown</x:v>
      </x:c>
      <x:c r="AD832" t="str">
        <x:f>IF(AND(U832="Completed",T832="Paid",ISERROR(SEARCH("INVALID",AC832)),ISERROR(SEARCH("REVIEW",AC832))),"Include","Exclude")</x:f>
        <x:v>Include</x:v>
      </x:c>
      <x:c r="AE832" t="str">
        <x:f>IF(T832="Refunded","Refunded","")</x:f>
      </x:c>
    </x:row>
    <x:row r="833">
      <x:c r="A833" t="str">
        <x:v>ORD-2025-10832</x:v>
      </x:c>
      <x:c r="B833" s="5" t="n">
        <x:v>45750</x:v>
      </x:c>
      <x:c r="C833" s="5" t="n">
        <x:v>45750</x:v>
      </x:c>
      <x:c r="D833" t="str">
        <x:v>CUST-1106</x:v>
      </x:c>
      <x:c r="E833" t="str">
        <x:v>Diya Patel</x:v>
      </x:c>
      <x:c r="F833" t="str">
        <x:v>Home Office</x:v>
      </x:c>
      <x:c r="G833" t="str">
        <x:v>Unknown</x:v>
      </x:c>
      <x:c r="H833" t="str">
        <x:v>Haryana</x:v>
      </x:c>
      <x:c r="I833" t="str">
        <x:v>Gurugram</x:v>
      </x:c>
      <x:c r="J833" t="str">
        <x:v>Furniture</x:v>
      </x:c>
      <x:c r="K833" t="str">
        <x:v>Chairs</x:v>
      </x:c>
      <x:c r="L833" t="str">
        <x:v>Smart Chairs 794</x:v>
      </x:c>
      <x:c r="M833" t="str">
        <x:v>First Class</x:v>
      </x:c>
      <x:c r="N833" t="n">
        <x:v>9</x:v>
      </x:c>
      <x:c r="O833" s="7" t="n">
        <x:v>3462.7</x:v>
      </x:c>
      <x:c r="P833" s="6" t="n">
        <x:v>0.15</x:v>
      </x:c>
      <x:c r="Q833" s="7" t="n">
        <x:v>26489.65</x:v>
      </x:c>
      <x:c r="R833" s="7" t="n">
        <x:v>15818.46</x:v>
      </x:c>
      <x:c r="S833" s="7" t="n">
        <x:v>10671.19</x:v>
      </x:c>
      <x:c r="T833" t="str">
        <x:v>Failed</x:v>
      </x:c>
      <x:c r="U833" t="str">
        <x:v>Returned</x:v>
      </x:c>
      <x:c r="V833" s="6" t="n">
        <x:f>IF(ISBLANK(P833),IF(AND(ISNUMBER(N833),N833&gt;0,ISNUMBER(O833),O833&gt;=0,ISNUMBER(Q833),Q833&gt;=0,ISNUMBER(R833),R833&gt;=0,ISNUMBER(S833)),0,""),P833)</x:f>
        <x:v>0.15</x:v>
      </x:c>
      <x:c r="W833" s="7" t="n">
        <x:f>IF(ISBLANK(V833),"",N833*O833*(1-V833))</x:f>
        <x:v>26489.655</x:v>
      </x:c>
      <x:c r="X833" s="7" t="n">
        <x:f>IF(OR(ISBLANK(W833),ISBLANK(R833)),"",W833-R833)</x:f>
        <x:v>10671.195</x:v>
      </x:c>
      <x:c r="Y833" s="8" t="n">
        <x:f>IF(OR(ISBLANK(W833),W833=0),"",X833/W833)</x:f>
        <x:v>0.4028438648974477</x:v>
      </x:c>
      <x:c r="Z833" s="9" t="n">
        <x:f>IF(OR(ISBLANK(B833),ISBLANK(C833)),"",C833-B833)</x:f>
        <x:v>0</x:v>
      </x:c>
      <x:c r="AA833" t="str">
        <x:f>IF(ISBLANK(B833),"",TEXT(B833,"mmm"))</x:f>
        <x:v>Apr</x:v>
      </x:c>
      <x:c r="AB833" s="9" t="n">
        <x:f>IF(ISBLANK(B833),"",YEAR(B833))</x:f>
        <x:v>2025</x:v>
      </x:c>
      <x:c r="AC833" s="10" t="str">
        <x:v>FLAG: Missing region filled as Unknown; EXCLUDE: Failed payment</x:v>
      </x:c>
      <x:c r="AD833" t="str">
        <x:f>IF(AND(U833="Completed",T833="Paid",ISERROR(SEARCH("INVALID",AC833)),ISERROR(SEARCH("REVIEW",AC833))),"Include","Exclude")</x:f>
        <x:v>Exclude</x:v>
      </x:c>
      <x:c r="AE833" t="str">
        <x:f>IF(T833="Refunded","Refunded","")</x:f>
      </x:c>
    </x:row>
    <x:row r="834">
      <x:c r="A834" t="str">
        <x:v>ORD-2025-10833</x:v>
      </x:c>
      <x:c r="B834" s="5" t="n">
        <x:v>45803</x:v>
      </x:c>
      <x:c r="C834" s="5" t="n">
        <x:v>45805</x:v>
      </x:c>
      <x:c r="D834" t="str">
        <x:v>CUST-9557</x:v>
      </x:c>
      <x:c r="E834" t="str">
        <x:v>Kabir Singh</x:v>
      </x:c>
      <x:c r="F834" t="str">
        <x:v>Small Business</x:v>
      </x:c>
      <x:c r="G834" t="str">
        <x:v>South</x:v>
      </x:c>
      <x:c r="H834" t="str">
        <x:v>Andhra Pradesh</x:v>
      </x:c>
      <x:c r="I834" t="str">
        <x:v>Vijayawada</x:v>
      </x:c>
      <x:c r="J834" t="str">
        <x:v>Technology</x:v>
      </x:c>
      <x:c r="K834" t="str">
        <x:v>Phones</x:v>
      </x:c>
      <x:c r="L834" t="str">
        <x:v>Max Phones 919</x:v>
      </x:c>
      <x:c r="M834" t="str">
        <x:v>Second Class</x:v>
      </x:c>
      <x:c r="N834" t="n">
        <x:v>9</x:v>
      </x:c>
      <x:c r="O834" s="7" t="n">
        <x:v>4302.02</x:v>
      </x:c>
      <x:c r="P834" s="6" t="n">
        <x:v>0.05</x:v>
      </x:c>
      <x:c r="Q834" s="7" t="n">
        <x:v>36782.27</x:v>
      </x:c>
      <x:c r="R834" s="7" t="n">
        <x:v>25902.81</x:v>
      </x:c>
      <x:c r="S834" s="7" t="n">
        <x:v>10879.46</x:v>
      </x:c>
      <x:c r="T834" t="str">
        <x:v>Paid</x:v>
      </x:c>
      <x:c r="U834" t="str">
        <x:v>Completed</x:v>
      </x:c>
      <x:c r="V834" s="6" t="n">
        <x:f>IF(ISBLANK(P834),IF(AND(ISNUMBER(N834),N834&gt;0,ISNUMBER(O834),O834&gt;=0,ISNUMBER(Q834),Q834&gt;=0,ISNUMBER(R834),R834&gt;=0,ISNUMBER(S834)),0,""),P834)</x:f>
        <x:v>0.05</x:v>
      </x:c>
      <x:c r="W834" s="7" t="n">
        <x:f>IF(ISBLANK(V834),"",N834*O834*(1-V834))</x:f>
        <x:v>36782.27100000001</x:v>
      </x:c>
      <x:c r="X834" s="7" t="n">
        <x:f>IF(OR(ISBLANK(W834),ISBLANK(R834)),"",W834-R834)</x:f>
        <x:v>10879.461000000007</x:v>
      </x:c>
      <x:c r="Y834" s="8" t="n">
        <x:f>IF(OR(ISBLANK(W834),W834=0),"",X834/W834)</x:f>
        <x:v>0.29578002402298664</x:v>
      </x:c>
      <x:c r="Z834" s="9" t="n">
        <x:f>IF(OR(ISBLANK(B834),ISBLANK(C834)),"",C834-B834)</x:f>
        <x:v>2</x:v>
      </x:c>
      <x:c r="AA834" t="str">
        <x:f>IF(ISBLANK(B834),"",TEXT(B834,"mmm"))</x:f>
        <x:v>May</x:v>
      </x:c>
      <x:c r="AB834" s="9" t="n">
        <x:f>IF(ISBLANK(B834),"",YEAR(B834))</x:f>
        <x:v>2025</x:v>
      </x:c>
      <x:c r="AC834" s="10" t="str"/>
      <x:c r="AD834" t="str">
        <x:f>IF(AND(U834="Completed",T834="Paid",ISERROR(SEARCH("INVALID",AC834)),ISERROR(SEARCH("REVIEW",AC834))),"Include","Exclude")</x:f>
        <x:v>Include</x:v>
      </x:c>
      <x:c r="AE834" t="str">
        <x:f>IF(T834="Refunded","Refunded","")</x:f>
      </x:c>
    </x:row>
    <x:row r="835">
      <x:c r="A835" t="str">
        <x:v>ORD-2024-10834</x:v>
      </x:c>
      <x:c r="B835" s="5" t="n">
        <x:v>45447</x:v>
      </x:c>
      <x:c r="C835" s="5" t="n">
        <x:v>45447</x:v>
      </x:c>
      <x:c r="D835" t="str">
        <x:v>CUST-2689</x:v>
      </x:c>
      <x:c r="E835" t="str">
        <x:v>Rahul Verma</x:v>
      </x:c>
      <x:c r="F835" t="str">
        <x:v>Home Office</x:v>
      </x:c>
      <x:c r="G835" t="str">
        <x:v>East</x:v>
      </x:c>
      <x:c r="H835" t="str">
        <x:v>West Bengal</x:v>
      </x:c>
      <x:c r="I835" t="str">
        <x:v>Kolkata</x:v>
      </x:c>
      <x:c r="J835" t="str">
        <x:v>Furniture</x:v>
      </x:c>
      <x:c r="K835" t="str">
        <x:v>Bookcases</x:v>
      </x:c>
      <x:c r="L835" t="str">
        <x:v>Basic Bookcases 499</x:v>
      </x:c>
      <x:c r="M835" t="str">
        <x:v>First Class</x:v>
      </x:c>
      <x:c r="N835" t="n">
        <x:v>6</x:v>
      </x:c>
      <x:c r="O835" s="7" t="n">
        <x:v>3949.4</x:v>
      </x:c>
      <x:c r="P835" s="6" t="n">
        <x:v>0</x:v>
      </x:c>
      <x:c r="Q835" s="7" t="n">
        <x:v>23696.4</x:v>
      </x:c>
      <x:c r="R835" s="7" t="n">
        <x:v>18109.77</x:v>
      </x:c>
      <x:c r="S835" s="7" t="n">
        <x:v>5586.63</x:v>
      </x:c>
      <x:c r="T835" t="str">
        <x:v>Paid</x:v>
      </x:c>
      <x:c r="U835" t="str">
        <x:v>Completed</x:v>
      </x:c>
      <x:c r="V835" s="6" t="n">
        <x:f>IF(ISBLANK(P835),IF(AND(ISNUMBER(N835),N835&gt;0,ISNUMBER(O835),O835&gt;=0,ISNUMBER(Q835),Q835&gt;=0,ISNUMBER(R835),R835&gt;=0,ISNUMBER(S835)),0,""),P835)</x:f>
        <x:v>0</x:v>
      </x:c>
      <x:c r="W835" s="7" t="n">
        <x:f>IF(ISBLANK(V835),"",N835*O835*(1-V835))</x:f>
        <x:v>23696.4</x:v>
      </x:c>
      <x:c r="X835" s="7" t="n">
        <x:f>IF(OR(ISBLANK(W835),ISBLANK(R835)),"",W835-R835)</x:f>
        <x:v>5586.630000000001</x:v>
      </x:c>
      <x:c r="Y835" s="8" t="n">
        <x:f>IF(OR(ISBLANK(W835),W835=0),"",X835/W835)</x:f>
        <x:v>0.23575859624246723</x:v>
      </x:c>
      <x:c r="Z835" s="9" t="n">
        <x:f>IF(OR(ISBLANK(B835),ISBLANK(C835)),"",C835-B835)</x:f>
        <x:v>0</x:v>
      </x:c>
      <x:c r="AA835" t="str">
        <x:f>IF(ISBLANK(B835),"",TEXT(B835,"mmm"))</x:f>
        <x:v>Jun</x:v>
      </x:c>
      <x:c r="AB835" s="9" t="n">
        <x:f>IF(ISBLANK(B835),"",YEAR(B835))</x:f>
        <x:v>2024</x:v>
      </x:c>
      <x:c r="AC835" s="10" t="str"/>
      <x:c r="AD835" t="str">
        <x:f>IF(AND(U835="Completed",T835="Paid",ISERROR(SEARCH("INVALID",AC835)),ISERROR(SEARCH("REVIEW",AC835))),"Include","Exclude")</x:f>
        <x:v>Include</x:v>
      </x:c>
      <x:c r="AE835" t="str">
        <x:f>IF(T835="Refunded","Refunded","")</x:f>
      </x:c>
    </x:row>
    <x:row r="836">
      <x:c r="A836" t="str">
        <x:v>ORD-2024-10835</x:v>
      </x:c>
      <x:c r="B836" s="5" t="n">
        <x:v>45583</x:v>
      </x:c>
      <x:c r="C836" s="5" t="n">
        <x:v>45587</x:v>
      </x:c>
      <x:c r="D836" t="str">
        <x:v>CUST-2879</x:v>
      </x:c>
      <x:c r="E836" t="str">
        <x:v>Aarav Sharma</x:v>
      </x:c>
      <x:c r="F836" t="str">
        <x:v>Home Office</x:v>
      </x:c>
      <x:c r="G836" t="str">
        <x:v>South</x:v>
      </x:c>
      <x:c r="H836" t="str">
        <x:v>Telangana</x:v>
      </x:c>
      <x:c r="I836" t="str">
        <x:v>Hyderabad</x:v>
      </x:c>
      <x:c r="J836" t="str">
        <x:v>Office Supplies</x:v>
      </x:c>
      <x:c r="K836" t="str">
        <x:v>Art</x:v>
      </x:c>
      <x:c r="L836" t="str">
        <x:v>Basic Art 143</x:v>
      </x:c>
      <x:c r="M836" t="str">
        <x:v>First Class</x:v>
      </x:c>
      <x:c r="N836" t="n">
        <x:v>6</x:v>
      </x:c>
      <x:c r="O836" s="7" t="n">
        <x:v>674.61</x:v>
      </x:c>
      <x:c r="P836" s="6" t="n">
        <x:v>0</x:v>
      </x:c>
      <x:c r="Q836" s="7" t="n">
        <x:v>4047.66</x:v>
      </x:c>
      <x:c r="R836" s="7" t="n">
        <x:v>3078.93</x:v>
      </x:c>
      <x:c r="S836" s="7" t="n">
        <x:v>1279.79</x:v>
      </x:c>
      <x:c r="T836" t="str">
        <x:v>Paid</x:v>
      </x:c>
      <x:c r="U836" t="str">
        <x:v>Completed</x:v>
      </x:c>
      <x:c r="V836" s="6" t="n">
        <x:f>IF(ISBLANK(P836),IF(AND(ISNUMBER(N836),N836&gt;0,ISNUMBER(O836),O836&gt;=0,ISNUMBER(Q836),Q836&gt;=0,ISNUMBER(R836),R836&gt;=0,ISNUMBER(S836)),0,""),P836)</x:f>
        <x:v>0</x:v>
      </x:c>
      <x:c r="W836" s="7" t="n">
        <x:f>IF(ISBLANK(V836),"",N836*O836*(1-V836))</x:f>
        <x:v>4047.66</x:v>
      </x:c>
      <x:c r="X836" s="7" t="n">
        <x:f>IF(OR(ISBLANK(W836),ISBLANK(R836)),"",W836-R836)</x:f>
        <x:v>968.73</x:v>
      </x:c>
      <x:c r="Y836" s="8" t="n">
        <x:f>IF(OR(ISBLANK(W836),W836=0),"",X836/W836)</x:f>
        <x:v>0.2393308726523473</x:v>
      </x:c>
      <x:c r="Z836" s="9" t="n">
        <x:f>IF(OR(ISBLANK(B836),ISBLANK(C836)),"",C836-B836)</x:f>
        <x:v>4</x:v>
      </x:c>
      <x:c r="AA836" t="str">
        <x:f>IF(ISBLANK(B836),"",TEXT(B836,"mmm"))</x:f>
        <x:v>Oct</x:v>
      </x:c>
      <x:c r="AB836" s="9" t="n">
        <x:f>IF(ISBLANK(B836),"",YEAR(B836))</x:f>
        <x:v>2024</x:v>
      </x:c>
      <x:c r="AC836" s="10" t="str"/>
      <x:c r="AD836" t="str">
        <x:f>IF(AND(U836="Completed",T836="Paid",ISERROR(SEARCH("INVALID",AC836)),ISERROR(SEARCH("REVIEW",AC836))),"Include","Exclude")</x:f>
        <x:v>Include</x:v>
      </x:c>
      <x:c r="AE836" t="str">
        <x:f>IF(T836="Refunded","Refunded","")</x:f>
      </x:c>
    </x:row>
    <x:row r="837">
      <x:c r="A837" t="str">
        <x:v>ORD-2025-10836</x:v>
      </x:c>
      <x:c r="B837" s="5" t="n">
        <x:v>45926</x:v>
      </x:c>
      <x:c r="C837" s="5" t="n">
        <x:v>45934</x:v>
      </x:c>
      <x:c r="D837" t="str">
        <x:v>CUST-5150</x:v>
      </x:c>
      <x:c r="E837" t="str">
        <x:v>Priya Menon</x:v>
      </x:c>
      <x:c r="F837" t="str">
        <x:v>Small Business</x:v>
      </x:c>
      <x:c r="G837" t="str">
        <x:v>East</x:v>
      </x:c>
      <x:c r="H837" t="str">
        <x:v>Assam</x:v>
      </x:c>
      <x:c r="I837" t="str">
        <x:v>Guwahati</x:v>
      </x:c>
      <x:c r="J837" t="str">
        <x:v>Technology</x:v>
      </x:c>
      <x:c r="K837" t="str">
        <x:v>Phones</x:v>
      </x:c>
      <x:c r="L837" t="str">
        <x:v>Prime Phones 338</x:v>
      </x:c>
      <x:c r="M837" t="str">
        <x:v>Second Class</x:v>
      </x:c>
      <x:c r="N837" t="n">
        <x:v>7</x:v>
      </x:c>
      <x:c r="O837" s="7" t="n">
        <x:v>1509.59</x:v>
      </x:c>
      <x:c r="P837" s="6" t="n">
        <x:v>0.05</x:v>
      </x:c>
      <x:c r="Q837" s="7" t="n">
        <x:v>10038.77</x:v>
      </x:c>
      <x:c r="R837" s="7" t="n">
        <x:v>5673.1</x:v>
      </x:c>
      <x:c r="S837" s="7" t="n">
        <x:v>4365.67</x:v>
      </x:c>
      <x:c r="T837" t="str">
        <x:v>Paid</x:v>
      </x:c>
      <x:c r="U837" t="str">
        <x:v>Completed</x:v>
      </x:c>
      <x:c r="V837" s="6" t="n">
        <x:f>IF(ISBLANK(P837),IF(AND(ISNUMBER(N837),N837&gt;0,ISNUMBER(O837),O837&gt;=0,ISNUMBER(Q837),Q837&gt;=0,ISNUMBER(R837),R837&gt;=0,ISNUMBER(S837)),0,""),P837)</x:f>
        <x:v>0.05</x:v>
      </x:c>
      <x:c r="W837" s="7" t="n">
        <x:f>IF(ISBLANK(V837),"",N837*O837*(1-V837))</x:f>
        <x:v>10038.7735</x:v>
      </x:c>
      <x:c r="X837" s="7" t="n">
        <x:f>IF(OR(ISBLANK(W837),ISBLANK(R837)),"",W837-R837)</x:f>
        <x:v>4365.673499999999</x:v>
      </x:c>
      <x:c r="Y837" s="8" t="n">
        <x:f>IF(OR(ISBLANK(W837),W837=0),"",X837/W837)</x:f>
        <x:v>0.4348811635206232</x:v>
      </x:c>
      <x:c r="Z837" s="9" t="n">
        <x:f>IF(OR(ISBLANK(B837),ISBLANK(C837)),"",C837-B837)</x:f>
        <x:v>8</x:v>
      </x:c>
      <x:c r="AA837" t="str">
        <x:f>IF(ISBLANK(B837),"",TEXT(B837,"mmm"))</x:f>
        <x:v>Sep</x:v>
      </x:c>
      <x:c r="AB837" s="9" t="n">
        <x:f>IF(ISBLANK(B837),"",YEAR(B837))</x:f>
        <x:v>2025</x:v>
      </x:c>
      <x:c r="AC837" s="10" t="str"/>
      <x:c r="AD837" t="str">
        <x:f>IF(AND(U837="Completed",T837="Paid",ISERROR(SEARCH("INVALID",AC837)),ISERROR(SEARCH("REVIEW",AC837))),"Include","Exclude")</x:f>
        <x:v>Include</x:v>
      </x:c>
      <x:c r="AE837" t="str">
        <x:f>IF(T837="Refunded","Refunded","")</x:f>
      </x:c>
    </x:row>
    <x:row r="838">
      <x:c r="A838" t="str">
        <x:v>ORD-2024-10837</x:v>
      </x:c>
      <x:c r="B838" s="5" t="n">
        <x:v>45641</x:v>
      </x:c>
      <x:c r="C838" s="5" t="n">
        <x:v>45644</x:v>
      </x:c>
      <x:c r="D838" t="str">
        <x:v>CUST-9776</x:v>
      </x:c>
      <x:c r="E838" t="str">
        <x:v>Isha Nair</x:v>
      </x:c>
      <x:c r="F838" t="str">
        <x:v>Small Business</x:v>
      </x:c>
      <x:c r="G838" t="str">
        <x:v>North</x:v>
      </x:c>
      <x:c r="H838" t="str">
        <x:v>Rajasthan</x:v>
      </x:c>
      <x:c r="I838" t="str">
        <x:v>Jaipur</x:v>
      </x:c>
      <x:c r="J838" t="str">
        <x:v>Office Supplies</x:v>
      </x:c>
      <x:c r="K838" t="str">
        <x:v>Labels</x:v>
      </x:c>
      <x:c r="L838" t="str">
        <x:v>Smart Labels 814</x:v>
      </x:c>
      <x:c r="M838" t="str">
        <x:v>Second Class</x:v>
      </x:c>
      <x:c r="N838" t="n">
        <x:v>2</x:v>
      </x:c>
      <x:c r="O838" s="7" t="n">
        <x:v>537.11</x:v>
      </x:c>
      <x:c r="P838" s="6" t="n">
        <x:v>0</x:v>
      </x:c>
      <x:c r="Q838" s="7" t="n">
        <x:v>1074.22</x:v>
      </x:c>
      <x:c r="R838" s="7" t="n">
        <x:v>850.86</x:v>
      </x:c>
      <x:c r="S838" s="7" t="n">
        <x:v>223.36</x:v>
      </x:c>
      <x:c r="T838" t="str">
        <x:v>Paid</x:v>
      </x:c>
      <x:c r="U838" t="str">
        <x:v>Completed</x:v>
      </x:c>
      <x:c r="V838" s="6" t="n">
        <x:f>IF(ISBLANK(P838),IF(AND(ISNUMBER(N838),N838&gt;0,ISNUMBER(O838),O838&gt;=0,ISNUMBER(Q838),Q838&gt;=0,ISNUMBER(R838),R838&gt;=0,ISNUMBER(S838)),0,""),P838)</x:f>
        <x:v>0</x:v>
      </x:c>
      <x:c r="W838" s="7" t="n">
        <x:f>IF(ISBLANK(V838),"",N838*O838*(1-V838))</x:f>
        <x:v>1074.22</x:v>
      </x:c>
      <x:c r="X838" s="7" t="n">
        <x:f>IF(OR(ISBLANK(W838),ISBLANK(R838)),"",W838-R838)</x:f>
        <x:v>223.36</x:v>
      </x:c>
      <x:c r="Y838" s="8" t="n">
        <x:f>IF(OR(ISBLANK(W838),W838=0),"",X838/W838)</x:f>
        <x:v>0.20792761259332354</x:v>
      </x:c>
      <x:c r="Z838" s="9" t="n">
        <x:f>IF(OR(ISBLANK(B838),ISBLANK(C838)),"",C838-B838)</x:f>
        <x:v>3</x:v>
      </x:c>
      <x:c r="AA838" t="str">
        <x:f>IF(ISBLANK(B838),"",TEXT(B838,"mmm"))</x:f>
        <x:v>Dec</x:v>
      </x:c>
      <x:c r="AB838" s="9" t="n">
        <x:f>IF(ISBLANK(B838),"",YEAR(B838))</x:f>
        <x:v>2024</x:v>
      </x:c>
      <x:c r="AC838" s="10" t="str"/>
      <x:c r="AD838" t="str">
        <x:f>IF(AND(U838="Completed",T838="Paid",ISERROR(SEARCH("INVALID",AC838)),ISERROR(SEARCH("REVIEW",AC838))),"Include","Exclude")</x:f>
        <x:v>Include</x:v>
      </x:c>
      <x:c r="AE838" t="str">
        <x:f>IF(T838="Refunded","Refunded","")</x:f>
      </x:c>
    </x:row>
    <x:row r="839">
      <x:c r="A839" t="str">
        <x:v>ORD-2025-10838</x:v>
      </x:c>
      <x:c r="B839" s="5" t="n">
        <x:v>45927</x:v>
      </x:c>
      <x:c r="C839" s="5" t="n">
        <x:v>45928</x:v>
      </x:c>
      <x:c r="D839" t="str">
        <x:v>CUST-2551</x:v>
      </x:c>
      <x:c r="E839" t="str">
        <x:v>Karan Malhotra</x:v>
      </x:c>
      <x:c r="F839" t="str">
        <x:v>Home Office</x:v>
      </x:c>
      <x:c r="G839" t="str">
        <x:v>West</x:v>
      </x:c>
      <x:c r="H839" t="str">
        <x:v>Maharashtra</x:v>
      </x:c>
      <x:c r="I839" t="str">
        <x:v>Mumbai</x:v>
      </x:c>
      <x:c r="J839" t="str">
        <x:v>Office Supplies</x:v>
      </x:c>
      <x:c r="K839" t="str">
        <x:v>Paper</x:v>
      </x:c>
      <x:c r="L839" t="str">
        <x:v>Prime Paper 812</x:v>
      </x:c>
      <x:c r="M839" t="str">
        <x:v>First Class</x:v>
      </x:c>
      <x:c r="N839" t="n">
        <x:v>3</x:v>
      </x:c>
      <x:c r="O839" s="7" t="n">
        <x:v>4177.63</x:v>
      </x:c>
      <x:c r="P839" s="6" t="n">
        <x:v>0.25</x:v>
      </x:c>
      <x:c r="Q839" s="7" t="n">
        <x:v>9399.67</x:v>
      </x:c>
      <x:c r="R839" s="7" t="n">
        <x:v>6540.37</x:v>
      </x:c>
      <x:c r="S839" s="7" t="n">
        <x:v>2859.3</x:v>
      </x:c>
      <x:c r="T839" t="str">
        <x:v>Paid</x:v>
      </x:c>
      <x:c r="U839" t="str">
        <x:v>Completed</x:v>
      </x:c>
      <x:c r="V839" s="6" t="n">
        <x:f>IF(ISBLANK(P839),IF(AND(ISNUMBER(N839),N839&gt;0,ISNUMBER(O839),O839&gt;=0,ISNUMBER(Q839),Q839&gt;=0,ISNUMBER(R839),R839&gt;=0,ISNUMBER(S839)),0,""),P839)</x:f>
        <x:v>0.25</x:v>
      </x:c>
      <x:c r="W839" s="7" t="n">
        <x:f>IF(ISBLANK(V839),"",N839*O839*(1-V839))</x:f>
        <x:v>9399.6675</x:v>
      </x:c>
      <x:c r="X839" s="7" t="n">
        <x:f>IF(OR(ISBLANK(W839),ISBLANK(R839)),"",W839-R839)</x:f>
        <x:v>2859.2974999999997</x:v>
      </x:c>
      <x:c r="Y839" s="8" t="n">
        <x:f>IF(OR(ISBLANK(W839),W839=0),"",X839/W839)</x:f>
        <x:v>0.30419134506619516</x:v>
      </x:c>
      <x:c r="Z839" s="9" t="n">
        <x:f>IF(OR(ISBLANK(B839),ISBLANK(C839)),"",C839-B839)</x:f>
        <x:v>1</x:v>
      </x:c>
      <x:c r="AA839" t="str">
        <x:f>IF(ISBLANK(B839),"",TEXT(B839,"mmm"))</x:f>
        <x:v>Sep</x:v>
      </x:c>
      <x:c r="AB839" s="9" t="n">
        <x:f>IF(ISBLANK(B839),"",YEAR(B839))</x:f>
        <x:v>2025</x:v>
      </x:c>
      <x:c r="AC839" s="10" t="str"/>
      <x:c r="AD839" t="str">
        <x:f>IF(AND(U839="Completed",T839="Paid",ISERROR(SEARCH("INVALID",AC839)),ISERROR(SEARCH("REVIEW",AC839))),"Include","Exclude")</x:f>
        <x:v>Include</x:v>
      </x:c>
      <x:c r="AE839" t="str">
        <x:f>IF(T839="Refunded","Refunded","")</x:f>
      </x:c>
    </x:row>
    <x:row r="840">
      <x:c r="A840" t="str">
        <x:v>ORD-2025-10839</x:v>
      </x:c>
      <x:c r="B840" s="5" t="n">
        <x:v>45750</x:v>
      </x:c>
      <x:c r="C840" s="5" t="n">
        <x:v>45754</x:v>
      </x:c>
      <x:c r="D840" t="str">
        <x:v>CUST-4708</x:v>
      </x:c>
      <x:c r="E840" t="str">
        <x:v>Ananya Rao</x:v>
      </x:c>
      <x:c r="F840" t="str">
        <x:v>Small Business</x:v>
      </x:c>
      <x:c r="G840" t="str">
        <x:v>West</x:v>
      </x:c>
      <x:c r="H840" t="str">
        <x:v>Goa</x:v>
      </x:c>
      <x:c r="I840" t="str">
        <x:v>Panaji</x:v>
      </x:c>
      <x:c r="J840" t="str">
        <x:v>Office Supplies</x:v>
      </x:c>
      <x:c r="K840" t="str">
        <x:v>Paper</x:v>
      </x:c>
      <x:c r="L840" t="str">
        <x:v>Pro Paper 355</x:v>
      </x:c>
      <x:c r="M840" t="str">
        <x:v>Same Day</x:v>
      </x:c>
      <x:c r="N840" t="n">
        <x:v>1</x:v>
      </x:c>
      <x:c r="O840" s="7" t="n">
        <x:v>1470.57</x:v>
      </x:c>
      <x:c r="P840" s="6" t="n">
        <x:v>0</x:v>
      </x:c>
      <x:c r="Q840" s="7" t="n">
        <x:v>1470.57</x:v>
      </x:c>
      <x:c r="R840" s="7" t="n">
        <x:v>834.02</x:v>
      </x:c>
      <x:c r="S840" s="7" t="n">
        <x:v>636.55</x:v>
      </x:c>
      <x:c r="T840" t="str">
        <x:v>Paid</x:v>
      </x:c>
      <x:c r="U840" t="str">
        <x:v>Returned</x:v>
      </x:c>
      <x:c r="V840" s="6" t="n">
        <x:f>IF(ISBLANK(P840),IF(AND(ISNUMBER(N840),N840&gt;0,ISNUMBER(O840),O840&gt;=0,ISNUMBER(Q840),Q840&gt;=0,ISNUMBER(R840),R840&gt;=0,ISNUMBER(S840)),0,""),P840)</x:f>
        <x:v>0</x:v>
      </x:c>
      <x:c r="W840" s="7" t="n">
        <x:f>IF(ISBLANK(V840),"",N840*O840*(1-V840))</x:f>
        <x:v>1470.57</x:v>
      </x:c>
      <x:c r="X840" s="7" t="n">
        <x:f>IF(OR(ISBLANK(W840),ISBLANK(R840)),"",W840-R840)</x:f>
        <x:v>636.55</x:v>
      </x:c>
      <x:c r="Y840" s="8" t="n">
        <x:f>IF(OR(ISBLANK(W840),W840=0),"",X840/W840)</x:f>
        <x:v>0.43285936745615644</x:v>
      </x:c>
      <x:c r="Z840" s="9" t="n">
        <x:f>IF(OR(ISBLANK(B840),ISBLANK(C840)),"",C840-B840)</x:f>
        <x:v>4</x:v>
      </x:c>
      <x:c r="AA840" t="str">
        <x:f>IF(ISBLANK(B840),"",TEXT(B840,"mmm"))</x:f>
        <x:v>Apr</x:v>
      </x:c>
      <x:c r="AB840" s="9" t="n">
        <x:f>IF(ISBLANK(B840),"",YEAR(B840))</x:f>
        <x:v>2025</x:v>
      </x:c>
      <x:c r="AC840" s="10" t="str"/>
      <x:c r="AD840" t="str">
        <x:f>IF(AND(U840="Completed",T840="Paid",ISERROR(SEARCH("INVALID",AC840)),ISERROR(SEARCH("REVIEW",AC840))),"Include","Exclude")</x:f>
        <x:v>Exclude</x:v>
      </x:c>
      <x:c r="AE840" t="str">
        <x:f>IF(T840="Refunded","Refunded","")</x:f>
      </x:c>
    </x:row>
    <x:row r="841">
      <x:c r="A841" t="str">
        <x:v>ORD-2024-10840</x:v>
      </x:c>
      <x:c r="B841" s="5" t="n">
        <x:v>45555</x:v>
      </x:c>
      <x:c r="C841" s="5" t="n">
        <x:v>45557</x:v>
      </x:c>
      <x:c r="D841" t="str">
        <x:v>CUST-8206</x:v>
      </x:c>
      <x:c r="E841" t="str">
        <x:v>Rohan Mehta</x:v>
      </x:c>
      <x:c r="F841" t="str">
        <x:v>Home Office</x:v>
      </x:c>
      <x:c r="G841" t="str">
        <x:v>East</x:v>
      </x:c>
      <x:c r="H841" t="str">
        <x:v>Odisha</x:v>
      </x:c>
      <x:c r="I841" t="str">
        <x:v>Bhubaneswar</x:v>
      </x:c>
      <x:c r="J841" t="str">
        <x:v>Technology</x:v>
      </x:c>
      <x:c r="K841" t="str">
        <x:v>Phones</x:v>
      </x:c>
      <x:c r="L841" t="str">
        <x:v>Basic Phones 398</x:v>
      </x:c>
      <x:c r="M841" t="str">
        <x:v>Standard Class</x:v>
      </x:c>
      <x:c r="N841" t="n">
        <x:v>8</x:v>
      </x:c>
      <x:c r="O841" s="7" t="n">
        <x:v>531.43</x:v>
      </x:c>
      <x:c r="P841" s="6" t="n">
        <x:v>0.1</x:v>
      </x:c>
      <x:c r="Q841" s="7" t="n">
        <x:v>3826.3</x:v>
      </x:c>
      <x:c r="R841" s="7" t="n">
        <x:v>2194.12</x:v>
      </x:c>
      <x:c r="S841" s="7" t="n">
        <x:v>1632.18</x:v>
      </x:c>
      <x:c r="T841" t="str">
        <x:v>Paid</x:v>
      </x:c>
      <x:c r="U841" t="str">
        <x:v>Completed</x:v>
      </x:c>
      <x:c r="V841" s="6" t="n">
        <x:f>IF(ISBLANK(P841),IF(AND(ISNUMBER(N841),N841&gt;0,ISNUMBER(O841),O841&gt;=0,ISNUMBER(Q841),Q841&gt;=0,ISNUMBER(R841),R841&gt;=0,ISNUMBER(S841)),0,""),P841)</x:f>
        <x:v>0.1</x:v>
      </x:c>
      <x:c r="W841" s="7" t="n">
        <x:f>IF(ISBLANK(V841),"",N841*O841*(1-V841))</x:f>
        <x:v>3826.296</x:v>
      </x:c>
      <x:c r="X841" s="7" t="n">
        <x:f>IF(OR(ISBLANK(W841),ISBLANK(R841)),"",W841-R841)</x:f>
        <x:v>1632.176</x:v>
      </x:c>
      <x:c r="Y841" s="8" t="n">
        <x:f>IF(OR(ISBLANK(W841),W841=0),"",X841/W841)</x:f>
        <x:v>0.4265681484129822</x:v>
      </x:c>
      <x:c r="Z841" s="9" t="n">
        <x:f>IF(OR(ISBLANK(B841),ISBLANK(C841)),"",C841-B841)</x:f>
        <x:v>2</x:v>
      </x:c>
      <x:c r="AA841" t="str">
        <x:f>IF(ISBLANK(B841),"",TEXT(B841,"mmm"))</x:f>
        <x:v>Sep</x:v>
      </x:c>
      <x:c r="AB841" s="9" t="n">
        <x:f>IF(ISBLANK(B841),"",YEAR(B841))</x:f>
        <x:v>2024</x:v>
      </x:c>
      <x:c r="AC841" s="10" t="str"/>
      <x:c r="AD841" t="str">
        <x:f>IF(AND(U841="Completed",T841="Paid",ISERROR(SEARCH("INVALID",AC841)),ISERROR(SEARCH("REVIEW",AC841))),"Include","Exclude")</x:f>
        <x:v>Include</x:v>
      </x:c>
      <x:c r="AE841" t="str">
        <x:f>IF(T841="Refunded","Refunded","")</x:f>
      </x:c>
    </x:row>
    <x:row r="842">
      <x:c r="A842" t="str">
        <x:v>ORD-2025-10841</x:v>
      </x:c>
      <x:c r="B842" s="5" t="n">
        <x:v>45919</x:v>
      </x:c>
      <x:c r="C842" s="5" t="n">
        <x:v>45919</x:v>
      </x:c>
      <x:c r="D842" t="str">
        <x:v>CUST-1297</x:v>
      </x:c>
      <x:c r="E842" t="str">
        <x:v>Neha Gupta</x:v>
      </x:c>
      <x:c r="F842" t="str">
        <x:v>Home Office</x:v>
      </x:c>
      <x:c r="G842" t="str">
        <x:v>North</x:v>
      </x:c>
      <x:c r="H842" t="str">
        <x:v>Delhi</x:v>
      </x:c>
      <x:c r="I842" t="str">
        <x:v>New Delhi</x:v>
      </x:c>
      <x:c r="J842" t="str">
        <x:v>Furniture</x:v>
      </x:c>
      <x:c r="K842" t="str">
        <x:v>Chairs</x:v>
      </x:c>
      <x:c r="L842" t="str">
        <x:v>Classic Chairs 204</x:v>
      </x:c>
      <x:c r="M842" t="str">
        <x:v>Same Day</x:v>
      </x:c>
      <x:c r="N842" t="n">
        <x:v>4</x:v>
      </x:c>
      <x:c r="O842" s="7" t="n">
        <x:v>1584.11</x:v>
      </x:c>
      <x:c r="P842" s="6" t="n">
        <x:v>0</x:v>
      </x:c>
      <x:c r="Q842" s="7" t="n">
        <x:v>6336.44</x:v>
      </x:c>
      <x:c r="R842" s="7" t="n">
        <x:v>4680.68</x:v>
      </x:c>
      <x:c r="S842" s="7" t="n">
        <x:v>1655.76</x:v>
      </x:c>
      <x:c r="T842" t="str">
        <x:v>Paid</x:v>
      </x:c>
      <x:c r="U842" t="str">
        <x:v>Completed</x:v>
      </x:c>
      <x:c r="V842" s="6" t="n">
        <x:f>IF(ISBLANK(P842),IF(AND(ISNUMBER(N842),N842&gt;0,ISNUMBER(O842),O842&gt;=0,ISNUMBER(Q842),Q842&gt;=0,ISNUMBER(R842),R842&gt;=0,ISNUMBER(S842)),0,""),P842)</x:f>
        <x:v>0</x:v>
      </x:c>
      <x:c r="W842" s="7" t="n">
        <x:f>IF(ISBLANK(V842),"",N842*O842*(1-V842))</x:f>
        <x:v>6336.44</x:v>
      </x:c>
      <x:c r="X842" s="7" t="n">
        <x:f>IF(OR(ISBLANK(W842),ISBLANK(R842)),"",W842-R842)</x:f>
        <x:v>1655.7599999999993</x:v>
      </x:c>
      <x:c r="Y842" s="8" t="n">
        <x:f>IF(OR(ISBLANK(W842),W842=0),"",X842/W842)</x:f>
        <x:v>0.26130761121386764</x:v>
      </x:c>
      <x:c r="Z842" s="9" t="n">
        <x:f>IF(OR(ISBLANK(B842),ISBLANK(C842)),"",C842-B842)</x:f>
        <x:v>0</x:v>
      </x:c>
      <x:c r="AA842" t="str">
        <x:f>IF(ISBLANK(B842),"",TEXT(B842,"mmm"))</x:f>
        <x:v>Sep</x:v>
      </x:c>
      <x:c r="AB842" s="9" t="n">
        <x:f>IF(ISBLANK(B842),"",YEAR(B842))</x:f>
        <x:v>2025</x:v>
      </x:c>
      <x:c r="AC842" s="10" t="str"/>
      <x:c r="AD842" t="str">
        <x:f>IF(AND(U842="Completed",T842="Paid",ISERROR(SEARCH("INVALID",AC842)),ISERROR(SEARCH("REVIEW",AC842))),"Include","Exclude")</x:f>
        <x:v>Include</x:v>
      </x:c>
      <x:c r="AE842" t="str">
        <x:f>IF(T842="Refunded","Refunded","")</x:f>
      </x:c>
    </x:row>
    <x:row r="843">
      <x:c r="A843" t="str">
        <x:v>ORD-2025-10842</x:v>
      </x:c>
      <x:c r="B843" s="5" t="n">
        <x:v>45694</x:v>
      </x:c>
      <x:c r="C843" s="5" t="n">
        <x:v>45700</x:v>
      </x:c>
      <x:c r="D843" t="str">
        <x:v>CUST-7558</x:v>
      </x:c>
      <x:c r="E843" t="str">
        <x:v>Ananya Rao</x:v>
      </x:c>
      <x:c r="F843" t="str">
        <x:v>Small Business</x:v>
      </x:c>
      <x:c r="G843" t="str">
        <x:v>East</x:v>
      </x:c>
      <x:c r="H843" t="str">
        <x:v>Bihar</x:v>
      </x:c>
      <x:c r="I843" t="str">
        <x:v>Patna</x:v>
      </x:c>
      <x:c r="J843" t="str">
        <x:v>Office Supplies</x:v>
      </x:c>
      <x:c r="K843" t="str">
        <x:v>Art</x:v>
      </x:c>
      <x:c r="L843" t="str">
        <x:v>Max Art 339</x:v>
      </x:c>
      <x:c r="M843" t="str">
        <x:v>Standard Class</x:v>
      </x:c>
      <x:c r="N843" t="n">
        <x:v>9</x:v>
      </x:c>
      <x:c r="O843" s="7" t="n">
        <x:v>3237.16</x:v>
      </x:c>
      <x:c r="P843" s="6" t="n">
        <x:v>0.25</x:v>
      </x:c>
      <x:c r="Q843" s="7" t="n">
        <x:v>21850.83</x:v>
      </x:c>
      <x:c r="R843" s="7" t="n">
        <x:v>16600.13</x:v>
      </x:c>
      <x:c r="S843" s="7" t="n">
        <x:v>5250.7</x:v>
      </x:c>
      <x:c r="T843" t="str">
        <x:v>Paid</x:v>
      </x:c>
      <x:c r="U843" t="str">
        <x:v>Completed</x:v>
      </x:c>
      <x:c r="V843" s="6" t="n">
        <x:f>IF(ISBLANK(P843),IF(AND(ISNUMBER(N843),N843&gt;0,ISNUMBER(O843),O843&gt;=0,ISNUMBER(Q843),Q843&gt;=0,ISNUMBER(R843),R843&gt;=0,ISNUMBER(S843)),0,""),P843)</x:f>
        <x:v>0.25</x:v>
      </x:c>
      <x:c r="W843" s="7" t="n">
        <x:f>IF(ISBLANK(V843),"",N843*O843*(1-V843))</x:f>
        <x:v>21850.829999999998</x:v>
      </x:c>
      <x:c r="X843" s="7" t="n">
        <x:f>IF(OR(ISBLANK(W843),ISBLANK(R843)),"",W843-R843)</x:f>
        <x:v>5250.699999999997</x:v>
      </x:c>
      <x:c r="Y843" s="8" t="n">
        <x:f>IF(OR(ISBLANK(W843),W843=0),"",X843/W843)</x:f>
        <x:v>0.2402975081495759</x:v>
      </x:c>
      <x:c r="Z843" s="9" t="n">
        <x:f>IF(OR(ISBLANK(B843),ISBLANK(C843)),"",C843-B843)</x:f>
        <x:v>6</x:v>
      </x:c>
      <x:c r="AA843" t="str">
        <x:f>IF(ISBLANK(B843),"",TEXT(B843,"mmm"))</x:f>
        <x:v>Feb</x:v>
      </x:c>
      <x:c r="AB843" s="9" t="n">
        <x:f>IF(ISBLANK(B843),"",YEAR(B843))</x:f>
        <x:v>2025</x:v>
      </x:c>
      <x:c r="AC843" s="10" t="str"/>
      <x:c r="AD843" t="str">
        <x:f>IF(AND(U843="Completed",T843="Paid",ISERROR(SEARCH("INVALID",AC843)),ISERROR(SEARCH("REVIEW",AC843))),"Include","Exclude")</x:f>
        <x:v>Include</x:v>
      </x:c>
      <x:c r="AE843" t="str">
        <x:f>IF(T843="Refunded","Refunded","")</x:f>
      </x:c>
    </x:row>
    <x:row r="844">
      <x:c r="A844" t="str">
        <x:v>ORD-2024-10843</x:v>
      </x:c>
      <x:c r="B844" s="5" t="n">
        <x:v>45382</x:v>
      </x:c>
      <x:c r="C844" s="5" t="n">
        <x:v>45381</x:v>
      </x:c>
      <x:c r="D844" t="str">
        <x:v>CUST-1798</x:v>
      </x:c>
      <x:c r="E844" t="str">
        <x:v>Kabir Singh</x:v>
      </x:c>
      <x:c r="F844" t="str">
        <x:v>Consumer</x:v>
      </x:c>
      <x:c r="G844" t="str">
        <x:v>North</x:v>
      </x:c>
      <x:c r="H844" t="str">
        <x:v>Haryana</x:v>
      </x:c>
      <x:c r="I844" t="str">
        <x:v>Gurugram</x:v>
      </x:c>
      <x:c r="J844" t="str">
        <x:v>Technology</x:v>
      </x:c>
      <x:c r="K844" t="str">
        <x:v>Machines</x:v>
      </x:c>
      <x:c r="L844" t="str">
        <x:v>Smart Machines 581</x:v>
      </x:c>
      <x:c r="M844" t="str">
        <x:v>First Class</x:v>
      </x:c>
      <x:c r="N844" t="n">
        <x:v>4</x:v>
      </x:c>
      <x:c r="O844" s="7" t="n">
        <x:v>2192.08</x:v>
      </x:c>
      <x:c r="P844" s="6" t="n">
        <x:v>0.15</x:v>
      </x:c>
      <x:c r="Q844" s="7" t="n">
        <x:v>7453.07</x:v>
      </x:c>
      <x:c r="R844" s="7" t="n">
        <x:v>5133.78</x:v>
      </x:c>
      <x:c r="S844" s="7" t="n">
        <x:v>2319.29</x:v>
      </x:c>
      <x:c r="T844" t="str">
        <x:v>Paid</x:v>
      </x:c>
      <x:c r="U844" t="str">
        <x:v>Returned</x:v>
      </x:c>
      <x:c r="V844" s="6" t="n">
        <x:f>IF(ISBLANK(P844),IF(AND(ISNUMBER(N844),N844&gt;0,ISNUMBER(O844),O844&gt;=0,ISNUMBER(Q844),Q844&gt;=0,ISNUMBER(R844),R844&gt;=0,ISNUMBER(S844)),0,""),P844)</x:f>
        <x:v>0.15</x:v>
      </x:c>
      <x:c r="W844" s="7" t="n">
        <x:f>IF(ISBLANK(V844),"",N844*O844*(1-V844))</x:f>
        <x:v>7453.071999999999</x:v>
      </x:c>
      <x:c r="X844" s="7" t="n">
        <x:f>IF(OR(ISBLANK(W844),ISBLANK(R844)),"",W844-R844)</x:f>
        <x:v>2319.2919999999995</x:v>
      </x:c>
      <x:c r="Y844" s="8" t="n">
        <x:f>IF(OR(ISBLANK(W844),W844=0),"",X844/W844)</x:f>
        <x:v>0.31118604516365866</x:v>
      </x:c>
      <x:c r="Z844" s="9" t="n">
        <x:f>IF(OR(ISBLANK(B844),ISBLANK(C844)),"",C844-B844)</x:f>
        <x:v>-1</x:v>
      </x:c>
      <x:c r="AA844" t="str">
        <x:f>IF(ISBLANK(B844),"",TEXT(B844,"mmm"))</x:f>
        <x:v>Mar</x:v>
      </x:c>
      <x:c r="AB844" s="9" t="n">
        <x:f>IF(ISBLANK(B844),"",YEAR(B844))</x:f>
        <x:v>2024</x:v>
      </x:c>
      <x:c r="AC844" s="10" t="str">
        <x:v>INVALID: Ship date before order date</x:v>
      </x:c>
      <x:c r="AD844" t="str">
        <x:f>IF(AND(U844="Completed",T844="Paid",ISERROR(SEARCH("INVALID",AC844)),ISERROR(SEARCH("REVIEW",AC844))),"Include","Exclude")</x:f>
        <x:v>Exclude</x:v>
      </x:c>
      <x:c r="AE844" t="str">
        <x:f>IF(T844="Refunded","Refunded","")</x:f>
      </x:c>
    </x:row>
    <x:row r="845">
      <x:c r="A845" t="str">
        <x:v>ORD-2025-10844</x:v>
      </x:c>
      <x:c r="B845" s="5" t="n">
        <x:v>45856</x:v>
      </x:c>
      <x:c r="C845" s="5" t="n">
        <x:v>45863</x:v>
      </x:c>
      <x:c r="D845" t="str">
        <x:v>CUST-7333</x:v>
      </x:c>
      <x:c r="E845" t="str">
        <x:v>Priya Menon</x:v>
      </x:c>
      <x:c r="F845" t="str">
        <x:v>Small Business</x:v>
      </x:c>
      <x:c r="G845" t="str">
        <x:v>North</x:v>
      </x:c>
      <x:c r="H845" t="str">
        <x:v>Uttar Pradesh</x:v>
      </x:c>
      <x:c r="I845" t="str">
        <x:v>Noida</x:v>
      </x:c>
      <x:c r="J845" t="str">
        <x:v>Technology</x:v>
      </x:c>
      <x:c r="K845" t="str">
        <x:v>Phones</x:v>
      </x:c>
      <x:c r="L845" t="str">
        <x:v>Prime Phones 482</x:v>
      </x:c>
      <x:c r="M845" t="str">
        <x:v>First Class</x:v>
      </x:c>
      <x:c r="N845" t="n">
        <x:v>9</x:v>
      </x:c>
      <x:c r="O845" s="7" t="n">
        <x:v>3989.52</x:v>
      </x:c>
      <x:c r="P845" s="6" t="n">
        <x:v>-0.02</x:v>
      </x:c>
      <x:c r="Q845" s="7" t="n">
        <x:v>35905.68</x:v>
      </x:c>
      <x:c r="R845" s="7" t="n">
        <x:v>23916.1</x:v>
      </x:c>
      <x:c r="S845" s="7" t="n">
        <x:v>11989.58</x:v>
      </x:c>
      <x:c r="T845" t="str">
        <x:v>Paid</x:v>
      </x:c>
      <x:c r="U845" t="str">
        <x:v>Completed</x:v>
      </x:c>
      <x:c r="V845" s="6" t="n">
        <x:f>IF(ISBLANK(P845),IF(AND(ISNUMBER(N845),N845&gt;0,ISNUMBER(O845),O845&gt;=0,ISNUMBER(Q845),Q845&gt;=0,ISNUMBER(R845),R845&gt;=0,ISNUMBER(S845)),0,""),P845)</x:f>
        <x:v>-0.02</x:v>
      </x:c>
      <x:c r="W845" s="7" t="n">
        <x:f>IF(ISBLANK(V845),"",N845*O845*(1-V845))</x:f>
        <x:v>36623.793600000005</x:v>
      </x:c>
      <x:c r="X845" s="7" t="n">
        <x:f>IF(OR(ISBLANK(W845),ISBLANK(R845)),"",W845-R845)</x:f>
        <x:v>12707.693600000006</x:v>
      </x:c>
      <x:c r="Y845" s="8" t="n">
        <x:f>IF(OR(ISBLANK(W845),W845=0),"",X845/W845)</x:f>
        <x:v>0.34697917257812433</x:v>
      </x:c>
      <x:c r="Z845" s="9" t="n">
        <x:f>IF(OR(ISBLANK(B845),ISBLANK(C845)),"",C845-B845)</x:f>
        <x:v>7</x:v>
      </x:c>
      <x:c r="AA845" t="str">
        <x:f>IF(ISBLANK(B845),"",TEXT(B845,"mmm"))</x:f>
        <x:v>Jul</x:v>
      </x:c>
      <x:c r="AB845" s="9" t="n">
        <x:f>IF(ISBLANK(B845),"",YEAR(B845))</x:f>
        <x:v>2025</x:v>
      </x:c>
      <x:c r="AC845" s="10" t="str">
        <x:v>INVALID: Negative discount</x:v>
      </x:c>
      <x:c r="AD845" t="str">
        <x:f>IF(AND(U845="Completed",T845="Paid",ISERROR(SEARCH("INVALID",AC845)),ISERROR(SEARCH("REVIEW",AC845))),"Include","Exclude")</x:f>
        <x:v>Exclude</x:v>
      </x:c>
      <x:c r="AE845" t="str">
        <x:f>IF(T845="Refunded","Refunded","")</x:f>
      </x:c>
    </x:row>
    <x:row r="846">
      <x:c r="A846" t="str">
        <x:v>ORD-2025-10845</x:v>
      </x:c>
      <x:c r="B846" s="5" t="n">
        <x:v>45677</x:v>
      </x:c>
      <x:c r="C846" s="5" t="n">
        <x:v>45682</x:v>
      </x:c>
      <x:c r="D846" t="str">
        <x:v>CUST-2086</x:v>
      </x:c>
      <x:c r="E846" t="str">
        <x:v>Aditi Sen</x:v>
      </x:c>
      <x:c r="F846" t="str">
        <x:v>Home Office</x:v>
      </x:c>
      <x:c r="G846" t="str">
        <x:v>West</x:v>
      </x:c>
      <x:c r="H846" t="str">
        <x:v>Goa</x:v>
      </x:c>
      <x:c r="I846" t="str">
        <x:v>Panaji</x:v>
      </x:c>
      <x:c r="J846" t="str">
        <x:v>Office Supplies</x:v>
      </x:c>
      <x:c r="K846" t="str">
        <x:v>Art</x:v>
      </x:c>
      <x:c r="L846" t="str">
        <x:v>Pro Art 588</x:v>
      </x:c>
      <x:c r="M846" t="str">
        <x:v>First Class</x:v>
      </x:c>
      <x:c r="N846" t="n">
        <x:v>1</x:v>
      </x:c>
      <x:c r="O846" s="7" t="n">
        <x:v>3515.15</x:v>
      </x:c>
      <x:c r="P846" s="6" t="n">
        <x:v>0</x:v>
      </x:c>
      <x:c r="Q846" s="7" t="n">
        <x:v>3515.15</x:v>
      </x:c>
      <x:c r="R846" s="7" t="n">
        <x:v>2216.34</x:v>
      </x:c>
      <x:c r="S846" s="7" t="n">
        <x:v>1298.81</x:v>
      </x:c>
      <x:c r="T846" t="str">
        <x:v>Paid</x:v>
      </x:c>
      <x:c r="U846" t="str">
        <x:v>Completed</x:v>
      </x:c>
      <x:c r="V846" s="6" t="n">
        <x:f>IF(ISBLANK(P846),IF(AND(ISNUMBER(N846),N846&gt;0,ISNUMBER(O846),O846&gt;=0,ISNUMBER(Q846),Q846&gt;=0,ISNUMBER(R846),R846&gt;=0,ISNUMBER(S846)),0,""),P846)</x:f>
        <x:v>0</x:v>
      </x:c>
      <x:c r="W846" s="7" t="n">
        <x:f>IF(ISBLANK(V846),"",N846*O846*(1-V846))</x:f>
        <x:v>3515.15</x:v>
      </x:c>
      <x:c r="X846" s="7" t="n">
        <x:f>IF(OR(ISBLANK(W846),ISBLANK(R846)),"",W846-R846)</x:f>
        <x:v>1298.81</x:v>
      </x:c>
      <x:c r="Y846" s="8" t="n">
        <x:f>IF(OR(ISBLANK(W846),W846=0),"",X846/W846)</x:f>
        <x:v>0.3694892109867288</x:v>
      </x:c>
      <x:c r="Z846" s="9" t="n">
        <x:f>IF(OR(ISBLANK(B846),ISBLANK(C846)),"",C846-B846)</x:f>
        <x:v>5</x:v>
      </x:c>
      <x:c r="AA846" t="str">
        <x:f>IF(ISBLANK(B846),"",TEXT(B846,"mmm"))</x:f>
        <x:v>Jan</x:v>
      </x:c>
      <x:c r="AB846" s="9" t="n">
        <x:f>IF(ISBLANK(B846),"",YEAR(B846))</x:f>
        <x:v>2025</x:v>
      </x:c>
      <x:c r="AC846" s="10" t="str"/>
      <x:c r="AD846" t="str">
        <x:f>IF(AND(U846="Completed",T846="Paid",ISERROR(SEARCH("INVALID",AC846)),ISERROR(SEARCH("REVIEW",AC846))),"Include","Exclude")</x:f>
        <x:v>Include</x:v>
      </x:c>
      <x:c r="AE846" t="str">
        <x:f>IF(T846="Refunded","Refunded","")</x:f>
      </x:c>
    </x:row>
    <x:row r="847">
      <x:c r="A847" t="str">
        <x:v>ORD-2024-10846</x:v>
      </x:c>
      <x:c r="B847" s="5" t="n">
        <x:v>45345</x:v>
      </x:c>
      <x:c r="C847" s="5" t="n">
        <x:v>45349</x:v>
      </x:c>
      <x:c r="D847" t="str">
        <x:v>CUST-2367</x:v>
      </x:c>
      <x:c r="E847" t="str">
        <x:v>Karan Malhotra</x:v>
      </x:c>
      <x:c r="F847" t="str">
        <x:v>Consumer</x:v>
      </x:c>
      <x:c r="G847" t="str">
        <x:v>East</x:v>
      </x:c>
      <x:c r="H847" t="str">
        <x:v>Odisha</x:v>
      </x:c>
      <x:c r="I847" t="str">
        <x:v>Bhubaneswar</x:v>
      </x:c>
      <x:c r="J847" t="str">
        <x:v>Furniture</x:v>
      </x:c>
      <x:c r="K847" t="str">
        <x:v>Tables</x:v>
      </x:c>
      <x:c r="L847" t="str">
        <x:v>Eco Tables 792</x:v>
      </x:c>
      <x:c r="M847" t="str">
        <x:v>First Class</x:v>
      </x:c>
      <x:c r="N847" t="n">
        <x:v>9</x:v>
      </x:c>
      <x:c r="O847" s="7" t="n">
        <x:v>3616.23</x:v>
      </x:c>
      <x:c r="P847" s="6" t="n">
        <x:v>0.25</x:v>
      </x:c>
      <x:c r="Q847" s="7" t="n">
        <x:v>24409.55</x:v>
      </x:c>
      <x:c r="R847" s="7" t="n">
        <x:v>17157.58</x:v>
      </x:c>
      <x:c r="S847" s="7" t="n">
        <x:v>7251.97</x:v>
      </x:c>
      <x:c r="T847" t="str">
        <x:v>Pending</x:v>
      </x:c>
      <x:c r="U847" t="str">
        <x:v>Returned</x:v>
      </x:c>
      <x:c r="V847" s="6" t="n">
        <x:f>IF(ISBLANK(P847),IF(AND(ISNUMBER(N847),N847&gt;0,ISNUMBER(O847),O847&gt;=0,ISNUMBER(Q847),Q847&gt;=0,ISNUMBER(R847),R847&gt;=0,ISNUMBER(S847)),0,""),P847)</x:f>
        <x:v>0.25</x:v>
      </x:c>
      <x:c r="W847" s="7" t="n">
        <x:f>IF(ISBLANK(V847),"",N847*O847*(1-V847))</x:f>
        <x:v>24409.552499999998</x:v>
      </x:c>
      <x:c r="X847" s="7" t="n">
        <x:f>IF(OR(ISBLANK(W847),ISBLANK(R847)),"",W847-R847)</x:f>
        <x:v>7251.972499999996</x:v>
      </x:c>
      <x:c r="Y847" s="8" t="n">
        <x:f>IF(OR(ISBLANK(W847),W847=0),"",X847/W847)</x:f>
        <x:v>0.29709567596538267</x:v>
      </x:c>
      <x:c r="Z847" s="9" t="n">
        <x:f>IF(OR(ISBLANK(B847),ISBLANK(C847)),"",C847-B847)</x:f>
        <x:v>4</x:v>
      </x:c>
      <x:c r="AA847" t="str">
        <x:f>IF(ISBLANK(B847),"",TEXT(B847,"mmm"))</x:f>
        <x:v>Feb</x:v>
      </x:c>
      <x:c r="AB847" s="9" t="n">
        <x:f>IF(ISBLANK(B847),"",YEAR(B847))</x:f>
        <x:v>2024</x:v>
      </x:c>
      <x:c r="AC847" s="10" t="str"/>
      <x:c r="AD847" t="str">
        <x:f>IF(AND(U847="Completed",T847="Paid",ISERROR(SEARCH("INVALID",AC847)),ISERROR(SEARCH("REVIEW",AC847))),"Include","Exclude")</x:f>
        <x:v>Exclude</x:v>
      </x:c>
      <x:c r="AE847" t="str">
        <x:f>IF(T847="Refunded","Refunded","")</x:f>
      </x:c>
    </x:row>
    <x:row r="848">
      <x:c r="A848" t="str">
        <x:v>ORD-2024-10847</x:v>
      </x:c>
      <x:c r="B848" s="5" t="n">
        <x:v>45396</x:v>
      </x:c>
      <x:c r="C848" s="5" t="n">
        <x:v>45404</x:v>
      </x:c>
      <x:c r="D848" t="str">
        <x:v>CUST-6522</x:v>
      </x:c>
      <x:c r="E848" t="str">
        <x:v>Priya Menon</x:v>
      </x:c>
      <x:c r="F848" t="str">
        <x:v>Small Business</x:v>
      </x:c>
      <x:c r="G848" t="str">
        <x:v>West</x:v>
      </x:c>
      <x:c r="H848" t="str">
        <x:v>Gujarat</x:v>
      </x:c>
      <x:c r="I848" t="str">
        <x:v>Ahmedabad</x:v>
      </x:c>
      <x:c r="J848" t="str">
        <x:v>Furniture</x:v>
      </x:c>
      <x:c r="K848" t="str">
        <x:v>Bookcases</x:v>
      </x:c>
      <x:c r="L848" t="str">
        <x:v>Prime Bookcases 177</x:v>
      </x:c>
      <x:c r="M848" t="str">
        <x:v>Standard Class</x:v>
      </x:c>
      <x:c r="N848" t="n">
        <x:v>2</x:v>
      </x:c>
      <x:c r="O848" s="7" t="n">
        <x:v>3977.52</x:v>
      </x:c>
      <x:c r="P848" s="6" t="n">
        <x:v>0</x:v>
      </x:c>
      <x:c r="Q848" s="7" t="n">
        <x:v>7955.04</x:v>
      </x:c>
      <x:c r="R848" s="7" t="n">
        <x:v>5580.68</x:v>
      </x:c>
      <x:c r="S848" s="7" t="n">
        <x:v>2374.36</x:v>
      </x:c>
      <x:c r="T848" t="str">
        <x:v>Pending</x:v>
      </x:c>
      <x:c r="U848" t="str">
        <x:v>Returned</x:v>
      </x:c>
      <x:c r="V848" s="6" t="n">
        <x:f>IF(ISBLANK(P848),IF(AND(ISNUMBER(N848),N848&gt;0,ISNUMBER(O848),O848&gt;=0,ISNUMBER(Q848),Q848&gt;=0,ISNUMBER(R848),R848&gt;=0,ISNUMBER(S848)),0,""),P848)</x:f>
        <x:v>0</x:v>
      </x:c>
      <x:c r="W848" s="7" t="n">
        <x:f>IF(ISBLANK(V848),"",N848*O848*(1-V848))</x:f>
        <x:v>7955.04</x:v>
      </x:c>
      <x:c r="X848" s="7" t="n">
        <x:f>IF(OR(ISBLANK(W848),ISBLANK(R848)),"",W848-R848)</x:f>
        <x:v>2374.3599999999997</x:v>
      </x:c>
      <x:c r="Y848" s="8" t="n">
        <x:f>IF(OR(ISBLANK(W848),W848=0),"",X848/W848)</x:f>
        <x:v>0.2984724149721434</x:v>
      </x:c>
      <x:c r="Z848" s="9" t="n">
        <x:f>IF(OR(ISBLANK(B848),ISBLANK(C848)),"",C848-B848)</x:f>
        <x:v>8</x:v>
      </x:c>
      <x:c r="AA848" t="str">
        <x:f>IF(ISBLANK(B848),"",TEXT(B848,"mmm"))</x:f>
        <x:v>Apr</x:v>
      </x:c>
      <x:c r="AB848" s="9" t="n">
        <x:f>IF(ISBLANK(B848),"",YEAR(B848))</x:f>
        <x:v>2024</x:v>
      </x:c>
      <x:c r="AC848" s="10" t="str"/>
      <x:c r="AD848" t="str">
        <x:f>IF(AND(U848="Completed",T848="Paid",ISERROR(SEARCH("INVALID",AC848)),ISERROR(SEARCH("REVIEW",AC848))),"Include","Exclude")</x:f>
        <x:v>Exclude</x:v>
      </x:c>
      <x:c r="AE848" t="str">
        <x:f>IF(T848="Refunded","Refunded","")</x:f>
      </x:c>
    </x:row>
    <x:row r="849">
      <x:c r="A849" t="str">
        <x:v>ORD-2025-10848</x:v>
      </x:c>
      <x:c r="B849" s="5" t="n">
        <x:v>45797</x:v>
      </x:c>
      <x:c r="C849" s="5" t="n">
        <x:v>45799</x:v>
      </x:c>
      <x:c r="D849" t="str">
        <x:v>CUST-8329</x:v>
      </x:c>
      <x:c r="E849" t="str">
        <x:v>Diya Patel</x:v>
      </x:c>
      <x:c r="F849" t="str">
        <x:v>Home Office</x:v>
      </x:c>
      <x:c r="G849" t="str">
        <x:v>East</x:v>
      </x:c>
      <x:c r="H849" t="str">
        <x:v>Odisha</x:v>
      </x:c>
      <x:c r="I849" t="str">
        <x:v>Bhubaneswar</x:v>
      </x:c>
      <x:c r="J849" t="str">
        <x:v>Furniture</x:v>
      </x:c>
      <x:c r="K849" t="str">
        <x:v>Tables</x:v>
      </x:c>
      <x:c r="L849" t="str">
        <x:v>Pro Tables 828</x:v>
      </x:c>
      <x:c r="M849" t="str">
        <x:v>Second Class</x:v>
      </x:c>
      <x:c r="N849" t="n">
        <x:v>2</x:v>
      </x:c>
      <x:c r="O849" s="7" t="n">
        <x:v>210.08</x:v>
      </x:c>
      <x:c r="P849" s="6" t="n">
        <x:v>0.2</x:v>
      </x:c>
      <x:c r="Q849" s="7" t="n">
        <x:v>336.13</x:v>
      </x:c>
      <x:c r="R849" s="7" t="n">
        <x:v>242.19</x:v>
      </x:c>
      <x:c r="S849" s="7" t="n">
        <x:v>93.94</x:v>
      </x:c>
      <x:c r="T849" t="str">
        <x:v>Paid</x:v>
      </x:c>
      <x:c r="U849" t="str">
        <x:v>Completed</x:v>
      </x:c>
      <x:c r="V849" s="6" t="n">
        <x:f>IF(ISBLANK(P849),IF(AND(ISNUMBER(N849),N849&gt;0,ISNUMBER(O849),O849&gt;=0,ISNUMBER(Q849),Q849&gt;=0,ISNUMBER(R849),R849&gt;=0,ISNUMBER(S849)),0,""),P849)</x:f>
        <x:v>0.2</x:v>
      </x:c>
      <x:c r="W849" s="7" t="n">
        <x:f>IF(ISBLANK(V849),"",N849*O849*(1-V849))</x:f>
        <x:v>336.12800000000004</x:v>
      </x:c>
      <x:c r="X849" s="7" t="n">
        <x:f>IF(OR(ISBLANK(W849),ISBLANK(R849)),"",W849-R849)</x:f>
        <x:v>93.93800000000005</x:v>
      </x:c>
      <x:c r="Y849" s="8" t="n">
        <x:f>IF(OR(ISBLANK(W849),W849=0),"",X849/W849)</x:f>
        <x:v>0.27947091584158423</x:v>
      </x:c>
      <x:c r="Z849" s="9" t="n">
        <x:f>IF(OR(ISBLANK(B849),ISBLANK(C849)),"",C849-B849)</x:f>
        <x:v>2</x:v>
      </x:c>
      <x:c r="AA849" t="str">
        <x:f>IF(ISBLANK(B849),"",TEXT(B849,"mmm"))</x:f>
        <x:v>May</x:v>
      </x:c>
      <x:c r="AB849" s="9" t="n">
        <x:f>IF(ISBLANK(B849),"",YEAR(B849))</x:f>
        <x:v>2025</x:v>
      </x:c>
      <x:c r="AC849" s="10" t="str"/>
      <x:c r="AD849" t="str">
        <x:f>IF(AND(U849="Completed",T849="Paid",ISERROR(SEARCH("INVALID",AC849)),ISERROR(SEARCH("REVIEW",AC849))),"Include","Exclude")</x:f>
        <x:v>Include</x:v>
      </x:c>
      <x:c r="AE849" t="str">
        <x:f>IF(T849="Refunded","Refunded","")</x:f>
      </x:c>
    </x:row>
    <x:row r="850">
      <x:c r="A850" t="str">
        <x:v>ORD-2025-10849</x:v>
      </x:c>
      <x:c r="B850" s="5" t="n">
        <x:v>45804</x:v>
      </x:c>
      <x:c r="C850" s="5" t="n">
        <x:v>45806</x:v>
      </x:c>
      <x:c r="D850" t="str">
        <x:v>CUST-4426</x:v>
      </x:c>
      <x:c r="E850" t="str">
        <x:v>Rahul Verma</x:v>
      </x:c>
      <x:c r="F850" t="str">
        <x:v>Home Office</x:v>
      </x:c>
      <x:c r="G850" t="str">
        <x:v>South</x:v>
      </x:c>
      <x:c r="H850" t="str">
        <x:v>Tamil Nadu</x:v>
      </x:c>
      <x:c r="I850" t="str">
        <x:v>Chennai</x:v>
      </x:c>
      <x:c r="J850" t="str">
        <x:v>Furniture</x:v>
      </x:c>
      <x:c r="K850" t="str">
        <x:v>Furnishings</x:v>
      </x:c>
      <x:c r="L850" t="str">
        <x:v>Elite Furnishings 480</x:v>
      </x:c>
      <x:c r="M850" t="str">
        <x:v>Second Class</x:v>
      </x:c>
      <x:c r="N850" t="n">
        <x:v>1</x:v>
      </x:c>
      <x:c r="O850" s="7" t="n">
        <x:v>1744.35</x:v>
      </x:c>
      <x:c r="P850" s="6" t="n">
        <x:v>0.25</x:v>
      </x:c>
      <x:c r="Q850" s="7" t="n">
        <x:v>1308.26</x:v>
      </x:c>
      <x:c r="R850" s="7" t="n">
        <x:v>1083.56</x:v>
      </x:c>
      <x:c r="S850" s="7" t="n">
        <x:v>224.7</x:v>
      </x:c>
      <x:c r="T850" t="str">
        <x:v>Paid</x:v>
      </x:c>
      <x:c r="U850" t="str">
        <x:v>Completed</x:v>
      </x:c>
      <x:c r="V850" s="6" t="n">
        <x:f>IF(ISBLANK(P850),IF(AND(ISNUMBER(N850),N850&gt;0,ISNUMBER(O850),O850&gt;=0,ISNUMBER(Q850),Q850&gt;=0,ISNUMBER(R850),R850&gt;=0,ISNUMBER(S850)),0,""),P850)</x:f>
        <x:v>0.25</x:v>
      </x:c>
      <x:c r="W850" s="7" t="n">
        <x:f>IF(ISBLANK(V850),"",N850*O850*(1-V850))</x:f>
        <x:v>1308.2624999999998</x:v>
      </x:c>
      <x:c r="X850" s="7" t="n">
        <x:f>IF(OR(ISBLANK(W850),ISBLANK(R850)),"",W850-R850)</x:f>
        <x:v>224.70249999999987</x:v>
      </x:c>
      <x:c r="Y850" s="8" t="n">
        <x:f>IF(OR(ISBLANK(W850),W850=0),"",X850/W850)</x:f>
        <x:v>0.17175643267310645</x:v>
      </x:c>
      <x:c r="Z850" s="9" t="n">
        <x:f>IF(OR(ISBLANK(B850),ISBLANK(C850)),"",C850-B850)</x:f>
        <x:v>2</x:v>
      </x:c>
      <x:c r="AA850" t="str">
        <x:f>IF(ISBLANK(B850),"",TEXT(B850,"mmm"))</x:f>
        <x:v>May</x:v>
      </x:c>
      <x:c r="AB850" s="9" t="n">
        <x:f>IF(ISBLANK(B850),"",YEAR(B850))</x:f>
        <x:v>2025</x:v>
      </x:c>
      <x:c r="AC850" s="10" t="str"/>
      <x:c r="AD850" t="str">
        <x:f>IF(AND(U850="Completed",T850="Paid",ISERROR(SEARCH("INVALID",AC850)),ISERROR(SEARCH("REVIEW",AC850))),"Include","Exclude")</x:f>
        <x:v>Include</x:v>
      </x:c>
      <x:c r="AE850" t="str">
        <x:f>IF(T850="Refunded","Refunded","")</x:f>
      </x:c>
    </x:row>
    <x:row r="851">
      <x:c r="A851" t="str">
        <x:v>ORD-2024-10850</x:v>
      </x:c>
      <x:c r="B851" s="5" t="n">
        <x:v>45357</x:v>
      </x:c>
      <x:c r="C851" s="5" t="n">
        <x:v>45363</x:v>
      </x:c>
      <x:c r="D851" t="str">
        <x:v>CUST-3360</x:v>
      </x:c>
      <x:c r="E851" t="str">
        <x:v>Isha Nair</x:v>
      </x:c>
      <x:c r="F851" t="str">
        <x:v>Home Office</x:v>
      </x:c>
      <x:c r="G851" t="str">
        <x:v>West</x:v>
      </x:c>
      <x:c r="H851" t="str">
        <x:v>Gujarat</x:v>
      </x:c>
      <x:c r="I851" t="str">
        <x:v>Ahmedabad</x:v>
      </x:c>
      <x:c r="J851" t="str">
        <x:v>Furniture</x:v>
      </x:c>
      <x:c r="K851" t="str">
        <x:v>Bookcases</x:v>
      </x:c>
      <x:c r="L851" t="str">
        <x:v>Prime Bookcases 755</x:v>
      </x:c>
      <x:c r="M851" t="str">
        <x:v>Standard Class</x:v>
      </x:c>
      <x:c r="N851" t="n">
        <x:v>3</x:v>
      </x:c>
      <x:c r="O851" s="7" t="n">
        <x:v>679.63</x:v>
      </x:c>
      <x:c r="P851" s="6" t="n">
        <x:v>0.2</x:v>
      </x:c>
      <x:c r="Q851" s="7" t="n">
        <x:v>1631.11</x:v>
      </x:c>
      <x:c r="R851" s="7" t="n">
        <x:v>898.73</x:v>
      </x:c>
      <x:c r="S851" s="7" t="n">
        <x:v>396.58</x:v>
      </x:c>
      <x:c r="T851" t="str">
        <x:v>Paid</x:v>
      </x:c>
      <x:c r="U851" t="str">
        <x:v>Completed</x:v>
      </x:c>
      <x:c r="V851" s="6" t="n">
        <x:f>IF(ISBLANK(P851),IF(AND(ISNUMBER(N851),N851&gt;0,ISNUMBER(O851),O851&gt;=0,ISNUMBER(Q851),Q851&gt;=0,ISNUMBER(R851),R851&gt;=0,ISNUMBER(S851)),0,""),P851)</x:f>
        <x:v>0.2</x:v>
      </x:c>
      <x:c r="W851" s="7" t="n">
        <x:f>IF(ISBLANK(V851),"",N851*O851*(1-V851))</x:f>
        <x:v>1631.112</x:v>
      </x:c>
      <x:c r="X851" s="7" t="n">
        <x:f>IF(OR(ISBLANK(W851),ISBLANK(R851)),"",W851-R851)</x:f>
        <x:v>732.3820000000001</x:v>
      </x:c>
      <x:c r="Y851" s="8" t="n">
        <x:f>IF(OR(ISBLANK(W851),W851=0),"",X851/W851)</x:f>
        <x:v>0.44900779345624336</x:v>
      </x:c>
      <x:c r="Z851" s="9" t="n">
        <x:f>IF(OR(ISBLANK(B851),ISBLANK(C851)),"",C851-B851)</x:f>
        <x:v>6</x:v>
      </x:c>
      <x:c r="AA851" t="str">
        <x:f>IF(ISBLANK(B851),"",TEXT(B851,"mmm"))</x:f>
        <x:v>Mar</x:v>
      </x:c>
      <x:c r="AB851" s="9" t="n">
        <x:f>IF(ISBLANK(B851),"",YEAR(B851))</x:f>
        <x:v>2024</x:v>
      </x:c>
      <x:c r="AC851" s="10" t="str"/>
      <x:c r="AD851" t="str">
        <x:f>IF(AND(U851="Completed",T851="Paid",ISERROR(SEARCH("INVALID",AC851)),ISERROR(SEARCH("REVIEW",AC851))),"Include","Exclude")</x:f>
        <x:v>Include</x:v>
      </x:c>
      <x:c r="AE851" t="str">
        <x:f>IF(T851="Refunded","Refunded","")</x:f>
      </x:c>
    </x:row>
    <x:row r="852">
      <x:c r="A852" t="str">
        <x:v>ORD-2024-10851</x:v>
      </x:c>
      <x:c r="B852" s="5" t="n">
        <x:v>45473</x:v>
      </x:c>
      <x:c r="C852" s="5" t="n">
        <x:v>45476</x:v>
      </x:c>
      <x:c r="D852" t="str">
        <x:v>CUST-2623</x:v>
      </x:c>
      <x:c r="E852" t="str">
        <x:v>Priya Menon</x:v>
      </x:c>
      <x:c r="F852" t="str">
        <x:v>Home Office</x:v>
      </x:c>
      <x:c r="G852" t="str">
        <x:v>East</x:v>
      </x:c>
      <x:c r="H852" t="str">
        <x:v>West Bengal</x:v>
      </x:c>
      <x:c r="I852" t="str">
        <x:v>Kolkata</x:v>
      </x:c>
      <x:c r="J852" t="str">
        <x:v>Office Supplies</x:v>
      </x:c>
      <x:c r="K852" t="str">
        <x:v>Paper</x:v>
      </x:c>
      <x:c r="L852" t="str">
        <x:v>Prime Paper 317</x:v>
      </x:c>
      <x:c r="M852" t="str">
        <x:v>First Class</x:v>
      </x:c>
      <x:c r="N852" t="n">
        <x:v>6</x:v>
      </x:c>
      <x:c r="O852" s="7" t="n">
        <x:v>1211.01</x:v>
      </x:c>
      <x:c r="P852" s="6" t="n">
        <x:v>0</x:v>
      </x:c>
      <x:c r="Q852" s="7" t="n">
        <x:v>7266.06</x:v>
      </x:c>
      <x:c r="R852" s="7" t="n">
        <x:v>6216.89</x:v>
      </x:c>
      <x:c r="S852" s="7" t="n">
        <x:v>1049.17</x:v>
      </x:c>
      <x:c r="T852" t="str">
        <x:v>Paid</x:v>
      </x:c>
      <x:c r="U852" t="str">
        <x:v>Completed</x:v>
      </x:c>
      <x:c r="V852" s="6" t="n">
        <x:f>IF(ISBLANK(P852),IF(AND(ISNUMBER(N852),N852&gt;0,ISNUMBER(O852),O852&gt;=0,ISNUMBER(Q852),Q852&gt;=0,ISNUMBER(R852),R852&gt;=0,ISNUMBER(S852)),0,""),P852)</x:f>
        <x:v>0</x:v>
      </x:c>
      <x:c r="W852" s="7" t="n">
        <x:f>IF(ISBLANK(V852),"",N852*O852*(1-V852))</x:f>
        <x:v>7266.0599999999995</x:v>
      </x:c>
      <x:c r="X852" s="7" t="n">
        <x:f>IF(OR(ISBLANK(W852),ISBLANK(R852)),"",W852-R852)</x:f>
        <x:v>1049.1699999999992</x:v>
      </x:c>
      <x:c r="Y852" s="8" t="n">
        <x:f>IF(OR(ISBLANK(W852),W852=0),"",X852/W852)</x:f>
        <x:v>0.14439324750965438</x:v>
      </x:c>
      <x:c r="Z852" s="9" t="n">
        <x:f>IF(OR(ISBLANK(B852),ISBLANK(C852)),"",C852-B852)</x:f>
        <x:v>3</x:v>
      </x:c>
      <x:c r="AA852" t="str">
        <x:f>IF(ISBLANK(B852),"",TEXT(B852,"mmm"))</x:f>
        <x:v>Jun</x:v>
      </x:c>
      <x:c r="AB852" s="9" t="n">
        <x:f>IF(ISBLANK(B852),"",YEAR(B852))</x:f>
        <x:v>2024</x:v>
      </x:c>
      <x:c r="AC852" s="10" t="str"/>
      <x:c r="AD852" t="str">
        <x:f>IF(AND(U852="Completed",T852="Paid",ISERROR(SEARCH("INVALID",AC852)),ISERROR(SEARCH("REVIEW",AC852))),"Include","Exclude")</x:f>
        <x:v>Include</x:v>
      </x:c>
      <x:c r="AE852" t="str">
        <x:f>IF(T852="Refunded","Refunded","")</x:f>
      </x:c>
    </x:row>
    <x:row r="853">
      <x:c r="A853" t="str">
        <x:v>ORD-2024-10852</x:v>
      </x:c>
      <x:c r="B853" s="5" t="n">
        <x:v>45377</x:v>
      </x:c>
      <x:c r="C853" s="5" t="n">
        <x:v>45383</x:v>
      </x:c>
      <x:c r="D853" t="str">
        <x:v>CUST-3175</x:v>
      </x:c>
      <x:c r="E853" t="str">
        <x:v>Karan Malhotra</x:v>
      </x:c>
      <x:c r="F853" t="str">
        <x:v>Small Business</x:v>
      </x:c>
      <x:c r="G853" t="str">
        <x:v>West</x:v>
      </x:c>
      <x:c r="H853" t="str">
        <x:v>Gujarat</x:v>
      </x:c>
      <x:c r="I853" t="str">
        <x:v>Ahmedabad</x:v>
      </x:c>
      <x:c r="J853" t="str">
        <x:v>Technology</x:v>
      </x:c>
      <x:c r="K853" t="str">
        <x:v>Accessories</x:v>
      </x:c>
      <x:c r="L853" t="str">
        <x:v>Classic Accessories 933</x:v>
      </x:c>
      <x:c r="M853" t="str">
        <x:v>First Class</x:v>
      </x:c>
      <x:c r="N853" t="n">
        <x:v>2</x:v>
      </x:c>
      <x:c r="O853" s="7" t="n">
        <x:v>1161.3</x:v>
      </x:c>
      <x:c r="P853" s="6" t="n">
        <x:v>0.2</x:v>
      </x:c>
      <x:c r="Q853" s="7" t="n">
        <x:v>1858.08</x:v>
      </x:c>
      <x:c r="R853" s="7" t="n">
        <x:v>1590.75</x:v>
      </x:c>
      <x:c r="S853" s="7" t="n">
        <x:v>267.33</x:v>
      </x:c>
      <x:c r="T853" t="str">
        <x:v>Paid</x:v>
      </x:c>
      <x:c r="U853" t="str">
        <x:v>Completed</x:v>
      </x:c>
      <x:c r="V853" s="6" t="n">
        <x:f>IF(ISBLANK(P853),IF(AND(ISNUMBER(N853),N853&gt;0,ISNUMBER(O853),O853&gt;=0,ISNUMBER(Q853),Q853&gt;=0,ISNUMBER(R853),R853&gt;=0,ISNUMBER(S853)),0,""),P853)</x:f>
        <x:v>0.2</x:v>
      </x:c>
      <x:c r="W853" s="7" t="n">
        <x:f>IF(ISBLANK(V853),"",N853*O853*(1-V853))</x:f>
        <x:v>1858.08</x:v>
      </x:c>
      <x:c r="X853" s="7" t="n">
        <x:f>IF(OR(ISBLANK(W853),ISBLANK(R853)),"",W853-R853)</x:f>
        <x:v>267.3299999999999</x:v>
      </x:c>
      <x:c r="Y853" s="8" t="n">
        <x:f>IF(OR(ISBLANK(W853),W853=0),"",X853/W853)</x:f>
        <x:v>0.14387432188065097</x:v>
      </x:c>
      <x:c r="Z853" s="9" t="n">
        <x:f>IF(OR(ISBLANK(B853),ISBLANK(C853)),"",C853-B853)</x:f>
        <x:v>6</x:v>
      </x:c>
      <x:c r="AA853" t="str">
        <x:f>IF(ISBLANK(B853),"",TEXT(B853,"mmm"))</x:f>
        <x:v>Mar</x:v>
      </x:c>
      <x:c r="AB853" s="9" t="n">
        <x:f>IF(ISBLANK(B853),"",YEAR(B853))</x:f>
        <x:v>2024</x:v>
      </x:c>
      <x:c r="AC853" s="10" t="str"/>
      <x:c r="AD853" t="str">
        <x:f>IF(AND(U853="Completed",T853="Paid",ISERROR(SEARCH("INVALID",AC853)),ISERROR(SEARCH("REVIEW",AC853))),"Include","Exclude")</x:f>
        <x:v>Include</x:v>
      </x:c>
      <x:c r="AE853" t="str">
        <x:f>IF(T853="Refunded","Refunded","")</x:f>
      </x:c>
    </x:row>
    <x:row r="854">
      <x:c r="A854" t="str">
        <x:v>ORD-2024-10853</x:v>
      </x:c>
      <x:c r="B854" s="5" t="n">
        <x:v>45383</x:v>
      </x:c>
      <x:c r="C854" s="5" t="n">
        <x:v>45390</x:v>
      </x:c>
      <x:c r="D854" t="str">
        <x:v>CUST-9630</x:v>
      </x:c>
      <x:c r="E854" t="str">
        <x:v>Ananya Rao</x:v>
      </x:c>
      <x:c r="F854" t="str">
        <x:v>Consumer</x:v>
      </x:c>
      <x:c r="G854" t="str">
        <x:v>East</x:v>
      </x:c>
      <x:c r="H854" t="str">
        <x:v>Assam</x:v>
      </x:c>
      <x:c r="I854" t="str">
        <x:v>Guwahati</x:v>
      </x:c>
      <x:c r="J854" t="str">
        <x:v>Furniture</x:v>
      </x:c>
      <x:c r="K854" t="str">
        <x:v>Tables</x:v>
      </x:c>
      <x:c r="L854" t="str">
        <x:v>Smart Tables 513</x:v>
      </x:c>
      <x:c r="M854" t="str">
        <x:v>Second Class</x:v>
      </x:c>
      <x:c r="N854" t="n">
        <x:v>7</x:v>
      </x:c>
      <x:c r="O854" s="7" t="n">
        <x:v>4205.35</x:v>
      </x:c>
      <x:c r="P854" s="6" t="n">
        <x:v>0.15</x:v>
      </x:c>
      <x:c r="Q854" s="7" t="n">
        <x:v>25021.83</x:v>
      </x:c>
      <x:c r="R854" s="7" t="n">
        <x:v>15544.44</x:v>
      </x:c>
      <x:c r="S854" s="7" t="n">
        <x:v>9477.39</x:v>
      </x:c>
      <x:c r="T854" t="str">
        <x:v>Pending</x:v>
      </x:c>
      <x:c r="U854" t="str">
        <x:v>Cancelled</x:v>
      </x:c>
      <x:c r="V854" s="6" t="n">
        <x:f>IF(ISBLANK(P854),IF(AND(ISNUMBER(N854),N854&gt;0,ISNUMBER(O854),O854&gt;=0,ISNUMBER(Q854),Q854&gt;=0,ISNUMBER(R854),R854&gt;=0,ISNUMBER(S854)),0,""),P854)</x:f>
        <x:v>0.15</x:v>
      </x:c>
      <x:c r="W854" s="7" t="n">
        <x:f>IF(ISBLANK(V854),"",N854*O854*(1-V854))</x:f>
        <x:v>25021.832500000004</x:v>
      </x:c>
      <x:c r="X854" s="7" t="n">
        <x:f>IF(OR(ISBLANK(W854),ISBLANK(R854)),"",W854-R854)</x:f>
        <x:v>9477.392500000004</x:v>
      </x:c>
      <x:c r="Y854" s="8" t="n">
        <x:f>IF(OR(ISBLANK(W854),W854=0),"",X854/W854)</x:f>
        <x:v>0.37876492459135447</x:v>
      </x:c>
      <x:c r="Z854" s="9" t="n">
        <x:f>IF(OR(ISBLANK(B854),ISBLANK(C854)),"",C854-B854)</x:f>
        <x:v>7</x:v>
      </x:c>
      <x:c r="AA854" t="str">
        <x:f>IF(ISBLANK(B854),"",TEXT(B854,"mmm"))</x:f>
        <x:v>Apr</x:v>
      </x:c>
      <x:c r="AB854" s="9" t="n">
        <x:f>IF(ISBLANK(B854),"",YEAR(B854))</x:f>
        <x:v>2024</x:v>
      </x:c>
      <x:c r="AC854" s="10" t="str">
        <x:v>EXCLUDE: Cancelled order</x:v>
      </x:c>
      <x:c r="AD854" t="str">
        <x:f>IF(AND(U854="Completed",T854="Paid",ISERROR(SEARCH("INVALID",AC854)),ISERROR(SEARCH("REVIEW",AC854))),"Include","Exclude")</x:f>
        <x:v>Exclude</x:v>
      </x:c>
      <x:c r="AE854" t="str">
        <x:f>IF(T854="Refunded","Refunded","")</x:f>
      </x:c>
    </x:row>
    <x:row r="855">
      <x:c r="A855" t="str">
        <x:v>ORD-2025-10854</x:v>
      </x:c>
      <x:c r="B855" s="5" t="n">
        <x:v>45793</x:v>
      </x:c>
      <x:c r="C855" s="5" t="n">
        <x:v>45799</x:v>
      </x:c>
      <x:c r="D855" t="str">
        <x:v>CUST-8274</x:v>
      </x:c>
      <x:c r="E855" t="str">
        <x:v>Arjun Bose</x:v>
      </x:c>
      <x:c r="F855" t="str">
        <x:v>Corporate</x:v>
      </x:c>
      <x:c r="G855" t="str">
        <x:v>South</x:v>
      </x:c>
      <x:c r="H855" t="str">
        <x:v>Tamil Nadu</x:v>
      </x:c>
      <x:c r="I855" t="str">
        <x:v>Chennai</x:v>
      </x:c>
      <x:c r="J855" t="str">
        <x:v>Technology</x:v>
      </x:c>
      <x:c r="K855" t="str">
        <x:v>Accessories</x:v>
      </x:c>
      <x:c r="L855" t="str">
        <x:v>Elite Accessories 708</x:v>
      </x:c>
      <x:c r="M855" t="str">
        <x:v>Same Day</x:v>
      </x:c>
      <x:c r="N855" t="n">
        <x:v>8</x:v>
      </x:c>
      <x:c r="O855" s="7" t="n">
        <x:v>579.8</x:v>
      </x:c>
      <x:c r="P855" s="6" t="n">
        <x:v>0.2</x:v>
      </x:c>
      <x:c r="Q855" s="7" t="n">
        <x:v>3710.72</x:v>
      </x:c>
      <x:c r="R855" s="7" t="n">
        <x:v>3115.29</x:v>
      </x:c>
      <x:c r="S855" s="7" t="n">
        <x:v>595.43</x:v>
      </x:c>
      <x:c r="T855" t="str">
        <x:v>Paid</x:v>
      </x:c>
      <x:c r="U855" t="str">
        <x:v>Completed</x:v>
      </x:c>
      <x:c r="V855" s="6" t="n">
        <x:f>IF(ISBLANK(P855),IF(AND(ISNUMBER(N855),N855&gt;0,ISNUMBER(O855),O855&gt;=0,ISNUMBER(Q855),Q855&gt;=0,ISNUMBER(R855),R855&gt;=0,ISNUMBER(S855)),0,""),P855)</x:f>
        <x:v>0.2</x:v>
      </x:c>
      <x:c r="W855" s="7" t="n">
        <x:f>IF(ISBLANK(V855),"",N855*O855*(1-V855))</x:f>
        <x:v>3710.72</x:v>
      </x:c>
      <x:c r="X855" s="7" t="n">
        <x:f>IF(OR(ISBLANK(W855),ISBLANK(R855)),"",W855-R855)</x:f>
        <x:v>595.4299999999998</x:v>
      </x:c>
      <x:c r="Y855" s="8" t="n">
        <x:f>IF(OR(ISBLANK(W855),W855=0),"",X855/W855)</x:f>
        <x:v>0.16046212055881334</x:v>
      </x:c>
      <x:c r="Z855" s="9" t="n">
        <x:f>IF(OR(ISBLANK(B855),ISBLANK(C855)),"",C855-B855)</x:f>
        <x:v>6</x:v>
      </x:c>
      <x:c r="AA855" t="str">
        <x:f>IF(ISBLANK(B855),"",TEXT(B855,"mmm"))</x:f>
        <x:v>May</x:v>
      </x:c>
      <x:c r="AB855" s="9" t="n">
        <x:f>IF(ISBLANK(B855),"",YEAR(B855))</x:f>
        <x:v>2025</x:v>
      </x:c>
      <x:c r="AC855" s="10" t="str"/>
      <x:c r="AD855" t="str">
        <x:f>IF(AND(U855="Completed",T855="Paid",ISERROR(SEARCH("INVALID",AC855)),ISERROR(SEARCH("REVIEW",AC855))),"Include","Exclude")</x:f>
        <x:v>Include</x:v>
      </x:c>
      <x:c r="AE855" t="str">
        <x:f>IF(T855="Refunded","Refunded","")</x:f>
      </x:c>
    </x:row>
    <x:row r="856">
      <x:c r="A856" t="str">
        <x:v>ORD-2025-10855</x:v>
      </x:c>
      <x:c r="B856" s="5" t="n">
        <x:v>45741</x:v>
      </x:c>
      <x:c r="C856" s="5" t="n">
        <x:v>45749</x:v>
      </x:c>
      <x:c r="D856" t="str">
        <x:v>CUST-2514</x:v>
      </x:c>
      <x:c r="E856" t="str">
        <x:v>Priya Menon</x:v>
      </x:c>
      <x:c r="F856" t="str">
        <x:v>Consumer</x:v>
      </x:c>
      <x:c r="G856" t="str">
        <x:v>South</x:v>
      </x:c>
      <x:c r="H856" t="str">
        <x:v>Karnataka</x:v>
      </x:c>
      <x:c r="I856" t="str">
        <x:v>Bengaluru</x:v>
      </x:c>
      <x:c r="J856" t="str">
        <x:v>Furniture</x:v>
      </x:c>
      <x:c r="K856" t="str">
        <x:v>Bookcases</x:v>
      </x:c>
      <x:c r="L856" t="str">
        <x:v>Max Bookcases 381</x:v>
      </x:c>
      <x:c r="M856" t="str">
        <x:v>Second Class</x:v>
      </x:c>
      <x:c r="N856" t="n">
        <x:v>4</x:v>
      </x:c>
      <x:c r="O856" s="7" t="n">
        <x:v>2233.64</x:v>
      </x:c>
      <x:c r="P856" s="6" t="n">
        <x:v>0.05</x:v>
      </x:c>
      <x:c r="Q856" s="7" t="n">
        <x:v>8487.83</x:v>
      </x:c>
      <x:c r="R856" s="7" t="n">
        <x:v>5245.72</x:v>
      </x:c>
      <x:c r="S856" s="7" t="n">
        <x:v>3242.11</x:v>
      </x:c>
      <x:c r="T856" t="str">
        <x:v>Paid</x:v>
      </x:c>
      <x:c r="U856" t="str">
        <x:v>Completed</x:v>
      </x:c>
      <x:c r="V856" s="6" t="n">
        <x:f>IF(ISBLANK(P856),IF(AND(ISNUMBER(N856),N856&gt;0,ISNUMBER(O856),O856&gt;=0,ISNUMBER(Q856),Q856&gt;=0,ISNUMBER(R856),R856&gt;=0,ISNUMBER(S856)),0,""),P856)</x:f>
        <x:v>0.05</x:v>
      </x:c>
      <x:c r="W856" s="7" t="n">
        <x:f>IF(ISBLANK(V856),"",N856*O856*(1-V856))</x:f>
        <x:v>8487.831999999999</x:v>
      </x:c>
      <x:c r="X856" s="7" t="n">
        <x:f>IF(OR(ISBLANK(W856),ISBLANK(R856)),"",W856-R856)</x:f>
        <x:v>3242.1119999999983</x:v>
      </x:c>
      <x:c r="Y856" s="8" t="n">
        <x:f>IF(OR(ISBLANK(W856),W856=0),"",X856/W856)</x:f>
        <x:v>0.3819717449638493</x:v>
      </x:c>
      <x:c r="Z856" s="9" t="n">
        <x:f>IF(OR(ISBLANK(B856),ISBLANK(C856)),"",C856-B856)</x:f>
        <x:v>8</x:v>
      </x:c>
      <x:c r="AA856" t="str">
        <x:f>IF(ISBLANK(B856),"",TEXT(B856,"mmm"))</x:f>
        <x:v>Mar</x:v>
      </x:c>
      <x:c r="AB856" s="9" t="n">
        <x:f>IF(ISBLANK(B856),"",YEAR(B856))</x:f>
        <x:v>2025</x:v>
      </x:c>
      <x:c r="AC856" s="10" t="str"/>
      <x:c r="AD856" t="str">
        <x:f>IF(AND(U856="Completed",T856="Paid",ISERROR(SEARCH("INVALID",AC856)),ISERROR(SEARCH("REVIEW",AC856))),"Include","Exclude")</x:f>
        <x:v>Include</x:v>
      </x:c>
      <x:c r="AE856" t="str">
        <x:f>IF(T856="Refunded","Refunded","")</x:f>
      </x:c>
    </x:row>
    <x:row r="857">
      <x:c r="A857" t="str">
        <x:v>ORD-2024-10856</x:v>
      </x:c>
      <x:c r="B857" s="5" t="n">
        <x:v>45498</x:v>
      </x:c>
      <x:c r="C857" s="5" t="n">
        <x:v>45506</x:v>
      </x:c>
      <x:c r="D857" t="str">
        <x:v>CUST-2752</x:v>
      </x:c>
      <x:c r="E857" t="str">
        <x:v>Rahul Verma</x:v>
      </x:c>
      <x:c r="F857" t="str">
        <x:v>Consumer</x:v>
      </x:c>
      <x:c r="G857" t="str">
        <x:v>North</x:v>
      </x:c>
      <x:c r="H857" t="str">
        <x:v>Rajasthan</x:v>
      </x:c>
      <x:c r="I857" t="str">
        <x:v>Jaipur</x:v>
      </x:c>
      <x:c r="J857" t="str">
        <x:v>Office Supplies</x:v>
      </x:c>
      <x:c r="K857" t="str">
        <x:v>Labels</x:v>
      </x:c>
      <x:c r="L857" t="str">
        <x:v>Classic Labels 215</x:v>
      </x:c>
      <x:c r="M857" t="str">
        <x:v>Second Class</x:v>
      </x:c>
      <x:c r="N857" t="n">
        <x:v>2</x:v>
      </x:c>
      <x:c r="O857" s="7" t="n">
        <x:v>2073.53</x:v>
      </x:c>
      <x:c r="P857" s="6" t="n">
        <x:v>0.25</x:v>
      </x:c>
      <x:c r="Q857" s="7" t="n">
        <x:v>3110.3</x:v>
      </x:c>
      <x:c r="R857" s="7" t="n">
        <x:v>2101.03</x:v>
      </x:c>
      <x:c r="S857" s="7" t="n">
        <x:v>1009.27</x:v>
      </x:c>
      <x:c r="T857" t="str">
        <x:v>Paid</x:v>
      </x:c>
      <x:c r="U857" t="str">
        <x:v>Completed</x:v>
      </x:c>
      <x:c r="V857" s="6" t="n">
        <x:f>IF(ISBLANK(P857),IF(AND(ISNUMBER(N857),N857&gt;0,ISNUMBER(O857),O857&gt;=0,ISNUMBER(Q857),Q857&gt;=0,ISNUMBER(R857),R857&gt;=0,ISNUMBER(S857)),0,""),P857)</x:f>
        <x:v>0.25</x:v>
      </x:c>
      <x:c r="W857" s="7" t="n">
        <x:f>IF(ISBLANK(V857),"",N857*O857*(1-V857))</x:f>
        <x:v>3110.295</x:v>
      </x:c>
      <x:c r="X857" s="7" t="n">
        <x:f>IF(OR(ISBLANK(W857),ISBLANK(R857)),"",W857-R857)</x:f>
        <x:v>1009.2649999999999</x:v>
      </x:c>
      <x:c r="Y857" s="8" t="n">
        <x:f>IF(OR(ISBLANK(W857),W857=0),"",X857/W857)</x:f>
        <x:v>0.32449172827657824</x:v>
      </x:c>
      <x:c r="Z857" s="9" t="n">
        <x:f>IF(OR(ISBLANK(B857),ISBLANK(C857)),"",C857-B857)</x:f>
        <x:v>8</x:v>
      </x:c>
      <x:c r="AA857" t="str">
        <x:f>IF(ISBLANK(B857),"",TEXT(B857,"mmm"))</x:f>
        <x:v>Jul</x:v>
      </x:c>
      <x:c r="AB857" s="9" t="n">
        <x:f>IF(ISBLANK(B857),"",YEAR(B857))</x:f>
        <x:v>2024</x:v>
      </x:c>
      <x:c r="AC857" s="10" t="str"/>
      <x:c r="AD857" t="str">
        <x:f>IF(AND(U857="Completed",T857="Paid",ISERROR(SEARCH("INVALID",AC857)),ISERROR(SEARCH("REVIEW",AC857))),"Include","Exclude")</x:f>
        <x:v>Include</x:v>
      </x:c>
      <x:c r="AE857" t="str">
        <x:f>IF(T857="Refunded","Refunded","")</x:f>
      </x:c>
    </x:row>
    <x:row r="858">
      <x:c r="A858" t="str">
        <x:v>ORD-2024-10857</x:v>
      </x:c>
      <x:c r="B858" s="5" t="n">
        <x:v>45455</x:v>
      </x:c>
      <x:c r="C858" s="5" t="n">
        <x:v>45462</x:v>
      </x:c>
      <x:c r="D858" t="str">
        <x:v>CUST-5647</x:v>
      </x:c>
      <x:c r="E858" t="str">
        <x:v>Rohan Mehta</x:v>
      </x:c>
      <x:c r="F858" t="str">
        <x:v>Home Office</x:v>
      </x:c>
      <x:c r="G858" t="str">
        <x:v>South</x:v>
      </x:c>
      <x:c r="H858" t="str">
        <x:v>Tamil Nadu</x:v>
      </x:c>
      <x:c r="I858" t="str">
        <x:v>Chennai</x:v>
      </x:c>
      <x:c r="J858" t="str">
        <x:v>Office Supplies</x:v>
      </x:c>
      <x:c r="K858" t="str">
        <x:v>Storage</x:v>
      </x:c>
      <x:c r="L858" t="str">
        <x:v>Classic Storage 918</x:v>
      </x:c>
      <x:c r="M858" t="str">
        <x:v>Standard Class</x:v>
      </x:c>
      <x:c r="N858" t="n">
        <x:v>4</x:v>
      </x:c>
      <x:c r="O858" s="7" t="n">
        <x:v>395.1</x:v>
      </x:c>
      <x:c r="P858" s="6" t="n">
        <x:v>-0.16</x:v>
      </x:c>
      <x:c r="Q858" s="7" t="n">
        <x:v>1185.3</x:v>
      </x:c>
      <x:c r="R858" s="7" t="n">
        <x:v>966.55</x:v>
      </x:c>
      <x:c r="S858" s="7" t="n">
        <x:v>218.75</x:v>
      </x:c>
      <x:c r="T858" t="str">
        <x:v>Failed</x:v>
      </x:c>
      <x:c r="U858" t="str">
        <x:v>Cancelled</x:v>
      </x:c>
      <x:c r="V858" s="6" t="n">
        <x:f>IF(ISBLANK(P858),IF(AND(ISNUMBER(N858),N858&gt;0,ISNUMBER(O858),O858&gt;=0,ISNUMBER(Q858),Q858&gt;=0,ISNUMBER(R858),R858&gt;=0,ISNUMBER(S858)),0,""),P858)</x:f>
        <x:v>-0.16</x:v>
      </x:c>
      <x:c r="W858" s="7" t="n">
        <x:f>IF(ISBLANK(V858),"",N858*O858*(1-V858))</x:f>
        <x:v>1833.264</x:v>
      </x:c>
      <x:c r="X858" s="7" t="n">
        <x:f>IF(OR(ISBLANK(W858),ISBLANK(R858)),"",W858-R858)</x:f>
        <x:v>866.7139999999999</x:v>
      </x:c>
      <x:c r="Y858" s="8" t="n">
        <x:f>IF(OR(ISBLANK(W858),W858=0),"",X858/W858)</x:f>
        <x:v>0.47277097024760206</x:v>
      </x:c>
      <x:c r="Z858" s="9" t="n">
        <x:f>IF(OR(ISBLANK(B858),ISBLANK(C858)),"",C858-B858)</x:f>
        <x:v>7</x:v>
      </x:c>
      <x:c r="AA858" t="str">
        <x:f>IF(ISBLANK(B858),"",TEXT(B858,"mmm"))</x:f>
        <x:v>Jun</x:v>
      </x:c>
      <x:c r="AB858" s="9" t="n">
        <x:f>IF(ISBLANK(B858),"",YEAR(B858))</x:f>
        <x:v>2024</x:v>
      </x:c>
      <x:c r="AC858" s="10" t="str">
        <x:v>INVALID: Negative discount; EXCLUDE: Cancelled order; EXCLUDE: Failed payment</x:v>
      </x:c>
      <x:c r="AD858" t="str">
        <x:f>IF(AND(U858="Completed",T858="Paid",ISERROR(SEARCH("INVALID",AC858)),ISERROR(SEARCH("REVIEW",AC858))),"Include","Exclude")</x:f>
        <x:v>Exclude</x:v>
      </x:c>
      <x:c r="AE858" t="str">
        <x:f>IF(T858="Refunded","Refunded","")</x:f>
      </x:c>
    </x:row>
    <x:row r="859">
      <x:c r="A859" t="str">
        <x:v>ORD-2024-10858</x:v>
      </x:c>
      <x:c r="B859" s="5" t="n">
        <x:v>45447</x:v>
      </x:c>
      <x:c r="C859" s="5" t="n">
        <x:v>45447</x:v>
      </x:c>
      <x:c r="D859" t="str">
        <x:v>CUST-8575</x:v>
      </x:c>
      <x:c r="E859" t="str">
        <x:v>Sneha Kapoor</x:v>
      </x:c>
      <x:c r="F859" t="str">
        <x:v>Home Office</x:v>
      </x:c>
      <x:c r="G859" t="str">
        <x:v>South</x:v>
      </x:c>
      <x:c r="H859" t="str">
        <x:v>Kerala</x:v>
      </x:c>
      <x:c r="I859" t="str">
        <x:v>Kochi</x:v>
      </x:c>
      <x:c r="J859" t="str">
        <x:v>Office Supplies</x:v>
      </x:c>
      <x:c r="K859" t="str">
        <x:v>Storage</x:v>
      </x:c>
      <x:c r="L859" t="str">
        <x:v>Max Storage 223</x:v>
      </x:c>
      <x:c r="M859" t="str">
        <x:v>First Class</x:v>
      </x:c>
      <x:c r="N859" t="n">
        <x:v>6</x:v>
      </x:c>
      <x:c r="O859" s="7" t="n">
        <x:v>2708.97</x:v>
      </x:c>
      <x:c r="P859" s="6" t="n">
        <x:v>0.25</x:v>
      </x:c>
      <x:c r="Q859" s="7" t="n">
        <x:v>12190.36</x:v>
      </x:c>
      <x:c r="R859" s="7" t="n">
        <x:v>10176.99</x:v>
      </x:c>
      <x:c r="S859" s="7" t="n">
        <x:v>2013.37</x:v>
      </x:c>
      <x:c r="T859" t="str">
        <x:v>Paid</x:v>
      </x:c>
      <x:c r="U859" t="str">
        <x:v>Completed</x:v>
      </x:c>
      <x:c r="V859" s="6" t="n">
        <x:f>IF(ISBLANK(P859),IF(AND(ISNUMBER(N859),N859&gt;0,ISNUMBER(O859),O859&gt;=0,ISNUMBER(Q859),Q859&gt;=0,ISNUMBER(R859),R859&gt;=0,ISNUMBER(S859)),0,""),P859)</x:f>
        <x:v>0.25</x:v>
      </x:c>
      <x:c r="W859" s="7" t="n">
        <x:f>IF(ISBLANK(V859),"",N859*O859*(1-V859))</x:f>
        <x:v>12190.365</x:v>
      </x:c>
      <x:c r="X859" s="7" t="n">
        <x:f>IF(OR(ISBLANK(W859),ISBLANK(R859)),"",W859-R859)</x:f>
        <x:v>2013.375</x:v>
      </x:c>
      <x:c r="Y859" s="8" t="n">
        <x:f>IF(OR(ISBLANK(W859),W859=0),"",X859/W859)</x:f>
        <x:v>0.16516117441930575</x:v>
      </x:c>
      <x:c r="Z859" s="9" t="n">
        <x:f>IF(OR(ISBLANK(B859),ISBLANK(C859)),"",C859-B859)</x:f>
        <x:v>0</x:v>
      </x:c>
      <x:c r="AA859" t="str">
        <x:f>IF(ISBLANK(B859),"",TEXT(B859,"mmm"))</x:f>
        <x:v>Jun</x:v>
      </x:c>
      <x:c r="AB859" s="9" t="n">
        <x:f>IF(ISBLANK(B859),"",YEAR(B859))</x:f>
        <x:v>2024</x:v>
      </x:c>
      <x:c r="AC859" s="10" t="str"/>
      <x:c r="AD859" t="str">
        <x:f>IF(AND(U859="Completed",T859="Paid",ISERROR(SEARCH("INVALID",AC859)),ISERROR(SEARCH("REVIEW",AC859))),"Include","Exclude")</x:f>
        <x:v>Include</x:v>
      </x:c>
      <x:c r="AE859" t="str">
        <x:f>IF(T859="Refunded","Refunded","")</x:f>
      </x:c>
    </x:row>
    <x:row r="860">
      <x:c r="A860" t="str">
        <x:v>ORD-2024-10859</x:v>
      </x:c>
      <x:c r="B860" s="5" t="n">
        <x:v>45414</x:v>
      </x:c>
      <x:c r="C860" s="5" t="n">
        <x:v>45421</x:v>
      </x:c>
      <x:c r="D860" t="str">
        <x:v>CUST-9576</x:v>
      </x:c>
      <x:c r="E860" t="str">
        <x:v>Arjun Bose</x:v>
      </x:c>
      <x:c r="F860" t="str">
        <x:v>Consumer</x:v>
      </x:c>
      <x:c r="G860" t="str">
        <x:v>East</x:v>
      </x:c>
      <x:c r="H860" t="str">
        <x:v>Odisha</x:v>
      </x:c>
      <x:c r="I860" t="str">
        <x:v>Bhubaneswar</x:v>
      </x:c>
      <x:c r="J860" t="str">
        <x:v>Technology</x:v>
      </x:c>
      <x:c r="K860" t="str">
        <x:v>Accessories</x:v>
      </x:c>
      <x:c r="L860" t="str">
        <x:v>Basic Accessories 602</x:v>
      </x:c>
      <x:c r="M860" t="str">
        <x:v>Second Class</x:v>
      </x:c>
      <x:c r="N860" t="n">
        <x:v>4</x:v>
      </x:c>
      <x:c r="O860" s="7" t="n">
        <x:v>2904.86</x:v>
      </x:c>
      <x:c r="P860" s="6" t="n">
        <x:v>0</x:v>
      </x:c>
      <x:c r="Q860" s="7" t="n">
        <x:v>11619.44</x:v>
      </x:c>
      <x:c r="R860" s="7" t="n">
        <x:v>7184.32</x:v>
      </x:c>
      <x:c r="S860" s="7" t="n">
        <x:v>4494.64</x:v>
      </x:c>
      <x:c r="T860" t="str">
        <x:v>Paid</x:v>
      </x:c>
      <x:c r="U860" t="str">
        <x:v>Completed</x:v>
      </x:c>
      <x:c r="V860" s="6" t="n">
        <x:f>IF(ISBLANK(P860),IF(AND(ISNUMBER(N860),N860&gt;0,ISNUMBER(O860),O860&gt;=0,ISNUMBER(Q860),Q860&gt;=0,ISNUMBER(R860),R860&gt;=0,ISNUMBER(S860)),0,""),P860)</x:f>
        <x:v>0</x:v>
      </x:c>
      <x:c r="W860" s="7" t="n">
        <x:f>IF(ISBLANK(V860),"",N860*O860*(1-V860))</x:f>
        <x:v>11619.44</x:v>
      </x:c>
      <x:c r="X860" s="7" t="n">
        <x:f>IF(OR(ISBLANK(W860),ISBLANK(R860)),"",W860-R860)</x:f>
        <x:v>4435.120000000001</x:v>
      </x:c>
      <x:c r="Y860" s="8" t="n">
        <x:f>IF(OR(ISBLANK(W860),W860=0),"",X860/W860)</x:f>
        <x:v>0.3816982574031107</x:v>
      </x:c>
      <x:c r="Z860" s="9" t="n">
        <x:f>IF(OR(ISBLANK(B860),ISBLANK(C860)),"",C860-B860)</x:f>
        <x:v>7</x:v>
      </x:c>
      <x:c r="AA860" t="str">
        <x:f>IF(ISBLANK(B860),"",TEXT(B860,"mmm"))</x:f>
        <x:v>May</x:v>
      </x:c>
      <x:c r="AB860" s="9" t="n">
        <x:f>IF(ISBLANK(B860),"",YEAR(B860))</x:f>
        <x:v>2024</x:v>
      </x:c>
      <x:c r="AC860" s="10" t="str"/>
      <x:c r="AD860" t="str">
        <x:f>IF(AND(U860="Completed",T860="Paid",ISERROR(SEARCH("INVALID",AC860)),ISERROR(SEARCH("REVIEW",AC860))),"Include","Exclude")</x:f>
        <x:v>Include</x:v>
      </x:c>
      <x:c r="AE860" t="str">
        <x:f>IF(T860="Refunded","Refunded","")</x:f>
      </x:c>
    </x:row>
    <x:row r="861">
      <x:c r="A861" t="str">
        <x:v>ORD-2024-10860</x:v>
      </x:c>
      <x:c r="B861" s="5" t="n">
        <x:v>45592</x:v>
      </x:c>
      <x:c r="C861" s="5" t="n">
        <x:v>45597</x:v>
      </x:c>
      <x:c r="D861" t="str">
        <x:v>CUST-2395</x:v>
      </x:c>
      <x:c r="E861" t="str">
        <x:v>Aditi Sen</x:v>
      </x:c>
      <x:c r="F861" t="str">
        <x:v>Corporate</x:v>
      </x:c>
      <x:c r="G861" t="str">
        <x:v>South</x:v>
      </x:c>
      <x:c r="H861" t="str">
        <x:v>Tamil Nadu</x:v>
      </x:c>
      <x:c r="I861" t="str">
        <x:v>Chennai</x:v>
      </x:c>
      <x:c r="J861" t="str">
        <x:v>Technology</x:v>
      </x:c>
      <x:c r="K861" t="str">
        <x:v>Phones</x:v>
      </x:c>
      <x:c r="L861" t="str">
        <x:v>Elite Phones 394</x:v>
      </x:c>
      <x:c r="M861" t="str">
        <x:v>Standard Class</x:v>
      </x:c>
      <x:c r="N861" t="n">
        <x:v>6</x:v>
      </x:c>
      <x:c r="O861" s="7" t="n">
        <x:v>4399.2</x:v>
      </x:c>
      <x:c r="P861" s="6" t="n">
        <x:v>0.05</x:v>
      </x:c>
      <x:c r="Q861" s="7" t="n">
        <x:v>25075.44</x:v>
      </x:c>
      <x:c r="R861" s="7" t="n">
        <x:v>16282.74</x:v>
      </x:c>
      <x:c r="S861" s="7" t="n">
        <x:v>8792.7</x:v>
      </x:c>
      <x:c r="T861" t="str">
        <x:v>Paid</x:v>
      </x:c>
      <x:c r="U861" t="str">
        <x:v>Completed</x:v>
      </x:c>
      <x:c r="V861" s="6" t="n">
        <x:f>IF(ISBLANK(P861),IF(AND(ISNUMBER(N861),N861&gt;0,ISNUMBER(O861),O861&gt;=0,ISNUMBER(Q861),Q861&gt;=0,ISNUMBER(R861),R861&gt;=0,ISNUMBER(S861)),0,""),P861)</x:f>
        <x:v>0.05</x:v>
      </x:c>
      <x:c r="W861" s="7" t="n">
        <x:f>IF(ISBLANK(V861),"",N861*O861*(1-V861))</x:f>
        <x:v>25075.439999999995</x:v>
      </x:c>
      <x:c r="X861" s="7" t="n">
        <x:f>IF(OR(ISBLANK(W861),ISBLANK(R861)),"",W861-R861)</x:f>
        <x:v>8792.699999999995</x:v>
      </x:c>
      <x:c r="Y861" s="8" t="n">
        <x:f>IF(OR(ISBLANK(W861),W861=0),"",X861/W861)</x:f>
        <x:v>0.3506498789253547</x:v>
      </x:c>
      <x:c r="Z861" s="9" t="n">
        <x:f>IF(OR(ISBLANK(B861),ISBLANK(C861)),"",C861-B861)</x:f>
        <x:v>5</x:v>
      </x:c>
      <x:c r="AA861" t="str">
        <x:f>IF(ISBLANK(B861),"",TEXT(B861,"mmm"))</x:f>
        <x:v>Oct</x:v>
      </x:c>
      <x:c r="AB861" s="9" t="n">
        <x:f>IF(ISBLANK(B861),"",YEAR(B861))</x:f>
        <x:v>2024</x:v>
      </x:c>
      <x:c r="AC861" s="10" t="str"/>
      <x:c r="AD861" t="str">
        <x:f>IF(AND(U861="Completed",T861="Paid",ISERROR(SEARCH("INVALID",AC861)),ISERROR(SEARCH("REVIEW",AC861))),"Include","Exclude")</x:f>
        <x:v>Include</x:v>
      </x:c>
      <x:c r="AE861" t="str">
        <x:f>IF(T861="Refunded","Refunded","")</x:f>
      </x:c>
    </x:row>
    <x:row r="862">
      <x:c r="A862" t="str">
        <x:v>ORD-2024-10861</x:v>
      </x:c>
      <x:c r="B862" s="5" t="n">
        <x:v>45324</x:v>
      </x:c>
      <x:c r="C862" s="5" t="n">
        <x:v>45326</x:v>
      </x:c>
      <x:c r="D862" t="str">
        <x:v>CUST-8941</x:v>
      </x:c>
      <x:c r="E862" t="str">
        <x:v>Vikram Iyer</x:v>
      </x:c>
      <x:c r="F862" t="str">
        <x:v>Home Office</x:v>
      </x:c>
      <x:c r="G862" t="str">
        <x:v>North</x:v>
      </x:c>
      <x:c r="H862" t="str">
        <x:v>Uttar Pradesh</x:v>
      </x:c>
      <x:c r="I862" t="str">
        <x:v>Noida</x:v>
      </x:c>
      <x:c r="J862" t="str">
        <x:v>Office Supplies</x:v>
      </x:c>
      <x:c r="K862" t="str">
        <x:v>Storage</x:v>
      </x:c>
      <x:c r="L862" t="str">
        <x:v>Classic Storage 194</x:v>
      </x:c>
      <x:c r="M862" t="str">
        <x:v>Second Class</x:v>
      </x:c>
      <x:c r="N862" t="n">
        <x:v>1</x:v>
      </x:c>
      <x:c r="O862" s="7" t="n">
        <x:v>4397.32</x:v>
      </x:c>
      <x:c r="P862" s="6" t="n">
        <x:v>0.05</x:v>
      </x:c>
      <x:c r="Q862" s="7" t="n">
        <x:v>4177.45</x:v>
      </x:c>
      <x:c r="R862" s="7" t="n">
        <x:v>2299.5</x:v>
      </x:c>
      <x:c r="S862" s="7" t="n">
        <x:v>1877.95</x:v>
      </x:c>
      <x:c r="T862" t="str">
        <x:v>Paid</x:v>
      </x:c>
      <x:c r="U862" t="str">
        <x:v>Completed</x:v>
      </x:c>
      <x:c r="V862" s="6" t="n">
        <x:f>IF(ISBLANK(P862),IF(AND(ISNUMBER(N862),N862&gt;0,ISNUMBER(O862),O862&gt;=0,ISNUMBER(Q862),Q862&gt;=0,ISNUMBER(R862),R862&gt;=0,ISNUMBER(S862)),0,""),P862)</x:f>
        <x:v>0.05</x:v>
      </x:c>
      <x:c r="W862" s="7" t="n">
        <x:f>IF(ISBLANK(V862),"",N862*O862*(1-V862))</x:f>
        <x:v>4177.454</x:v>
      </x:c>
      <x:c r="X862" s="7" t="n">
        <x:f>IF(OR(ISBLANK(W862),ISBLANK(R862)),"",W862-R862)</x:f>
        <x:v>1877.9539999999997</x:v>
      </x:c>
      <x:c r="Y862" s="8" t="n">
        <x:f>IF(OR(ISBLANK(W862),W862=0),"",X862/W862)</x:f>
        <x:v>0.44954510570313877</x:v>
      </x:c>
      <x:c r="Z862" s="9" t="n">
        <x:f>IF(OR(ISBLANK(B862),ISBLANK(C862)),"",C862-B862)</x:f>
        <x:v>2</x:v>
      </x:c>
      <x:c r="AA862" t="str">
        <x:f>IF(ISBLANK(B862),"",TEXT(B862,"mmm"))</x:f>
        <x:v>Feb</x:v>
      </x:c>
      <x:c r="AB862" s="9" t="n">
        <x:f>IF(ISBLANK(B862),"",YEAR(B862))</x:f>
        <x:v>2024</x:v>
      </x:c>
      <x:c r="AC862" s="10" t="str"/>
      <x:c r="AD862" t="str">
        <x:f>IF(AND(U862="Completed",T862="Paid",ISERROR(SEARCH("INVALID",AC862)),ISERROR(SEARCH("REVIEW",AC862))),"Include","Exclude")</x:f>
        <x:v>Include</x:v>
      </x:c>
      <x:c r="AE862" t="str">
        <x:f>IF(T862="Refunded","Refunded","")</x:f>
      </x:c>
    </x:row>
    <x:row r="863">
      <x:c r="A863" t="str">
        <x:v>ORD-2025-10862</x:v>
      </x:c>
      <x:c r="B863" s="5" t="n">
        <x:v>45724</x:v>
      </x:c>
      <x:c r="C863" s="5" t="n">
        <x:v>45725</x:v>
      </x:c>
      <x:c r="D863" t="str">
        <x:v>CUST-9448</x:v>
      </x:c>
      <x:c r="E863" t="str">
        <x:v>Priya Menon</x:v>
      </x:c>
      <x:c r="F863" t="str">
        <x:v>Home Office</x:v>
      </x:c>
      <x:c r="G863" t="str">
        <x:v>North</x:v>
      </x:c>
      <x:c r="H863" t="str">
        <x:v>Delhi</x:v>
      </x:c>
      <x:c r="I863" t="str">
        <x:v>New Delhi</x:v>
      </x:c>
      <x:c r="J863" t="str">
        <x:v>Furniture</x:v>
      </x:c>
      <x:c r="K863" t="str">
        <x:v>Furnishings</x:v>
      </x:c>
      <x:c r="L863" t="str">
        <x:v>Smart Furnishings 892</x:v>
      </x:c>
      <x:c r="M863" t="str">
        <x:v>Same Day</x:v>
      </x:c>
      <x:c r="N863" t="n">
        <x:v>4</x:v>
      </x:c>
      <x:c r="O863" s="7" t="n">
        <x:v>3405.68</x:v>
      </x:c>
      <x:c r="P863" s="6" t="n">
        <x:v>0.2</x:v>
      </x:c>
      <x:c r="Q863" s="7" t="n">
        <x:v>10898.18</x:v>
      </x:c>
      <x:c r="R863" s="7" t="n">
        <x:v>6231.41</x:v>
      </x:c>
      <x:c r="S863" s="7" t="n">
        <x:v>4666.77</x:v>
      </x:c>
      <x:c r="T863" t="str">
        <x:v>Paid</x:v>
      </x:c>
      <x:c r="U863" t="str">
        <x:v>Completed</x:v>
      </x:c>
      <x:c r="V863" s="6" t="n">
        <x:f>IF(ISBLANK(P863),IF(AND(ISNUMBER(N863),N863&gt;0,ISNUMBER(O863),O863&gt;=0,ISNUMBER(Q863),Q863&gt;=0,ISNUMBER(R863),R863&gt;=0,ISNUMBER(S863)),0,""),P863)</x:f>
        <x:v>0.2</x:v>
      </x:c>
      <x:c r="W863" s="7" t="n">
        <x:f>IF(ISBLANK(V863),"",N863*O863*(1-V863))</x:f>
        <x:v>10898.176</x:v>
      </x:c>
      <x:c r="X863" s="7" t="n">
        <x:f>IF(OR(ISBLANK(W863),ISBLANK(R863)),"",W863-R863)</x:f>
        <x:v>4666.766</x:v>
      </x:c>
      <x:c r="Y863" s="8" t="n">
        <x:f>IF(OR(ISBLANK(W863),W863=0),"",X863/W863)</x:f>
        <x:v>0.428215327041883</x:v>
      </x:c>
      <x:c r="Z863" s="9" t="n">
        <x:f>IF(OR(ISBLANK(B863),ISBLANK(C863)),"",C863-B863)</x:f>
        <x:v>1</x:v>
      </x:c>
      <x:c r="AA863" t="str">
        <x:f>IF(ISBLANK(B863),"",TEXT(B863,"mmm"))</x:f>
        <x:v>Mar</x:v>
      </x:c>
      <x:c r="AB863" s="9" t="n">
        <x:f>IF(ISBLANK(B863),"",YEAR(B863))</x:f>
        <x:v>2025</x:v>
      </x:c>
      <x:c r="AC863" s="10" t="str"/>
      <x:c r="AD863" t="str">
        <x:f>IF(AND(U863="Completed",T863="Paid",ISERROR(SEARCH("INVALID",AC863)),ISERROR(SEARCH("REVIEW",AC863))),"Include","Exclude")</x:f>
        <x:v>Include</x:v>
      </x:c>
      <x:c r="AE863" t="str">
        <x:f>IF(T863="Refunded","Refunded","")</x:f>
      </x:c>
    </x:row>
    <x:row r="864">
      <x:c r="A864" t="str">
        <x:v>ORD-2025-10863</x:v>
      </x:c>
      <x:c r="B864" s="5" t="n">
        <x:v>45742</x:v>
      </x:c>
      <x:c r="C864" s="5" t="n">
        <x:v>45747</x:v>
      </x:c>
      <x:c r="D864" t="str">
        <x:v>CUST-8354</x:v>
      </x:c>
      <x:c r="E864" t="str">
        <x:v>Priya Menon</x:v>
      </x:c>
      <x:c r="F864" t="str">
        <x:v>Small Business</x:v>
      </x:c>
      <x:c r="G864" t="str">
        <x:v>East</x:v>
      </x:c>
      <x:c r="H864" t="str">
        <x:v>Jharkhand</x:v>
      </x:c>
      <x:c r="I864" t="str">
        <x:v>Ranchi</x:v>
      </x:c>
      <x:c r="J864" t="str">
        <x:v>Office Supplies</x:v>
      </x:c>
      <x:c r="K864" t="str">
        <x:v>Binders</x:v>
      </x:c>
      <x:c r="L864" t="str">
        <x:v>Pro Binders 488</x:v>
      </x:c>
      <x:c r="M864" t="str">
        <x:v>First Class</x:v>
      </x:c>
      <x:c r="N864" t="n">
        <x:v>5</x:v>
      </x:c>
      <x:c r="O864" s="7" t="n">
        <x:v>1395.14</x:v>
      </x:c>
      <x:c r="P864" s="6" t="n">
        <x:v>0</x:v>
      </x:c>
      <x:c r="Q864" s="7" t="n">
        <x:v>6975.7</x:v>
      </x:c>
      <x:c r="R864" s="7" t="n">
        <x:v>4797.88</x:v>
      </x:c>
      <x:c r="S864" s="7" t="n">
        <x:v>2177.82</x:v>
      </x:c>
      <x:c r="T864" t="str">
        <x:v>Paid</x:v>
      </x:c>
      <x:c r="U864" t="str">
        <x:v>Cancelled</x:v>
      </x:c>
      <x:c r="V864" s="6" t="n">
        <x:f>IF(ISBLANK(P864),IF(AND(ISNUMBER(N864),N864&gt;0,ISNUMBER(O864),O864&gt;=0,ISNUMBER(Q864),Q864&gt;=0,ISNUMBER(R864),R864&gt;=0,ISNUMBER(S864)),0,""),P864)</x:f>
        <x:v>0</x:v>
      </x:c>
      <x:c r="W864" s="7" t="n">
        <x:f>IF(ISBLANK(V864),"",N864*O864*(1-V864))</x:f>
        <x:v>6975.700000000001</x:v>
      </x:c>
      <x:c r="X864" s="7" t="n">
        <x:f>IF(OR(ISBLANK(W864),ISBLANK(R864)),"",W864-R864)</x:f>
        <x:v>2177.8200000000006</x:v>
      </x:c>
      <x:c r="Y864" s="8" t="n">
        <x:f>IF(OR(ISBLANK(W864),W864=0),"",X864/W864)</x:f>
        <x:v>0.3122009260719355</x:v>
      </x:c>
      <x:c r="Z864" s="9" t="n">
        <x:f>IF(OR(ISBLANK(B864),ISBLANK(C864)),"",C864-B864)</x:f>
        <x:v>5</x:v>
      </x:c>
      <x:c r="AA864" t="str">
        <x:f>IF(ISBLANK(B864),"",TEXT(B864,"mmm"))</x:f>
        <x:v>Mar</x:v>
      </x:c>
      <x:c r="AB864" s="9" t="n">
        <x:f>IF(ISBLANK(B864),"",YEAR(B864))</x:f>
        <x:v>2025</x:v>
      </x:c>
      <x:c r="AC864" s="10" t="str">
        <x:v>EXCLUDE: Cancelled order</x:v>
      </x:c>
      <x:c r="AD864" t="str">
        <x:f>IF(AND(U864="Completed",T864="Paid",ISERROR(SEARCH("INVALID",AC864)),ISERROR(SEARCH("REVIEW",AC864))),"Include","Exclude")</x:f>
        <x:v>Exclude</x:v>
      </x:c>
      <x:c r="AE864" t="str">
        <x:f>IF(T864="Refunded","Refunded","")</x:f>
      </x:c>
    </x:row>
    <x:row r="865">
      <x:c r="A865" t="str">
        <x:v>ORD-2025-10864</x:v>
      </x:c>
      <x:c r="B865" s="5" t="n">
        <x:v>45906</x:v>
      </x:c>
      <x:c r="C865" s="5" t="n">
        <x:v>45908</x:v>
      </x:c>
      <x:c r="D865" t="str">
        <x:v>CUST-2200</x:v>
      </x:c>
      <x:c r="E865" t="str">
        <x:v>Aarav Sharma</x:v>
      </x:c>
      <x:c r="F865" t="str">
        <x:v>Home Office</x:v>
      </x:c>
      <x:c r="G865" t="str">
        <x:v>West</x:v>
      </x:c>
      <x:c r="H865" t="str">
        <x:v>Madhya Pradesh</x:v>
      </x:c>
      <x:c r="I865" t="str">
        <x:v>Indore</x:v>
      </x:c>
      <x:c r="J865" t="str">
        <x:v>Furniture</x:v>
      </x:c>
      <x:c r="K865" t="str">
        <x:v>Furnishings</x:v>
      </x:c>
      <x:c r="L865" t="str">
        <x:v>Prime Furnishings 679</x:v>
      </x:c>
      <x:c r="M865" t="str">
        <x:v>Same Day</x:v>
      </x:c>
      <x:c r="N865" t="n">
        <x:v>3</x:v>
      </x:c>
      <x:c r="O865" s="7" t="n">
        <x:v>2937.23</x:v>
      </x:c>
      <x:c r="P865" s="6" t="n">
        <x:v>0</x:v>
      </x:c>
      <x:c r="Q865" s="7" t="n">
        <x:v>8811.69</x:v>
      </x:c>
      <x:c r="R865" s="7" t="n">
        <x:v>6765.91</x:v>
      </x:c>
      <x:c r="S865" s="7" t="n">
        <x:v>2045.78</x:v>
      </x:c>
      <x:c r="T865" t="str">
        <x:v>Paid</x:v>
      </x:c>
      <x:c r="U865" t="str">
        <x:v>Completed</x:v>
      </x:c>
      <x:c r="V865" s="6" t="n">
        <x:f>IF(ISBLANK(P865),IF(AND(ISNUMBER(N865),N865&gt;0,ISNUMBER(O865),O865&gt;=0,ISNUMBER(Q865),Q865&gt;=0,ISNUMBER(R865),R865&gt;=0,ISNUMBER(S865)),0,""),P865)</x:f>
        <x:v>0</x:v>
      </x:c>
      <x:c r="W865" s="7" t="n">
        <x:f>IF(ISBLANK(V865),"",N865*O865*(1-V865))</x:f>
        <x:v>8811.69</x:v>
      </x:c>
      <x:c r="X865" s="7" t="n">
        <x:f>IF(OR(ISBLANK(W865),ISBLANK(R865)),"",W865-R865)</x:f>
        <x:v>2045.7800000000007</x:v>
      </x:c>
      <x:c r="Y865" s="8" t="n">
        <x:f>IF(OR(ISBLANK(W865),W865=0),"",X865/W865)</x:f>
        <x:v>0.23216658779416893</x:v>
      </x:c>
      <x:c r="Z865" s="9" t="n">
        <x:f>IF(OR(ISBLANK(B865),ISBLANK(C865)),"",C865-B865)</x:f>
        <x:v>2</x:v>
      </x:c>
      <x:c r="AA865" t="str">
        <x:f>IF(ISBLANK(B865),"",TEXT(B865,"mmm"))</x:f>
        <x:v>Sep</x:v>
      </x:c>
      <x:c r="AB865" s="9" t="n">
        <x:f>IF(ISBLANK(B865),"",YEAR(B865))</x:f>
        <x:v>2025</x:v>
      </x:c>
      <x:c r="AC865" s="10" t="str"/>
      <x:c r="AD865" t="str">
        <x:f>IF(AND(U865="Completed",T865="Paid",ISERROR(SEARCH("INVALID",AC865)),ISERROR(SEARCH("REVIEW",AC865))),"Include","Exclude")</x:f>
        <x:v>Include</x:v>
      </x:c>
      <x:c r="AE865" t="str">
        <x:f>IF(T865="Refunded","Refunded","")</x:f>
      </x:c>
    </x:row>
    <x:row r="866">
      <x:c r="A866" t="str">
        <x:v>ORD-2025-10865</x:v>
      </x:c>
      <x:c r="B866" s="5" t="n">
        <x:v>45902</x:v>
      </x:c>
      <x:c r="C866" s="5" t="n">
        <x:v>45905</x:v>
      </x:c>
      <x:c r="D866" t="str">
        <x:v>CUST-1178</x:v>
      </x:c>
      <x:c r="E866" t="str">
        <x:v>Vikram Iyer</x:v>
      </x:c>
      <x:c r="F866" t="str">
        <x:v>Consumer</x:v>
      </x:c>
      <x:c r="G866" t="str">
        <x:v>South</x:v>
      </x:c>
      <x:c r="H866" t="str">
        <x:v>Tamil Nadu</x:v>
      </x:c>
      <x:c r="I866" t="str">
        <x:v>Chennai</x:v>
      </x:c>
      <x:c r="J866" t="str">
        <x:v>Technology</x:v>
      </x:c>
      <x:c r="K866" t="str">
        <x:v>Phones</x:v>
      </x:c>
      <x:c r="L866" t="str">
        <x:v>Smart Phones 158</x:v>
      </x:c>
      <x:c r="M866" t="str">
        <x:v>First Class</x:v>
      </x:c>
      <x:c r="N866" t="n">
        <x:v>5</x:v>
      </x:c>
      <x:c r="O866" s="7" t="n">
        <x:v>3406.87</x:v>
      </x:c>
      <x:c r="P866" s="6" t="n">
        <x:v>0</x:v>
      </x:c>
      <x:c r="Q866" s="7" t="n">
        <x:v>17034.35</x:v>
      </x:c>
      <x:c r="R866" s="7" t="n">
        <x:v>14631.36</x:v>
      </x:c>
      <x:c r="S866" s="7" t="n">
        <x:v>2402.99</x:v>
      </x:c>
      <x:c r="T866" t="str">
        <x:v>Paid</x:v>
      </x:c>
      <x:c r="U866" t="str">
        <x:v>Completed</x:v>
      </x:c>
      <x:c r="V866" s="6" t="n">
        <x:f>IF(ISBLANK(P866),IF(AND(ISNUMBER(N866),N866&gt;0,ISNUMBER(O866),O866&gt;=0,ISNUMBER(Q866),Q866&gt;=0,ISNUMBER(R866),R866&gt;=0,ISNUMBER(S866)),0,""),P866)</x:f>
        <x:v>0</x:v>
      </x:c>
      <x:c r="W866" s="7" t="n">
        <x:f>IF(ISBLANK(V866),"",N866*O866*(1-V866))</x:f>
        <x:v>17034.35</x:v>
      </x:c>
      <x:c r="X866" s="7" t="n">
        <x:f>IF(OR(ISBLANK(W866),ISBLANK(R866)),"",W866-R866)</x:f>
        <x:v>2402.989999999998</x:v>
      </x:c>
      <x:c r="Y866" s="8" t="n">
        <x:f>IF(OR(ISBLANK(W866),W866=0),"",X866/W866)</x:f>
        <x:v>0.1410673139861514</x:v>
      </x:c>
      <x:c r="Z866" s="9" t="n">
        <x:f>IF(OR(ISBLANK(B866),ISBLANK(C866)),"",C866-B866)</x:f>
        <x:v>3</x:v>
      </x:c>
      <x:c r="AA866" t="str">
        <x:f>IF(ISBLANK(B866),"",TEXT(B866,"mmm"))</x:f>
        <x:v>Sep</x:v>
      </x:c>
      <x:c r="AB866" s="9" t="n">
        <x:f>IF(ISBLANK(B866),"",YEAR(B866))</x:f>
        <x:v>2025</x:v>
      </x:c>
      <x:c r="AC866" s="10" t="str"/>
      <x:c r="AD866" t="str">
        <x:f>IF(AND(U866="Completed",T866="Paid",ISERROR(SEARCH("INVALID",AC866)),ISERROR(SEARCH("REVIEW",AC866))),"Include","Exclude")</x:f>
        <x:v>Include</x:v>
      </x:c>
      <x:c r="AE866" t="str">
        <x:f>IF(T866="Refunded","Refunded","")</x:f>
      </x:c>
    </x:row>
    <x:row r="867">
      <x:c r="A867" t="str">
        <x:v>ORD-2025-10866</x:v>
      </x:c>
      <x:c r="B867" s="5" t="n">
        <x:v>45694</x:v>
      </x:c>
      <x:c r="C867" s="5" t="n">
        <x:v>45702</x:v>
      </x:c>
      <x:c r="D867" t="str">
        <x:v>CUST-8099</x:v>
      </x:c>
      <x:c r="E867" t="str">
        <x:v>Kabir Singh</x:v>
      </x:c>
      <x:c r="F867" t="str">
        <x:v>Consumer</x:v>
      </x:c>
      <x:c r="G867" t="str">
        <x:v>West</x:v>
      </x:c>
      <x:c r="H867" t="str">
        <x:v>Maharashtra</x:v>
      </x:c>
      <x:c r="I867" t="str">
        <x:v>Mumbai</x:v>
      </x:c>
      <x:c r="J867" t="str">
        <x:v>Office Supplies</x:v>
      </x:c>
      <x:c r="K867" t="str">
        <x:v>Labels</x:v>
      </x:c>
      <x:c r="L867" t="str">
        <x:v>Classic Labels 218</x:v>
      </x:c>
      <x:c r="M867" t="str">
        <x:v>Second Class</x:v>
      </x:c>
      <x:c r="N867" t="n">
        <x:v>2</x:v>
      </x:c>
      <x:c r="O867" s="7" t="n">
        <x:v>3992.04</x:v>
      </x:c>
      <x:c r="P867" s="6" t="n">
        <x:v>0</x:v>
      </x:c>
      <x:c r="Q867" s="7" t="n">
        <x:v>7984.08</x:v>
      </x:c>
      <x:c r="R867" s="7" t="n">
        <x:v>5658.05</x:v>
      </x:c>
      <x:c r="S867" s="7" t="n">
        <x:v>2326.03</x:v>
      </x:c>
      <x:c r="T867" t="str">
        <x:v>Paid</x:v>
      </x:c>
      <x:c r="U867" t="str">
        <x:v>Completed</x:v>
      </x:c>
      <x:c r="V867" s="6" t="n">
        <x:f>IF(ISBLANK(P867),IF(AND(ISNUMBER(N867),N867&gt;0,ISNUMBER(O867),O867&gt;=0,ISNUMBER(Q867),Q867&gt;=0,ISNUMBER(R867),R867&gt;=0,ISNUMBER(S867)),0,""),P867)</x:f>
        <x:v>0</x:v>
      </x:c>
      <x:c r="W867" s="7" t="n">
        <x:f>IF(ISBLANK(V867),"",N867*O867*(1-V867))</x:f>
        <x:v>7984.08</x:v>
      </x:c>
      <x:c r="X867" s="7" t="n">
        <x:f>IF(OR(ISBLANK(W867),ISBLANK(R867)),"",W867-R867)</x:f>
        <x:v>2326.0299999999997</x:v>
      </x:c>
      <x:c r="Y867" s="8" t="n">
        <x:f>IF(OR(ISBLANK(W867),W867=0),"",X867/W867)</x:f>
        <x:v>0.29133350367230787</x:v>
      </x:c>
      <x:c r="Z867" s="9" t="n">
        <x:f>IF(OR(ISBLANK(B867),ISBLANK(C867)),"",C867-B867)</x:f>
        <x:v>8</x:v>
      </x:c>
      <x:c r="AA867" t="str">
        <x:f>IF(ISBLANK(B867),"",TEXT(B867,"mmm"))</x:f>
        <x:v>Feb</x:v>
      </x:c>
      <x:c r="AB867" s="9" t="n">
        <x:f>IF(ISBLANK(B867),"",YEAR(B867))</x:f>
        <x:v>2025</x:v>
      </x:c>
      <x:c r="AC867" s="10" t="str"/>
      <x:c r="AD867" t="str">
        <x:f>IF(AND(U867="Completed",T867="Paid",ISERROR(SEARCH("INVALID",AC867)),ISERROR(SEARCH("REVIEW",AC867))),"Include","Exclude")</x:f>
        <x:v>Include</x:v>
      </x:c>
      <x:c r="AE867" t="str">
        <x:f>IF(T867="Refunded","Refunded","")</x:f>
      </x:c>
    </x:row>
    <x:row r="868">
      <x:c r="A868" t="str">
        <x:v>ORD-2025-10867</x:v>
      </x:c>
      <x:c r="B868" s="5" t="n">
        <x:v>45714</x:v>
      </x:c>
      <x:c r="C868" s="5" t="n">
        <x:v>45722</x:v>
      </x:c>
      <x:c r="D868" t="str">
        <x:v>CUST-7596</x:v>
      </x:c>
      <x:c r="E868" t="str">
        <x:v>Priya Menon</x:v>
      </x:c>
      <x:c r="F868" t="str">
        <x:v>Consumer</x:v>
      </x:c>
      <x:c r="G868" t="str">
        <x:v>East</x:v>
      </x:c>
      <x:c r="H868" t="str">
        <x:v>Bihar</x:v>
      </x:c>
      <x:c r="I868" t="str">
        <x:v>Patna</x:v>
      </x:c>
      <x:c r="J868" t="str">
        <x:v>Furniture</x:v>
      </x:c>
      <x:c r="K868" t="str">
        <x:v>Bookcases</x:v>
      </x:c>
      <x:c r="L868" t="str">
        <x:v>Smart Bookcases 552</x:v>
      </x:c>
      <x:c r="M868" t="str">
        <x:v>First Class</x:v>
      </x:c>
      <x:c r="N868" t="n">
        <x:v>9</x:v>
      </x:c>
      <x:c r="O868" s="7" t="n">
        <x:v>3043.37</x:v>
      </x:c>
      <x:c r="P868" s="6" t="n">
        <x:v>0.2</x:v>
      </x:c>
      <x:c r="Q868" s="7" t="n">
        <x:v>21912.26</x:v>
      </x:c>
      <x:c r="R868" s="7" t="n">
        <x:v>16367.78</x:v>
      </x:c>
      <x:c r="S868" s="7" t="n">
        <x:v>5544.48</x:v>
      </x:c>
      <x:c r="T868" t="str">
        <x:v>Pending</x:v>
      </x:c>
      <x:c r="U868" t="str">
        <x:v>Cancelled</x:v>
      </x:c>
      <x:c r="V868" s="6" t="n">
        <x:f>IF(ISBLANK(P868),IF(AND(ISNUMBER(N868),N868&gt;0,ISNUMBER(O868),O868&gt;=0,ISNUMBER(Q868),Q868&gt;=0,ISNUMBER(R868),R868&gt;=0,ISNUMBER(S868)),0,""),P868)</x:f>
        <x:v>0.2</x:v>
      </x:c>
      <x:c r="W868" s="7" t="n">
        <x:f>IF(ISBLANK(V868),"",N868*O868*(1-V868))</x:f>
        <x:v>21912.264</x:v>
      </x:c>
      <x:c r="X868" s="7" t="n">
        <x:f>IF(OR(ISBLANK(W868),ISBLANK(R868)),"",W868-R868)</x:f>
        <x:v>5544.483999999999</x:v>
      </x:c>
      <x:c r="Y868" s="8" t="n">
        <x:f>IF(OR(ISBLANK(W868),W868=0),"",X868/W868)</x:f>
        <x:v>0.25303108797885965</x:v>
      </x:c>
      <x:c r="Z868" s="9" t="n">
        <x:f>IF(OR(ISBLANK(B868),ISBLANK(C868)),"",C868-B868)</x:f>
        <x:v>8</x:v>
      </x:c>
      <x:c r="AA868" t="str">
        <x:f>IF(ISBLANK(B868),"",TEXT(B868,"mmm"))</x:f>
        <x:v>Feb</x:v>
      </x:c>
      <x:c r="AB868" s="9" t="n">
        <x:f>IF(ISBLANK(B868),"",YEAR(B868))</x:f>
        <x:v>2025</x:v>
      </x:c>
      <x:c r="AC868" s="10" t="str">
        <x:v>EXCLUDE: Cancelled order</x:v>
      </x:c>
      <x:c r="AD868" t="str">
        <x:f>IF(AND(U868="Completed",T868="Paid",ISERROR(SEARCH("INVALID",AC868)),ISERROR(SEARCH("REVIEW",AC868))),"Include","Exclude")</x:f>
        <x:v>Exclude</x:v>
      </x:c>
      <x:c r="AE868" t="str">
        <x:f>IF(T868="Refunded","Refunded","")</x:f>
      </x:c>
    </x:row>
    <x:row r="869">
      <x:c r="A869" t="str">
        <x:v>ORD-2024-10868</x:v>
      </x:c>
      <x:c r="B869" s="5" t="n">
        <x:v>45617</x:v>
      </x:c>
      <x:c r="C869" s="5" t="n">
        <x:v>45618</x:v>
      </x:c>
      <x:c r="D869" t="str">
        <x:v>CUST-2328</x:v>
      </x:c>
      <x:c r="E869" t="str">
        <x:v>Rahul Verma</x:v>
      </x:c>
      <x:c r="F869" t="str">
        <x:v>Home Office</x:v>
      </x:c>
      <x:c r="G869" t="str">
        <x:v>South</x:v>
      </x:c>
      <x:c r="H869" t="str">
        <x:v>Andhra Pradesh</x:v>
      </x:c>
      <x:c r="I869" t="str">
        <x:v>Vijayawada</x:v>
      </x:c>
      <x:c r="J869" t="str">
        <x:v>Technology</x:v>
      </x:c>
      <x:c r="K869" t="str">
        <x:v>Accessories</x:v>
      </x:c>
      <x:c r="L869" t="str">
        <x:v>Eco Accessories 389</x:v>
      </x:c>
      <x:c r="M869" t="str">
        <x:v>Same Day</x:v>
      </x:c>
      <x:c r="N869" t="n">
        <x:v>6</x:v>
      </x:c>
      <x:c r="O869" s="7" t="n">
        <x:v>1043.49</x:v>
      </x:c>
      <x:c r="P869" s="6" t="n">
        <x:v>0.25</x:v>
      </x:c>
      <x:c r="Q869" s="7" t="n">
        <x:v>4695.7</x:v>
      </x:c>
      <x:c r="R869" s="7" t="n">
        <x:v>3871.69</x:v>
      </x:c>
      <x:c r="S869" s="7" t="n">
        <x:v>824.01</x:v>
      </x:c>
      <x:c r="T869" t="str">
        <x:v>Failed</x:v>
      </x:c>
      <x:c r="U869" t="str">
        <x:v>Cancelled</x:v>
      </x:c>
      <x:c r="V869" s="6" t="n">
        <x:f>IF(ISBLANK(P869),IF(AND(ISNUMBER(N869),N869&gt;0,ISNUMBER(O869),O869&gt;=0,ISNUMBER(Q869),Q869&gt;=0,ISNUMBER(R869),R869&gt;=0,ISNUMBER(S869)),0,""),P869)</x:f>
        <x:v>0.25</x:v>
      </x:c>
      <x:c r="W869" s="7" t="n">
        <x:f>IF(ISBLANK(V869),"",N869*O869*(1-V869))</x:f>
        <x:v>4695.705</x:v>
      </x:c>
      <x:c r="X869" s="7" t="n">
        <x:f>IF(OR(ISBLANK(W869),ISBLANK(R869)),"",W869-R869)</x:f>
        <x:v>824.0149999999999</x:v>
      </x:c>
      <x:c r="Y869" s="8" t="n">
        <x:f>IF(OR(ISBLANK(W869),W869=0),"",X869/W869)</x:f>
        <x:v>0.17548270174553127</x:v>
      </x:c>
      <x:c r="Z869" s="9" t="n">
        <x:f>IF(OR(ISBLANK(B869),ISBLANK(C869)),"",C869-B869)</x:f>
        <x:v>1</x:v>
      </x:c>
      <x:c r="AA869" t="str">
        <x:f>IF(ISBLANK(B869),"",TEXT(B869,"mmm"))</x:f>
        <x:v>Nov</x:v>
      </x:c>
      <x:c r="AB869" s="9" t="n">
        <x:f>IF(ISBLANK(B869),"",YEAR(B869))</x:f>
        <x:v>2024</x:v>
      </x:c>
      <x:c r="AC869" s="10" t="str">
        <x:v>EXCLUDE: Cancelled order; EXCLUDE: Failed payment</x:v>
      </x:c>
      <x:c r="AD869" t="str">
        <x:f>IF(AND(U869="Completed",T869="Paid",ISERROR(SEARCH("INVALID",AC869)),ISERROR(SEARCH("REVIEW",AC869))),"Include","Exclude")</x:f>
        <x:v>Exclude</x:v>
      </x:c>
      <x:c r="AE869" t="str">
        <x:f>IF(T869="Refunded","Refunded","")</x:f>
      </x:c>
    </x:row>
    <x:row r="870">
      <x:c r="A870" t="str">
        <x:v>ORD-2025-10869</x:v>
      </x:c>
      <x:c r="B870" s="5" t="n">
        <x:v>45758</x:v>
      </x:c>
      <x:c r="C870" s="5" t="n">
        <x:v>45762</x:v>
      </x:c>
      <x:c r="D870" t="str">
        <x:v>CUST-8483</x:v>
      </x:c>
      <x:c r="E870" t="str">
        <x:v>Vikram Iyer</x:v>
      </x:c>
      <x:c r="F870" t="str">
        <x:v>Home Office</x:v>
      </x:c>
      <x:c r="G870" t="str">
        <x:v>South</x:v>
      </x:c>
      <x:c r="H870" t="str">
        <x:v>Karnataka</x:v>
      </x:c>
      <x:c r="I870" t="str">
        <x:v>Bengaluru</x:v>
      </x:c>
      <x:c r="J870" t="str">
        <x:v>Office Supplies</x:v>
      </x:c>
      <x:c r="K870" t="str">
        <x:v>Storage</x:v>
      </x:c>
      <x:c r="L870" t="str">
        <x:v>Elite Storage 187</x:v>
      </x:c>
      <x:c r="M870" t="str">
        <x:v>Same Day</x:v>
      </x:c>
      <x:c r="N870" t="n">
        <x:v>9</x:v>
      </x:c>
      <x:c r="O870" s="7" t="n">
        <x:v>224.94</x:v>
      </x:c>
      <x:c r="P870" s="6" t="n">
        <x:v>0.05</x:v>
      </x:c>
      <x:c r="Q870" s="7" t="n">
        <x:v>1923.24</x:v>
      </x:c>
      <x:c r="R870" s="7" t="n">
        <x:v>1093.66</x:v>
      </x:c>
      <x:c r="S870" s="7" t="n">
        <x:v>829.58</x:v>
      </x:c>
      <x:c r="T870" t="str">
        <x:v>Paid</x:v>
      </x:c>
      <x:c r="U870" t="str">
        <x:v>Completed</x:v>
      </x:c>
      <x:c r="V870" s="6" t="n">
        <x:f>IF(ISBLANK(P870),IF(AND(ISNUMBER(N870),N870&gt;0,ISNUMBER(O870),O870&gt;=0,ISNUMBER(Q870),Q870&gt;=0,ISNUMBER(R870),R870&gt;=0,ISNUMBER(S870)),0,""),P870)</x:f>
        <x:v>0.05</x:v>
      </x:c>
      <x:c r="W870" s="7" t="n">
        <x:f>IF(ISBLANK(V870),"",N870*O870*(1-V870))</x:f>
        <x:v>1923.2369999999999</x:v>
      </x:c>
      <x:c r="X870" s="7" t="n">
        <x:f>IF(OR(ISBLANK(W870),ISBLANK(R870)),"",W870-R870)</x:f>
        <x:v>829.5769999999998</x:v>
      </x:c>
      <x:c r="Y870" s="8" t="n">
        <x:f>IF(OR(ISBLANK(W870),W870=0),"",X870/W870)</x:f>
        <x:v>0.43134413491420964</x:v>
      </x:c>
      <x:c r="Z870" s="9" t="n">
        <x:f>IF(OR(ISBLANK(B870),ISBLANK(C870)),"",C870-B870)</x:f>
        <x:v>4</x:v>
      </x:c>
      <x:c r="AA870" t="str">
        <x:f>IF(ISBLANK(B870),"",TEXT(B870,"mmm"))</x:f>
        <x:v>Apr</x:v>
      </x:c>
      <x:c r="AB870" s="9" t="n">
        <x:f>IF(ISBLANK(B870),"",YEAR(B870))</x:f>
        <x:v>2025</x:v>
      </x:c>
      <x:c r="AC870" s="10" t="str"/>
      <x:c r="AD870" t="str">
        <x:f>IF(AND(U870="Completed",T870="Paid",ISERROR(SEARCH("INVALID",AC870)),ISERROR(SEARCH("REVIEW",AC870))),"Include","Exclude")</x:f>
        <x:v>Include</x:v>
      </x:c>
      <x:c r="AE870" t="str">
        <x:f>IF(T870="Refunded","Refunded","")</x:f>
      </x:c>
    </x:row>
    <x:row r="871">
      <x:c r="A871" t="str">
        <x:v>ORD-2025-10870</x:v>
      </x:c>
      <x:c r="B871" s="5" t="n">
        <x:v>45722</x:v>
      </x:c>
      <x:c r="C871" s="5" t="n">
        <x:v>45723</x:v>
      </x:c>
      <x:c r="D871" t="str">
        <x:v>CUST-2388</x:v>
      </x:c>
      <x:c r="E871" t="str">
        <x:v>Rohan Mehta</x:v>
      </x:c>
      <x:c r="F871" t="str">
        <x:v>Home Office</x:v>
      </x:c>
      <x:c r="G871" t="str">
        <x:v>Unknown</x:v>
      </x:c>
      <x:c r="H871" t="str">
        <x:v>Delhi</x:v>
      </x:c>
      <x:c r="I871" t="str">
        <x:v>New Delhi</x:v>
      </x:c>
      <x:c r="J871" t="str">
        <x:v>Furniture</x:v>
      </x:c>
      <x:c r="K871" t="str">
        <x:v>Chairs</x:v>
      </x:c>
      <x:c r="L871" t="str">
        <x:v>Max Chairs 487</x:v>
      </x:c>
      <x:c r="M871" t="str">
        <x:v>Same Day</x:v>
      </x:c>
      <x:c r="N871" t="n">
        <x:v>6</x:v>
      </x:c>
      <x:c r="O871" s="7" t="n">
        <x:v>796.65</x:v>
      </x:c>
      <x:c r="P871" s="6" t="n">
        <x:v>0.1</x:v>
      </x:c>
      <x:c r="Q871" s="7" t="n">
        <x:v>4301.91</x:v>
      </x:c>
      <x:c r="R871" s="7" t="n">
        <x:v>2374.4</x:v>
      </x:c>
      <x:c r="S871" s="7" t="n">
        <x:v>1927.51</x:v>
      </x:c>
      <x:c r="T871" t="str">
        <x:v>Paid</x:v>
      </x:c>
      <x:c r="U871" t="str">
        <x:v>Completed</x:v>
      </x:c>
      <x:c r="V871" s="6" t="n">
        <x:f>IF(ISBLANK(P871),IF(AND(ISNUMBER(N871),N871&gt;0,ISNUMBER(O871),O871&gt;=0,ISNUMBER(Q871),Q871&gt;=0,ISNUMBER(R871),R871&gt;=0,ISNUMBER(S871)),0,""),P871)</x:f>
        <x:v>0.1</x:v>
      </x:c>
      <x:c r="W871" s="7" t="n">
        <x:f>IF(ISBLANK(V871),"",N871*O871*(1-V871))</x:f>
        <x:v>4301.91</x:v>
      </x:c>
      <x:c r="X871" s="7" t="n">
        <x:f>IF(OR(ISBLANK(W871),ISBLANK(R871)),"",W871-R871)</x:f>
        <x:v>1927.5099999999998</x:v>
      </x:c>
      <x:c r="Y871" s="8" t="n">
        <x:f>IF(OR(ISBLANK(W871),W871=0),"",X871/W871)</x:f>
        <x:v>0.44805911792668834</x:v>
      </x:c>
      <x:c r="Z871" s="9" t="n">
        <x:f>IF(OR(ISBLANK(B871),ISBLANK(C871)),"",C871-B871)</x:f>
        <x:v>1</x:v>
      </x:c>
      <x:c r="AA871" t="str">
        <x:f>IF(ISBLANK(B871),"",TEXT(B871,"mmm"))</x:f>
        <x:v>Mar</x:v>
      </x:c>
      <x:c r="AB871" s="9" t="n">
        <x:f>IF(ISBLANK(B871),"",YEAR(B871))</x:f>
        <x:v>2025</x:v>
      </x:c>
      <x:c r="AC871" s="10" t="str">
        <x:v>FLAG: Missing region filled as Unknown</x:v>
      </x:c>
      <x:c r="AD871" t="str">
        <x:f>IF(AND(U871="Completed",T871="Paid",ISERROR(SEARCH("INVALID",AC871)),ISERROR(SEARCH("REVIEW",AC871))),"Include","Exclude")</x:f>
        <x:v>Include</x:v>
      </x:c>
      <x:c r="AE871" t="str">
        <x:f>IF(T871="Refunded","Refunded","")</x:f>
      </x:c>
    </x:row>
    <x:row r="872">
      <x:c r="A872" t="str">
        <x:v>ORD-2025-10871</x:v>
      </x:c>
      <x:c r="B872" s="5" t="n">
        <x:v>45814</x:v>
      </x:c>
      <x:c r="C872" s="5" t="n">
        <x:v>45815</x:v>
      </x:c>
      <x:c r="D872" t="str">
        <x:v>CUST-7054</x:v>
      </x:c>
      <x:c r="E872" t="str">
        <x:v>Vikram Iyer</x:v>
      </x:c>
      <x:c r="F872" t="str">
        <x:v>Corporate</x:v>
      </x:c>
      <x:c r="G872" t="str">
        <x:v>West</x:v>
      </x:c>
      <x:c r="H872" t="str">
        <x:v>Goa</x:v>
      </x:c>
      <x:c r="I872" t="str">
        <x:v>Panaji</x:v>
      </x:c>
      <x:c r="J872" t="str">
        <x:v>Furniture</x:v>
      </x:c>
      <x:c r="K872" t="str">
        <x:v>Tables</x:v>
      </x:c>
      <x:c r="L872" t="str">
        <x:v>Max Tables 281</x:v>
      </x:c>
      <x:c r="M872" t="str">
        <x:v>Standard Class</x:v>
      </x:c>
      <x:c r="N872" t="n">
        <x:v>9</x:v>
      </x:c>
      <x:c r="O872" s="7" t="n">
        <x:v>2932.92</x:v>
      </x:c>
      <x:c r="P872" s="6" t="n">
        <x:v>0.15</x:v>
      </x:c>
      <x:c r="Q872" s="7" t="n">
        <x:v>22436.84</x:v>
      </x:c>
      <x:c r="R872" s="7" t="n">
        <x:v>17454.67</x:v>
      </x:c>
      <x:c r="S872" s="7" t="n">
        <x:v>4982.17</x:v>
      </x:c>
      <x:c r="T872" t="str">
        <x:v>Paid</x:v>
      </x:c>
      <x:c r="U872" t="str">
        <x:v>Cancelled</x:v>
      </x:c>
      <x:c r="V872" s="6" t="n">
        <x:f>IF(ISBLANK(P872),IF(AND(ISNUMBER(N872),N872&gt;0,ISNUMBER(O872),O872&gt;=0,ISNUMBER(Q872),Q872&gt;=0,ISNUMBER(R872),R872&gt;=0,ISNUMBER(S872)),0,""),P872)</x:f>
        <x:v>0.15</x:v>
      </x:c>
      <x:c r="W872" s="7" t="n">
        <x:f>IF(ISBLANK(V872),"",N872*O872*(1-V872))</x:f>
        <x:v>22436.838</x:v>
      </x:c>
      <x:c r="X872" s="7" t="n">
        <x:f>IF(OR(ISBLANK(W872),ISBLANK(R872)),"",W872-R872)</x:f>
        <x:v>4982.1680000000015</x:v>
      </x:c>
      <x:c r="Y872" s="8" t="n">
        <x:f>IF(OR(ISBLANK(W872),W872=0),"",X872/W872)</x:f>
        <x:v>0.2220530361720311</x:v>
      </x:c>
      <x:c r="Z872" s="9" t="n">
        <x:f>IF(OR(ISBLANK(B872),ISBLANK(C872)),"",C872-B872)</x:f>
        <x:v>1</x:v>
      </x:c>
      <x:c r="AA872" t="str">
        <x:f>IF(ISBLANK(B872),"",TEXT(B872,"mmm"))</x:f>
        <x:v>Jun</x:v>
      </x:c>
      <x:c r="AB872" s="9" t="n">
        <x:f>IF(ISBLANK(B872),"",YEAR(B872))</x:f>
        <x:v>2025</x:v>
      </x:c>
      <x:c r="AC872" s="10" t="str">
        <x:v>EXCLUDE: Cancelled order</x:v>
      </x:c>
      <x:c r="AD872" t="str">
        <x:f>IF(AND(U872="Completed",T872="Paid",ISERROR(SEARCH("INVALID",AC872)),ISERROR(SEARCH("REVIEW",AC872))),"Include","Exclude")</x:f>
        <x:v>Exclude</x:v>
      </x:c>
      <x:c r="AE872" t="str">
        <x:f>IF(T872="Refunded","Refunded","")</x:f>
      </x:c>
    </x:row>
    <x:row r="873">
      <x:c r="A873" t="str">
        <x:v>ORD-2024-10872</x:v>
      </x:c>
      <x:c r="B873" s="5" t="n">
        <x:v>45342</x:v>
      </x:c>
      <x:c r="C873" s="5" t="n">
        <x:v>45344</x:v>
      </x:c>
      <x:c r="D873" t="str">
        <x:v>CUST-4375</x:v>
      </x:c>
      <x:c r="E873" t="str">
        <x:v>Neha Gupta</x:v>
      </x:c>
      <x:c r="F873" t="str">
        <x:v>Small Business</x:v>
      </x:c>
      <x:c r="G873" t="str">
        <x:v>South</x:v>
      </x:c>
      <x:c r="H873" t="str">
        <x:v>Telangana</x:v>
      </x:c>
      <x:c r="I873" t="str">
        <x:v>Hyderabad</x:v>
      </x:c>
      <x:c r="J873" t="str">
        <x:v>Technology</x:v>
      </x:c>
      <x:c r="K873" t="str">
        <x:v>Accessories</x:v>
      </x:c>
      <x:c r="L873" t="str">
        <x:v>Pro Accessories 325</x:v>
      </x:c>
      <x:c r="M873" t="str">
        <x:v>First Class</x:v>
      </x:c>
      <x:c r="N873" t="n">
        <x:v>9</x:v>
      </x:c>
      <x:c r="O873" s="7" t="n">
        <x:v>2186.23</x:v>
      </x:c>
      <x:c r="P873" s="6" t="n">
        <x:v>0</x:v>
      </x:c>
      <x:c r="Q873" s="7" t="n">
        <x:v>19676.07</x:v>
      </x:c>
      <x:c r="R873" s="7" t="n">
        <x:v>12458.62</x:v>
      </x:c>
      <x:c r="S873" s="7" t="n">
        <x:v>7217.45</x:v>
      </x:c>
      <x:c r="T873" t="str">
        <x:v>Refunded</x:v>
      </x:c>
      <x:c r="U873" t="str">
        <x:v>Cancelled</x:v>
      </x:c>
      <x:c r="V873" s="6" t="n">
        <x:f>IF(ISBLANK(P873),IF(AND(ISNUMBER(N873),N873&gt;0,ISNUMBER(O873),O873&gt;=0,ISNUMBER(Q873),Q873&gt;=0,ISNUMBER(R873),R873&gt;=0,ISNUMBER(S873)),0,""),P873)</x:f>
        <x:v>0</x:v>
      </x:c>
      <x:c r="W873" s="7" t="n">
        <x:f>IF(ISBLANK(V873),"",N873*O873*(1-V873))</x:f>
        <x:v>19676.07</x:v>
      </x:c>
      <x:c r="X873" s="7" t="n">
        <x:f>IF(OR(ISBLANK(W873),ISBLANK(R873)),"",W873-R873)</x:f>
        <x:v>7217.449999999999</x:v>
      </x:c>
      <x:c r="Y873" s="8" t="n">
        <x:f>IF(OR(ISBLANK(W873),W873=0),"",X873/W873)</x:f>
        <x:v>0.36681359641432454</x:v>
      </x:c>
      <x:c r="Z873" s="9" t="n">
        <x:f>IF(OR(ISBLANK(B873),ISBLANK(C873)),"",C873-B873)</x:f>
        <x:v>2</x:v>
      </x:c>
      <x:c r="AA873" t="str">
        <x:f>IF(ISBLANK(B873),"",TEXT(B873,"mmm"))</x:f>
        <x:v>Feb</x:v>
      </x:c>
      <x:c r="AB873" s="9" t="n">
        <x:f>IF(ISBLANK(B873),"",YEAR(B873))</x:f>
        <x:v>2024</x:v>
      </x:c>
      <x:c r="AC873" s="10" t="str">
        <x:v>EXCLUDE: Cancelled order; REFUND: Summarize separately</x:v>
      </x:c>
      <x:c r="AD873" t="str">
        <x:f>IF(AND(U873="Completed",T873="Paid",ISERROR(SEARCH("INVALID",AC873)),ISERROR(SEARCH("REVIEW",AC873))),"Include","Exclude")</x:f>
        <x:v>Exclude</x:v>
      </x:c>
      <x:c r="AE873" t="str">
        <x:f>IF(T873="Refunded","Refunded","")</x:f>
        <x:v>Refunded</x:v>
      </x:c>
    </x:row>
    <x:row r="874">
      <x:c r="A874" t="str">
        <x:v>ORD-2024-10873</x:v>
      </x:c>
      <x:c r="B874" s="5" t="n">
        <x:v>45597</x:v>
      </x:c>
      <x:c r="C874" s="5" t="n">
        <x:v>45598</x:v>
      </x:c>
      <x:c r="D874" t="str">
        <x:v>CUST-6262</x:v>
      </x:c>
      <x:c r="E874" t="str">
        <x:v>Karan Malhotra</x:v>
      </x:c>
      <x:c r="F874" t="str">
        <x:v>Corporate</x:v>
      </x:c>
      <x:c r="G874" t="str">
        <x:v>East</x:v>
      </x:c>
      <x:c r="H874" t="str">
        <x:v>West Bengal</x:v>
      </x:c>
      <x:c r="I874" t="str">
        <x:v>Kolkata</x:v>
      </x:c>
      <x:c r="J874" t="str">
        <x:v>Furniture</x:v>
      </x:c>
      <x:c r="K874" t="str">
        <x:v>Furnishings</x:v>
      </x:c>
      <x:c r="L874" t="str">
        <x:v>Prime Furnishings 178</x:v>
      </x:c>
      <x:c r="M874" t="str">
        <x:v>Standard Class</x:v>
      </x:c>
      <x:c r="N874" t="n">
        <x:v>5</x:v>
      </x:c>
      <x:c r="O874" s="7" t="n">
        <x:v>2212.02</x:v>
      </x:c>
      <x:c r="P874" s="6" t="n">
        <x:v>0.2</x:v>
      </x:c>
      <x:c r="Q874" s="7" t="n">
        <x:v>8848.08</x:v>
      </x:c>
      <x:c r="R874" s="7" t="n">
        <x:v>5691.56</x:v>
      </x:c>
      <x:c r="S874" s="7" t="n">
        <x:v>3156.52</x:v>
      </x:c>
      <x:c r="T874" t="str">
        <x:v>Paid</x:v>
      </x:c>
      <x:c r="U874" t="str">
        <x:v>Completed</x:v>
      </x:c>
      <x:c r="V874" s="6" t="n">
        <x:f>IF(ISBLANK(P874),IF(AND(ISNUMBER(N874),N874&gt;0,ISNUMBER(O874),O874&gt;=0,ISNUMBER(Q874),Q874&gt;=0,ISNUMBER(R874),R874&gt;=0,ISNUMBER(S874)),0,""),P874)</x:f>
        <x:v>0.2</x:v>
      </x:c>
      <x:c r="W874" s="7" t="n">
        <x:f>IF(ISBLANK(V874),"",N874*O874*(1-V874))</x:f>
        <x:v>8848.08</x:v>
      </x:c>
      <x:c r="X874" s="7" t="n">
        <x:f>IF(OR(ISBLANK(W874),ISBLANK(R874)),"",W874-R874)</x:f>
        <x:v>3156.5199999999995</x:v>
      </x:c>
      <x:c r="Y874" s="8" t="n">
        <x:f>IF(OR(ISBLANK(W874),W874=0),"",X874/W874)</x:f>
        <x:v>0.3567463223659822</x:v>
      </x:c>
      <x:c r="Z874" s="9" t="n">
        <x:f>IF(OR(ISBLANK(B874),ISBLANK(C874)),"",C874-B874)</x:f>
        <x:v>1</x:v>
      </x:c>
      <x:c r="AA874" t="str">
        <x:f>IF(ISBLANK(B874),"",TEXT(B874,"mmm"))</x:f>
        <x:v>Nov</x:v>
      </x:c>
      <x:c r="AB874" s="9" t="n">
        <x:f>IF(ISBLANK(B874),"",YEAR(B874))</x:f>
        <x:v>2024</x:v>
      </x:c>
      <x:c r="AC874" s="10" t="str"/>
      <x:c r="AD874" t="str">
        <x:f>IF(AND(U874="Completed",T874="Paid",ISERROR(SEARCH("INVALID",AC874)),ISERROR(SEARCH("REVIEW",AC874))),"Include","Exclude")</x:f>
        <x:v>Include</x:v>
      </x:c>
      <x:c r="AE874" t="str">
        <x:f>IF(T874="Refunded","Refunded","")</x:f>
      </x:c>
    </x:row>
    <x:row r="875">
      <x:c r="A875" t="str">
        <x:v>ORD-2025-10874</x:v>
      </x:c>
      <x:c r="B875" s="5" t="n">
        <x:v>45689</x:v>
      </x:c>
      <x:c r="C875" s="5" t="n">
        <x:v>45696</x:v>
      </x:c>
      <x:c r="D875" t="str">
        <x:v>CUST-8160</x:v>
      </x:c>
      <x:c r="E875" t="str">
        <x:v>Aditi Sen</x:v>
      </x:c>
      <x:c r="F875" t="str">
        <x:v>Home Office</x:v>
      </x:c>
      <x:c r="G875" t="str">
        <x:v>West</x:v>
      </x:c>
      <x:c r="H875" t="str">
        <x:v>Gujarat</x:v>
      </x:c>
      <x:c r="I875" t="str">
        <x:v>Ahmedabad</x:v>
      </x:c>
      <x:c r="J875" t="str">
        <x:v>Office Supplies</x:v>
      </x:c>
      <x:c r="K875" t="str">
        <x:v>Storage</x:v>
      </x:c>
      <x:c r="L875" t="str">
        <x:v>Elite Storage 144</x:v>
      </x:c>
      <x:c r="M875" t="str">
        <x:v>Second Class</x:v>
      </x:c>
      <x:c r="N875" t="n">
        <x:v>8</x:v>
      </x:c>
      <x:c r="O875" s="7" t="n">
        <x:v>623.31</x:v>
      </x:c>
      <x:c r="P875" s="6" t="n">
        <x:v>0.1</x:v>
      </x:c>
      <x:c r="Q875" s="7" t="n">
        <x:v>4487.83</x:v>
      </x:c>
      <x:c r="R875" s="7" t="n">
        <x:v>2633.78</x:v>
      </x:c>
      <x:c r="S875" s="7" t="n">
        <x:v>1854.05</x:v>
      </x:c>
      <x:c r="T875" t="str">
        <x:v>Paid</x:v>
      </x:c>
      <x:c r="U875" t="str">
        <x:v>Completed</x:v>
      </x:c>
      <x:c r="V875" s="6" t="n">
        <x:f>IF(ISBLANK(P875),IF(AND(ISNUMBER(N875),N875&gt;0,ISNUMBER(O875),O875&gt;=0,ISNUMBER(Q875),Q875&gt;=0,ISNUMBER(R875),R875&gt;=0,ISNUMBER(S875)),0,""),P875)</x:f>
        <x:v>0.1</x:v>
      </x:c>
      <x:c r="W875" s="7" t="n">
        <x:f>IF(ISBLANK(V875),"",N875*O875*(1-V875))</x:f>
        <x:v>4487.831999999999</x:v>
      </x:c>
      <x:c r="X875" s="7" t="n">
        <x:f>IF(OR(ISBLANK(W875),ISBLANK(R875)),"",W875-R875)</x:f>
        <x:v>1854.0519999999992</x:v>
      </x:c>
      <x:c r="Y875" s="8" t="n">
        <x:f>IF(OR(ISBLANK(W875),W875=0),"",X875/W875)</x:f>
        <x:v>0.4131286554398648</x:v>
      </x:c>
      <x:c r="Z875" s="9" t="n">
        <x:f>IF(OR(ISBLANK(B875),ISBLANK(C875)),"",C875-B875)</x:f>
        <x:v>7</x:v>
      </x:c>
      <x:c r="AA875" t="str">
        <x:f>IF(ISBLANK(B875),"",TEXT(B875,"mmm"))</x:f>
        <x:v>Feb</x:v>
      </x:c>
      <x:c r="AB875" s="9" t="n">
        <x:f>IF(ISBLANK(B875),"",YEAR(B875))</x:f>
        <x:v>2025</x:v>
      </x:c>
      <x:c r="AC875" s="10" t="str"/>
      <x:c r="AD875" t="str">
        <x:f>IF(AND(U875="Completed",T875="Paid",ISERROR(SEARCH("INVALID",AC875)),ISERROR(SEARCH("REVIEW",AC875))),"Include","Exclude")</x:f>
        <x:v>Include</x:v>
      </x:c>
      <x:c r="AE875" t="str">
        <x:f>IF(T875="Refunded","Refunded","")</x:f>
      </x:c>
    </x:row>
    <x:row r="876">
      <x:c r="A876" t="str">
        <x:v>ORD-2025-10875</x:v>
      </x:c>
      <x:c r="B876" s="5" t="n">
        <x:v>45853</x:v>
      </x:c>
      <x:c r="C876" s="5" t="n">
        <x:v>45854</x:v>
      </x:c>
      <x:c r="D876" t="str">
        <x:v>CUST-8770</x:v>
      </x:c>
      <x:c r="E876" t="str">
        <x:v>Vikram Iyer</x:v>
      </x:c>
      <x:c r="F876" t="str">
        <x:v>Small Business</x:v>
      </x:c>
      <x:c r="G876" t="str">
        <x:v>West</x:v>
      </x:c>
      <x:c r="H876" t="str">
        <x:v>Maharashtra</x:v>
      </x:c>
      <x:c r="I876" t="str">
        <x:v>Mumbai</x:v>
      </x:c>
      <x:c r="J876" t="str">
        <x:v>Office Supplies</x:v>
      </x:c>
      <x:c r="K876" t="str">
        <x:v>Paper</x:v>
      </x:c>
      <x:c r="L876" t="str">
        <x:v>Elite Paper 309</x:v>
      </x:c>
      <x:c r="M876" t="str">
        <x:v>Standard Class</x:v>
      </x:c>
      <x:c r="N876" t="n">
        <x:v>8</x:v>
      </x:c>
      <x:c r="O876" s="7" t="n">
        <x:v>3924.88</x:v>
      </x:c>
      <x:c r="P876" s="6" t="n">
        <x:v>0.05</x:v>
      </x:c>
      <x:c r="Q876" s="7" t="n">
        <x:v>29829.09</x:v>
      </x:c>
      <x:c r="R876" s="7" t="n">
        <x:v>20710.18</x:v>
      </x:c>
      <x:c r="S876" s="7" t="n">
        <x:v>9118.91</x:v>
      </x:c>
      <x:c r="T876" t="str">
        <x:v>Paid</x:v>
      </x:c>
      <x:c r="U876" t="str">
        <x:v>Completed</x:v>
      </x:c>
      <x:c r="V876" s="6" t="n">
        <x:f>IF(ISBLANK(P876),IF(AND(ISNUMBER(N876),N876&gt;0,ISNUMBER(O876),O876&gt;=0,ISNUMBER(Q876),Q876&gt;=0,ISNUMBER(R876),R876&gt;=0,ISNUMBER(S876)),0,""),P876)</x:f>
        <x:v>0.05</x:v>
      </x:c>
      <x:c r="W876" s="7" t="n">
        <x:f>IF(ISBLANK(V876),"",N876*O876*(1-V876))</x:f>
        <x:v>29829.088</x:v>
      </x:c>
      <x:c r="X876" s="7" t="n">
        <x:f>IF(OR(ISBLANK(W876),ISBLANK(R876)),"",W876-R876)</x:f>
        <x:v>9118.908</x:v>
      </x:c>
      <x:c r="Y876" s="8" t="n">
        <x:f>IF(OR(ISBLANK(W876),W876=0),"",X876/W876)</x:f>
        <x:v>0.3057052230359842</x:v>
      </x:c>
      <x:c r="Z876" s="9" t="n">
        <x:f>IF(OR(ISBLANK(B876),ISBLANK(C876)),"",C876-B876)</x:f>
        <x:v>1</x:v>
      </x:c>
      <x:c r="AA876" t="str">
        <x:f>IF(ISBLANK(B876),"",TEXT(B876,"mmm"))</x:f>
        <x:v>Jul</x:v>
      </x:c>
      <x:c r="AB876" s="9" t="n">
        <x:f>IF(ISBLANK(B876),"",YEAR(B876))</x:f>
        <x:v>2025</x:v>
      </x:c>
      <x:c r="AC876" s="10" t="str"/>
      <x:c r="AD876" t="str">
        <x:f>IF(AND(U876="Completed",T876="Paid",ISERROR(SEARCH("INVALID",AC876)),ISERROR(SEARCH("REVIEW",AC876))),"Include","Exclude")</x:f>
        <x:v>Include</x:v>
      </x:c>
      <x:c r="AE876" t="str">
        <x:f>IF(T876="Refunded","Refunded","")</x:f>
      </x:c>
    </x:row>
    <x:row r="877">
      <x:c r="A877" t="str">
        <x:v>ORD-2024-10876</x:v>
      </x:c>
      <x:c r="B877" s="5" t="n">
        <x:v>45514</x:v>
      </x:c>
      <x:c r="C877" s="5" t="n">
        <x:v>45515</x:v>
      </x:c>
      <x:c r="D877" t="str">
        <x:v>CUST-6928</x:v>
      </x:c>
      <x:c r="E877" t="str">
        <x:v>Mira Das</x:v>
      </x:c>
      <x:c r="F877" t="str">
        <x:v>Corporate</x:v>
      </x:c>
      <x:c r="G877" t="str">
        <x:v>West</x:v>
      </x:c>
      <x:c r="H877" t="str">
        <x:v>Maharashtra</x:v>
      </x:c>
      <x:c r="I877" t="str">
        <x:v>Mumbai</x:v>
      </x:c>
      <x:c r="J877" t="str">
        <x:v>Technology</x:v>
      </x:c>
      <x:c r="K877" t="str">
        <x:v>Copiers</x:v>
      </x:c>
      <x:c r="L877" t="str">
        <x:v>Elite Copiers 752</x:v>
      </x:c>
      <x:c r="M877" t="str">
        <x:v>First Class</x:v>
      </x:c>
      <x:c r="N877" t="n">
        <x:v>7</x:v>
      </x:c>
      <x:c r="O877" s="7" t="n">
        <x:v>3852.62</x:v>
      </x:c>
      <x:c r="P877" s="6" t="n">
        <x:v>0.2</x:v>
      </x:c>
      <x:c r="Q877" s="7" t="n">
        <x:v>21574.67</x:v>
      </x:c>
      <x:c r="R877" s="7" t="n">
        <x:v>14672.83</x:v>
      </x:c>
      <x:c r="S877" s="7" t="n">
        <x:v>6901.84</x:v>
      </x:c>
      <x:c r="T877" t="str">
        <x:v>Paid</x:v>
      </x:c>
      <x:c r="U877" t="str">
        <x:v>Completed</x:v>
      </x:c>
      <x:c r="V877" s="6" t="n">
        <x:f>IF(ISBLANK(P877),IF(AND(ISNUMBER(N877),N877&gt;0,ISNUMBER(O877),O877&gt;=0,ISNUMBER(Q877),Q877&gt;=0,ISNUMBER(R877),R877&gt;=0,ISNUMBER(S877)),0,""),P877)</x:f>
        <x:v>0.2</x:v>
      </x:c>
      <x:c r="W877" s="7" t="n">
        <x:f>IF(ISBLANK(V877),"",N877*O877*(1-V877))</x:f>
        <x:v>21574.672000000002</x:v>
      </x:c>
      <x:c r="X877" s="7" t="n">
        <x:f>IF(OR(ISBLANK(W877),ISBLANK(R877)),"",W877-R877)</x:f>
        <x:v>6901.842000000002</x:v>
      </x:c>
      <x:c r="Y877" s="8" t="n">
        <x:f>IF(OR(ISBLANK(W877),W877=0),"",X877/W877)</x:f>
        <x:v>0.3199048402682554</x:v>
      </x:c>
      <x:c r="Z877" s="9" t="n">
        <x:f>IF(OR(ISBLANK(B877),ISBLANK(C877)),"",C877-B877)</x:f>
        <x:v>1</x:v>
      </x:c>
      <x:c r="AA877" t="str">
        <x:f>IF(ISBLANK(B877),"",TEXT(B877,"mmm"))</x:f>
        <x:v>Aug</x:v>
      </x:c>
      <x:c r="AB877" s="9" t="n">
        <x:f>IF(ISBLANK(B877),"",YEAR(B877))</x:f>
        <x:v>2024</x:v>
      </x:c>
      <x:c r="AC877" s="10" t="str"/>
      <x:c r="AD877" t="str">
        <x:f>IF(AND(U877="Completed",T877="Paid",ISERROR(SEARCH("INVALID",AC877)),ISERROR(SEARCH("REVIEW",AC877))),"Include","Exclude")</x:f>
        <x:v>Include</x:v>
      </x:c>
      <x:c r="AE877" t="str">
        <x:f>IF(T877="Refunded","Refunded","")</x:f>
      </x:c>
    </x:row>
    <x:row r="878">
      <x:c r="A878" t="str">
        <x:v>ORD-2024-10877</x:v>
      </x:c>
      <x:c r="B878" s="5" t="n">
        <x:v>45614</x:v>
      </x:c>
      <x:c r="C878" s="5" t="n">
        <x:v>45616</x:v>
      </x:c>
      <x:c r="D878" t="str">
        <x:v>CUST-9044</x:v>
      </x:c>
      <x:c r="E878" t="str">
        <x:v>Priya Menon</x:v>
      </x:c>
      <x:c r="F878" t="str">
        <x:v>Consumer</x:v>
      </x:c>
      <x:c r="G878" t="str">
        <x:v>West</x:v>
      </x:c>
      <x:c r="H878" t="str">
        <x:v>Rajasthan</x:v>
      </x:c>
      <x:c r="I878" t="str">
        <x:v>Udaipur</x:v>
      </x:c>
      <x:c r="J878" t="str">
        <x:v>Furniture</x:v>
      </x:c>
      <x:c r="K878" t="str">
        <x:v>Chairs</x:v>
      </x:c>
      <x:c r="L878" t="str">
        <x:v>Pro Chairs 316</x:v>
      </x:c>
      <x:c r="M878" t="str">
        <x:v>First Class</x:v>
      </x:c>
      <x:c r="N878" t="n">
        <x:v>6</x:v>
      </x:c>
      <x:c r="O878" s="7" t="n">
        <x:v>3790.22</x:v>
      </x:c>
      <x:c r="P878" s="6" t="n">
        <x:v>0</x:v>
      </x:c>
      <x:c r="Q878" s="7" t="n">
        <x:v>22741.32</x:v>
      </x:c>
      <x:c r="R878" s="7" t="n">
        <x:v>16388.57</x:v>
      </x:c>
      <x:c r="S878" s="7" t="n">
        <x:v>6352.75</x:v>
      </x:c>
      <x:c r="T878" t="str">
        <x:v>Paid</x:v>
      </x:c>
      <x:c r="U878" t="str">
        <x:v>Completed</x:v>
      </x:c>
      <x:c r="V878" s="6" t="n">
        <x:f>IF(ISBLANK(P878),IF(AND(ISNUMBER(N878),N878&gt;0,ISNUMBER(O878),O878&gt;=0,ISNUMBER(Q878),Q878&gt;=0,ISNUMBER(R878),R878&gt;=0,ISNUMBER(S878)),0,""),P878)</x:f>
        <x:v>0</x:v>
      </x:c>
      <x:c r="W878" s="7" t="n">
        <x:f>IF(ISBLANK(V878),"",N878*O878*(1-V878))</x:f>
        <x:v>22741.32</x:v>
      </x:c>
      <x:c r="X878" s="7" t="n">
        <x:f>IF(OR(ISBLANK(W878),ISBLANK(R878)),"",W878-R878)</x:f>
        <x:v>6352.75</x:v>
      </x:c>
      <x:c r="Y878" s="8" t="n">
        <x:f>IF(OR(ISBLANK(W878),W878=0),"",X878/W878)</x:f>
        <x:v>0.2793483403777793</x:v>
      </x:c>
      <x:c r="Z878" s="9" t="n">
        <x:f>IF(OR(ISBLANK(B878),ISBLANK(C878)),"",C878-B878)</x:f>
        <x:v>2</x:v>
      </x:c>
      <x:c r="AA878" t="str">
        <x:f>IF(ISBLANK(B878),"",TEXT(B878,"mmm"))</x:f>
        <x:v>Nov</x:v>
      </x:c>
      <x:c r="AB878" s="9" t="n">
        <x:f>IF(ISBLANK(B878),"",YEAR(B878))</x:f>
        <x:v>2024</x:v>
      </x:c>
      <x:c r="AC878" s="10" t="str"/>
      <x:c r="AD878" t="str">
        <x:f>IF(AND(U878="Completed",T878="Paid",ISERROR(SEARCH("INVALID",AC878)),ISERROR(SEARCH("REVIEW",AC878))),"Include","Exclude")</x:f>
        <x:v>Include</x:v>
      </x:c>
      <x:c r="AE878" t="str">
        <x:f>IF(T878="Refunded","Refunded","")</x:f>
      </x:c>
    </x:row>
    <x:row r="879">
      <x:c r="A879" t="str">
        <x:v>ORD-2025-10878</x:v>
      </x:c>
      <x:c r="B879" s="5" t="n">
        <x:v>45895</x:v>
      </x:c>
      <x:c r="C879" s="5" t="n">
        <x:v>45903</x:v>
      </x:c>
      <x:c r="D879" t="str">
        <x:v>CUST-7146</x:v>
      </x:c>
      <x:c r="E879" t="str">
        <x:v>Aarav Sharma</x:v>
      </x:c>
      <x:c r="F879" t="str">
        <x:v>Consumer</x:v>
      </x:c>
      <x:c r="G879" t="str">
        <x:v>West</x:v>
      </x:c>
      <x:c r="H879" t="str">
        <x:v>Rajasthan</x:v>
      </x:c>
      <x:c r="I879" t="str">
        <x:v>Udaipur</x:v>
      </x:c>
      <x:c r="J879" t="str">
        <x:v>Office Supplies</x:v>
      </x:c>
      <x:c r="K879" t="str">
        <x:v>Storage</x:v>
      </x:c>
      <x:c r="L879" t="str">
        <x:v>Max Storage 438</x:v>
      </x:c>
      <x:c r="M879" t="str">
        <x:v>Second Class</x:v>
      </x:c>
      <x:c r="N879" t="n">
        <x:v>6</x:v>
      </x:c>
      <x:c r="O879" s="7" t="n">
        <x:v>674.36</x:v>
      </x:c>
      <x:c r="P879" s="6" t="n">
        <x:v>0.1</x:v>
      </x:c>
      <x:c r="Q879" s="7" t="n">
        <x:v>3641.54</x:v>
      </x:c>
      <x:c r="R879" s="7" t="n">
        <x:v>2690.37</x:v>
      </x:c>
      <x:c r="S879" s="7" t="n">
        <x:v>951.17</x:v>
      </x:c>
      <x:c r="T879" t="str">
        <x:v>Paid</x:v>
      </x:c>
      <x:c r="U879" t="str">
        <x:v>Completed</x:v>
      </x:c>
      <x:c r="V879" s="6" t="n">
        <x:f>IF(ISBLANK(P879),IF(AND(ISNUMBER(N879),N879&gt;0,ISNUMBER(O879),O879&gt;=0,ISNUMBER(Q879),Q879&gt;=0,ISNUMBER(R879),R879&gt;=0,ISNUMBER(S879)),0,""),P879)</x:f>
        <x:v>0.1</x:v>
      </x:c>
      <x:c r="W879" s="7" t="n">
        <x:f>IF(ISBLANK(V879),"",N879*O879*(1-V879))</x:f>
        <x:v>3641.544</x:v>
      </x:c>
      <x:c r="X879" s="7" t="n">
        <x:f>IF(OR(ISBLANK(W879),ISBLANK(R879)),"",W879-R879)</x:f>
        <x:v>951.174</x:v>
      </x:c>
      <x:c r="Y879" s="8" t="n">
        <x:f>IF(OR(ISBLANK(W879),W879=0),"",X879/W879)</x:f>
        <x:v>0.26120074342092253</x:v>
      </x:c>
      <x:c r="Z879" s="9" t="n">
        <x:f>IF(OR(ISBLANK(B879),ISBLANK(C879)),"",C879-B879)</x:f>
        <x:v>8</x:v>
      </x:c>
      <x:c r="AA879" t="str">
        <x:f>IF(ISBLANK(B879),"",TEXT(B879,"mmm"))</x:f>
        <x:v>Aug</x:v>
      </x:c>
      <x:c r="AB879" s="9" t="n">
        <x:f>IF(ISBLANK(B879),"",YEAR(B879))</x:f>
        <x:v>2025</x:v>
      </x:c>
      <x:c r="AC879" s="10" t="str"/>
      <x:c r="AD879" t="str">
        <x:f>IF(AND(U879="Completed",T879="Paid",ISERROR(SEARCH("INVALID",AC879)),ISERROR(SEARCH("REVIEW",AC879))),"Include","Exclude")</x:f>
        <x:v>Include</x:v>
      </x:c>
      <x:c r="AE879" t="str">
        <x:f>IF(T879="Refunded","Refunded","")</x:f>
      </x:c>
    </x:row>
    <x:row r="880">
      <x:c r="A880" t="str">
        <x:v>ORD-2024-10879</x:v>
      </x:c>
      <x:c r="B880" s="5" t="n">
        <x:v>45313</x:v>
      </x:c>
      <x:c r="C880" s="5" t="n">
        <x:v>45313</x:v>
      </x:c>
      <x:c r="D880" t="str">
        <x:v>CUST-8534</x:v>
      </x:c>
      <x:c r="E880" t="str">
        <x:v>Karan Malhotra</x:v>
      </x:c>
      <x:c r="F880" t="str">
        <x:v>Corporate</x:v>
      </x:c>
      <x:c r="G880" t="str">
        <x:v>East</x:v>
      </x:c>
      <x:c r="H880" t="str">
        <x:v>West Bengal</x:v>
      </x:c>
      <x:c r="I880" t="str">
        <x:v>Kolkata</x:v>
      </x:c>
      <x:c r="J880" t="str">
        <x:v>Office Supplies</x:v>
      </x:c>
      <x:c r="K880" t="str">
        <x:v>Paper</x:v>
      </x:c>
      <x:c r="L880" t="str">
        <x:v>Basic Paper 904</x:v>
      </x:c>
      <x:c r="M880" t="str">
        <x:v>First Class</x:v>
      </x:c>
      <x:c r="N880" t="n">
        <x:v>8</x:v>
      </x:c>
      <x:c r="O880" s="7" t="n">
        <x:v>1557.21</x:v>
      </x:c>
      <x:c r="P880" s="6" t="n">
        <x:v>0.05</x:v>
      </x:c>
      <x:c r="Q880" s="7" t="n">
        <x:v>11834.8</x:v>
      </x:c>
      <x:c r="R880" s="7" t="n">
        <x:v>9322.36</x:v>
      </x:c>
      <x:c r="S880" s="7" t="n">
        <x:v>2512.44</x:v>
      </x:c>
      <x:c r="T880" t="str">
        <x:v>Paid</x:v>
      </x:c>
      <x:c r="U880" t="str">
        <x:v>Completed</x:v>
      </x:c>
      <x:c r="V880" s="6" t="n">
        <x:f>IF(ISBLANK(P880),IF(AND(ISNUMBER(N880),N880&gt;0,ISNUMBER(O880),O880&gt;=0,ISNUMBER(Q880),Q880&gt;=0,ISNUMBER(R880),R880&gt;=0,ISNUMBER(S880)),0,""),P880)</x:f>
        <x:v>0.05</x:v>
      </x:c>
      <x:c r="W880" s="7" t="n">
        <x:f>IF(ISBLANK(V880),"",N880*O880*(1-V880))</x:f>
        <x:v>11834.796</x:v>
      </x:c>
      <x:c r="X880" s="7" t="n">
        <x:f>IF(OR(ISBLANK(W880),ISBLANK(R880)),"",W880-R880)</x:f>
        <x:v>2512.4359999999997</x:v>
      </x:c>
      <x:c r="Y880" s="8" t="n">
        <x:f>IF(OR(ISBLANK(W880),W880=0),"",X880/W880)</x:f>
        <x:v>0.21229229468763125</x:v>
      </x:c>
      <x:c r="Z880" s="9" t="n">
        <x:f>IF(OR(ISBLANK(B880),ISBLANK(C880)),"",C880-B880)</x:f>
        <x:v>0</x:v>
      </x:c>
      <x:c r="AA880" t="str">
        <x:f>IF(ISBLANK(B880),"",TEXT(B880,"mmm"))</x:f>
        <x:v>Jan</x:v>
      </x:c>
      <x:c r="AB880" s="9" t="n">
        <x:f>IF(ISBLANK(B880),"",YEAR(B880))</x:f>
        <x:v>2024</x:v>
      </x:c>
      <x:c r="AC880" s="10" t="str"/>
      <x:c r="AD880" t="str">
        <x:f>IF(AND(U880="Completed",T880="Paid",ISERROR(SEARCH("INVALID",AC880)),ISERROR(SEARCH("REVIEW",AC880))),"Include","Exclude")</x:f>
        <x:v>Include</x:v>
      </x:c>
      <x:c r="AE880" t="str">
        <x:f>IF(T880="Refunded","Refunded","")</x:f>
      </x:c>
    </x:row>
    <x:row r="881">
      <x:c r="A881" t="str">
        <x:v>ORD-2025-10880</x:v>
      </x:c>
      <x:c r="B881" s="5" t="n">
        <x:v>45896</x:v>
      </x:c>
      <x:c r="C881" s="5" t="n">
        <x:v>45897</x:v>
      </x:c>
      <x:c r="D881" t="str">
        <x:v>CUST-4486</x:v>
      </x:c>
      <x:c r="E881" t="str">
        <x:v>Ananya Rao</x:v>
      </x:c>
      <x:c r="F881" t="str">
        <x:v>Home Office</x:v>
      </x:c>
      <x:c r="G881" t="str">
        <x:v>North</x:v>
      </x:c>
      <x:c r="H881" t="str">
        <x:v>Uttar Pradesh</x:v>
      </x:c>
      <x:c r="I881" t="str">
        <x:v>Noida</x:v>
      </x:c>
      <x:c r="J881" t="str">
        <x:v>Office Supplies</x:v>
      </x:c>
      <x:c r="K881" t="str">
        <x:v>Art</x:v>
      </x:c>
      <x:c r="L881" t="str">
        <x:v>Smart Art 990</x:v>
      </x:c>
      <x:c r="M881" t="str">
        <x:v>Standard Class</x:v>
      </x:c>
      <x:c r="N881" t="n">
        <x:v>6</x:v>
      </x:c>
      <x:c r="O881" s="7" t="n">
        <x:v>1182.03</x:v>
      </x:c>
      <x:c r="P881" s="6" t="n">
        <x:v>0.15</x:v>
      </x:c>
      <x:c r="Q881" s="7" t="n">
        <x:v>6028.35</x:v>
      </x:c>
      <x:c r="R881" s="7" t="n">
        <x:v>4433.63</x:v>
      </x:c>
      <x:c r="S881" s="7" t="n">
        <x:v>1594.72</x:v>
      </x:c>
      <x:c r="T881" t="str">
        <x:v>Paid</x:v>
      </x:c>
      <x:c r="U881" t="str">
        <x:v>Completed</x:v>
      </x:c>
      <x:c r="V881" s="6" t="n">
        <x:f>IF(ISBLANK(P881),IF(AND(ISNUMBER(N881),N881&gt;0,ISNUMBER(O881),O881&gt;=0,ISNUMBER(Q881),Q881&gt;=0,ISNUMBER(R881),R881&gt;=0,ISNUMBER(S881)),0,""),P881)</x:f>
        <x:v>0.15</x:v>
      </x:c>
      <x:c r="W881" s="7" t="n">
        <x:f>IF(ISBLANK(V881),"",N881*O881*(1-V881))</x:f>
        <x:v>6028.353</x:v>
      </x:c>
      <x:c r="X881" s="7" t="n">
        <x:f>IF(OR(ISBLANK(W881),ISBLANK(R881)),"",W881-R881)</x:f>
        <x:v>1594.723</x:v>
      </x:c>
      <x:c r="Y881" s="8" t="n">
        <x:f>IF(OR(ISBLANK(W881),W881=0),"",X881/W881)</x:f>
        <x:v>0.2645370966166049</x:v>
      </x:c>
      <x:c r="Z881" s="9" t="n">
        <x:f>IF(OR(ISBLANK(B881),ISBLANK(C881)),"",C881-B881)</x:f>
        <x:v>1</x:v>
      </x:c>
      <x:c r="AA881" t="str">
        <x:f>IF(ISBLANK(B881),"",TEXT(B881,"mmm"))</x:f>
        <x:v>Aug</x:v>
      </x:c>
      <x:c r="AB881" s="9" t="n">
        <x:f>IF(ISBLANK(B881),"",YEAR(B881))</x:f>
        <x:v>2025</x:v>
      </x:c>
      <x:c r="AC881" s="10" t="str"/>
      <x:c r="AD881" t="str">
        <x:f>IF(AND(U881="Completed",T881="Paid",ISERROR(SEARCH("INVALID",AC881)),ISERROR(SEARCH("REVIEW",AC881))),"Include","Exclude")</x:f>
        <x:v>Include</x:v>
      </x:c>
      <x:c r="AE881" t="str">
        <x:f>IF(T881="Refunded","Refunded","")</x:f>
      </x:c>
    </x:row>
    <x:row r="882">
      <x:c r="A882" t="str">
        <x:v>ORD-2024-10881</x:v>
      </x:c>
      <x:c r="B882" s="5" t="n">
        <x:v>45359</x:v>
      </x:c>
      <x:c r="C882" s="5" t="n">
        <x:v>45366</x:v>
      </x:c>
      <x:c r="D882" t="str">
        <x:v>CUST-5287</x:v>
      </x:c>
      <x:c r="E882" t="str">
        <x:v>Aarav Sharma</x:v>
      </x:c>
      <x:c r="F882" t="str">
        <x:v>Small Business</x:v>
      </x:c>
      <x:c r="G882" t="str">
        <x:v>Unknown</x:v>
      </x:c>
      <x:c r="H882" t="str">
        <x:v>Punjab</x:v>
      </x:c>
      <x:c r="I882" t="str">
        <x:v>Ludhiana</x:v>
      </x:c>
      <x:c r="J882" t="str">
        <x:v>Furniture</x:v>
      </x:c>
      <x:c r="K882" t="str">
        <x:v>Chairs</x:v>
      </x:c>
      <x:c r="L882" t="str">
        <x:v>Basic Chairs 327</x:v>
      </x:c>
      <x:c r="M882" t="str">
        <x:v>First Class</x:v>
      </x:c>
      <x:c r="N882" t="n">
        <x:v>5</x:v>
      </x:c>
      <x:c r="O882" s="7" t="n">
        <x:v>3234.77</x:v>
      </x:c>
      <x:c r="P882" s="6" t="n">
        <x:v>0</x:v>
      </x:c>
      <x:c r="Q882" s="7" t="n">
        <x:v>16173.85</x:v>
      </x:c>
      <x:c r="R882" s="7" t="n">
        <x:v>13636.34</x:v>
      </x:c>
      <x:c r="S882" s="7" t="n">
        <x:v>2537.51</x:v>
      </x:c>
      <x:c r="T882" t="str">
        <x:v>Paid</x:v>
      </x:c>
      <x:c r="U882" t="str">
        <x:v>Completed</x:v>
      </x:c>
      <x:c r="V882" s="6" t="n">
        <x:f>IF(ISBLANK(P882),IF(AND(ISNUMBER(N882),N882&gt;0,ISNUMBER(O882),O882&gt;=0,ISNUMBER(Q882),Q882&gt;=0,ISNUMBER(R882),R882&gt;=0,ISNUMBER(S882)),0,""),P882)</x:f>
        <x:v>0</x:v>
      </x:c>
      <x:c r="W882" s="7" t="n">
        <x:f>IF(ISBLANK(V882),"",N882*O882*(1-V882))</x:f>
        <x:v>16173.85</x:v>
      </x:c>
      <x:c r="X882" s="7" t="n">
        <x:f>IF(OR(ISBLANK(W882),ISBLANK(R882)),"",W882-R882)</x:f>
        <x:v>2537.51</x:v>
      </x:c>
      <x:c r="Y882" s="8" t="n">
        <x:f>IF(OR(ISBLANK(W882),W882=0),"",X882/W882)</x:f>
        <x:v>0.15688967067210344</x:v>
      </x:c>
      <x:c r="Z882" s="9" t="n">
        <x:f>IF(OR(ISBLANK(B882),ISBLANK(C882)),"",C882-B882)</x:f>
        <x:v>7</x:v>
      </x:c>
      <x:c r="AA882" t="str">
        <x:f>IF(ISBLANK(B882),"",TEXT(B882,"mmm"))</x:f>
        <x:v>Mar</x:v>
      </x:c>
      <x:c r="AB882" s="9" t="n">
        <x:f>IF(ISBLANK(B882),"",YEAR(B882))</x:f>
        <x:v>2024</x:v>
      </x:c>
      <x:c r="AC882" s="10" t="str">
        <x:v>FLAG: Missing region filled as Unknown</x:v>
      </x:c>
      <x:c r="AD882" t="str">
        <x:f>IF(AND(U882="Completed",T882="Paid",ISERROR(SEARCH("INVALID",AC882)),ISERROR(SEARCH("REVIEW",AC882))),"Include","Exclude")</x:f>
        <x:v>Include</x:v>
      </x:c>
      <x:c r="AE882" t="str">
        <x:f>IF(T882="Refunded","Refunded","")</x:f>
      </x:c>
    </x:row>
    <x:row r="883">
      <x:c r="A883" t="str">
        <x:v>ORD-2024-10882</x:v>
      </x:c>
      <x:c r="B883" s="5" t="n">
        <x:v>45627</x:v>
      </x:c>
      <x:c r="C883" s="5" t="n">
        <x:v>45631</x:v>
      </x:c>
      <x:c r="D883" t="str">
        <x:v>CUST-3445</x:v>
      </x:c>
      <x:c r="E883" t="str">
        <x:v>Ananya Rao</x:v>
      </x:c>
      <x:c r="F883" t="str">
        <x:v>Small Business</x:v>
      </x:c>
      <x:c r="G883" t="str">
        <x:v>South</x:v>
      </x:c>
      <x:c r="H883" t="str">
        <x:v>Andhra Pradesh</x:v>
      </x:c>
      <x:c r="I883" t="str">
        <x:v>Vijayawada</x:v>
      </x:c>
      <x:c r="J883" t="str">
        <x:v>Technology</x:v>
      </x:c>
      <x:c r="K883" t="str">
        <x:v>Copiers</x:v>
      </x:c>
      <x:c r="L883" t="str">
        <x:v>Eco Copiers 987</x:v>
      </x:c>
      <x:c r="M883" t="str">
        <x:v>Second Class</x:v>
      </x:c>
      <x:c r="N883" t="n">
        <x:v>9</x:v>
      </x:c>
      <x:c r="O883" s="7" t="n">
        <x:v>3726.75</x:v>
      </x:c>
      <x:c r="P883" s="6" t="n">
        <x:v>0.25</x:v>
      </x:c>
      <x:c r="Q883" s="7" t="n">
        <x:v>25155.56</x:v>
      </x:c>
      <x:c r="R883" s="7" t="n">
        <x:v>17592.69</x:v>
      </x:c>
      <x:c r="S883" s="7" t="n">
        <x:v>7562.87</x:v>
      </x:c>
      <x:c r="T883" t="str">
        <x:v>Paid</x:v>
      </x:c>
      <x:c r="U883" t="str">
        <x:v>Completed</x:v>
      </x:c>
      <x:c r="V883" s="6" t="n">
        <x:f>IF(ISBLANK(P883),IF(AND(ISNUMBER(N883),N883&gt;0,ISNUMBER(O883),O883&gt;=0,ISNUMBER(Q883),Q883&gt;=0,ISNUMBER(R883),R883&gt;=0,ISNUMBER(S883)),0,""),P883)</x:f>
        <x:v>0.25</x:v>
      </x:c>
      <x:c r="W883" s="7" t="n">
        <x:f>IF(ISBLANK(V883),"",N883*O883*(1-V883))</x:f>
        <x:v>25155.5625</x:v>
      </x:c>
      <x:c r="X883" s="7" t="n">
        <x:f>IF(OR(ISBLANK(W883),ISBLANK(R883)),"",W883-R883)</x:f>
        <x:v>7562.872500000001</x:v>
      </x:c>
      <x:c r="Y883" s="8" t="n">
        <x:f>IF(OR(ISBLANK(W883),W883=0),"",X883/W883)</x:f>
        <x:v>0.30064414182747856</x:v>
      </x:c>
      <x:c r="Z883" s="9" t="n">
        <x:f>IF(OR(ISBLANK(B883),ISBLANK(C883)),"",C883-B883)</x:f>
        <x:v>4</x:v>
      </x:c>
      <x:c r="AA883" t="str">
        <x:f>IF(ISBLANK(B883),"",TEXT(B883,"mmm"))</x:f>
        <x:v>Dec</x:v>
      </x:c>
      <x:c r="AB883" s="9" t="n">
        <x:f>IF(ISBLANK(B883),"",YEAR(B883))</x:f>
        <x:v>2024</x:v>
      </x:c>
      <x:c r="AC883" s="10" t="str"/>
      <x:c r="AD883" t="str">
        <x:f>IF(AND(U883="Completed",T883="Paid",ISERROR(SEARCH("INVALID",AC883)),ISERROR(SEARCH("REVIEW",AC883))),"Include","Exclude")</x:f>
        <x:v>Include</x:v>
      </x:c>
      <x:c r="AE883" t="str">
        <x:f>IF(T883="Refunded","Refunded","")</x:f>
      </x:c>
    </x:row>
    <x:row r="884">
      <x:c r="A884" t="str">
        <x:v>ORD-2025-10883</x:v>
      </x:c>
      <x:c r="B884" s="5" t="n">
        <x:v>45690</x:v>
      </x:c>
      <x:c r="C884" s="5" t="n">
        <x:v>45698</x:v>
      </x:c>
      <x:c r="D884" t="str">
        <x:v>CUST-4983</x:v>
      </x:c>
      <x:c r="E884" t="str">
        <x:v>Sneha Kapoor</x:v>
      </x:c>
      <x:c r="F884" t="str">
        <x:v>Corporate</x:v>
      </x:c>
      <x:c r="G884" t="str">
        <x:v>East</x:v>
      </x:c>
      <x:c r="H884" t="str">
        <x:v>Bihar</x:v>
      </x:c>
      <x:c r="I884" t="str">
        <x:v>Patna</x:v>
      </x:c>
      <x:c r="J884" t="str">
        <x:v>Technology</x:v>
      </x:c>
      <x:c r="K884" t="str">
        <x:v>Accessories</x:v>
      </x:c>
      <x:c r="L884" t="str">
        <x:v>Basic Accessories 607</x:v>
      </x:c>
      <x:c r="M884" t="str">
        <x:v>Standard Class</x:v>
      </x:c>
      <x:c r="N884" t="n">
        <x:v>4</x:v>
      </x:c>
      <x:c r="O884" s="7" t="n">
        <x:v>1912.45</x:v>
      </x:c>
      <x:c r="P884" s="6" t="n">
        <x:v>0</x:v>
      </x:c>
      <x:c r="Q884" s="7" t="n">
        <x:v>7649.8</x:v>
      </x:c>
      <x:c r="R884" s="7" t="n">
        <x:v>4894.53</x:v>
      </x:c>
      <x:c r="S884" s="7" t="n">
        <x:v>2755.27</x:v>
      </x:c>
      <x:c r="T884" t="str">
        <x:v>Pending</x:v>
      </x:c>
      <x:c r="U884" t="str">
        <x:v>Returned</x:v>
      </x:c>
      <x:c r="V884" s="6" t="n">
        <x:f>IF(ISBLANK(P884),IF(AND(ISNUMBER(N884),N884&gt;0,ISNUMBER(O884),O884&gt;=0,ISNUMBER(Q884),Q884&gt;=0,ISNUMBER(R884),R884&gt;=0,ISNUMBER(S884)),0,""),P884)</x:f>
        <x:v>0</x:v>
      </x:c>
      <x:c r="W884" s="7" t="n">
        <x:f>IF(ISBLANK(V884),"",N884*O884*(1-V884))</x:f>
        <x:v>7649.8</x:v>
      </x:c>
      <x:c r="X884" s="7" t="n">
        <x:f>IF(OR(ISBLANK(W884),ISBLANK(R884)),"",W884-R884)</x:f>
        <x:v>2755.2700000000004</x:v>
      </x:c>
      <x:c r="Y884" s="8" t="n">
        <x:f>IF(OR(ISBLANK(W884),W884=0),"",X884/W884)</x:f>
        <x:v>0.3601754294229915</x:v>
      </x:c>
      <x:c r="Z884" s="9" t="n">
        <x:f>IF(OR(ISBLANK(B884),ISBLANK(C884)),"",C884-B884)</x:f>
        <x:v>8</x:v>
      </x:c>
      <x:c r="AA884" t="str">
        <x:f>IF(ISBLANK(B884),"",TEXT(B884,"mmm"))</x:f>
        <x:v>Feb</x:v>
      </x:c>
      <x:c r="AB884" s="9" t="n">
        <x:f>IF(ISBLANK(B884),"",YEAR(B884))</x:f>
        <x:v>2025</x:v>
      </x:c>
      <x:c r="AC884" s="10" t="str"/>
      <x:c r="AD884" t="str">
        <x:f>IF(AND(U884="Completed",T884="Paid",ISERROR(SEARCH("INVALID",AC884)),ISERROR(SEARCH("REVIEW",AC884))),"Include","Exclude")</x:f>
        <x:v>Exclude</x:v>
      </x:c>
      <x:c r="AE884" t="str">
        <x:f>IF(T884="Refunded","Refunded","")</x:f>
      </x:c>
    </x:row>
    <x:row r="885">
      <x:c r="A885" t="str">
        <x:v>ORD-2025-10884</x:v>
      </x:c>
      <x:c r="B885" s="5" t="n">
        <x:v>45775</x:v>
      </x:c>
      <x:c r="C885" s="5" t="n">
        <x:v>45778</x:v>
      </x:c>
      <x:c r="D885" t="str">
        <x:v>CUST-2597</x:v>
      </x:c>
      <x:c r="E885" t="str">
        <x:v>Aarav Sharma</x:v>
      </x:c>
      <x:c r="F885" t="str">
        <x:v>Small Business</x:v>
      </x:c>
      <x:c r="G885" t="str">
        <x:v>West</x:v>
      </x:c>
      <x:c r="H885" t="str">
        <x:v>Goa</x:v>
      </x:c>
      <x:c r="I885" t="str">
        <x:v>Panaji</x:v>
      </x:c>
      <x:c r="J885" t="str">
        <x:v>Office Supplies</x:v>
      </x:c>
      <x:c r="K885" t="str">
        <x:v>Storage</x:v>
      </x:c>
      <x:c r="L885" t="str">
        <x:v>Classic Storage 211</x:v>
      </x:c>
      <x:c r="M885" t="str">
        <x:v>Same Day</x:v>
      </x:c>
      <x:c r="N885" t="n">
        <x:v>1</x:v>
      </x:c>
      <x:c r="O885" s="7" t="n">
        <x:v>1620.87</x:v>
      </x:c>
      <x:c r="P885" s="6" t="n">
        <x:v>0</x:v>
      </x:c>
      <x:c r="Q885" s="7" t="n">
        <x:v>1620.87</x:v>
      </x:c>
      <x:c r="R885" s="7" t="n">
        <x:v>1103.61</x:v>
      </x:c>
      <x:c r="S885" s="7" t="n">
        <x:v>517.26</x:v>
      </x:c>
      <x:c r="T885" t="str">
        <x:v>Paid</x:v>
      </x:c>
      <x:c r="U885" t="str">
        <x:v>Completed</x:v>
      </x:c>
      <x:c r="V885" s="6" t="n">
        <x:f>IF(ISBLANK(P885),IF(AND(ISNUMBER(N885),N885&gt;0,ISNUMBER(O885),O885&gt;=0,ISNUMBER(Q885),Q885&gt;=0,ISNUMBER(R885),R885&gt;=0,ISNUMBER(S885)),0,""),P885)</x:f>
        <x:v>0</x:v>
      </x:c>
      <x:c r="W885" s="7" t="n">
        <x:f>IF(ISBLANK(V885),"",N885*O885*(1-V885))</x:f>
        <x:v>1620.87</x:v>
      </x:c>
      <x:c r="X885" s="7" t="n">
        <x:f>IF(OR(ISBLANK(W885),ISBLANK(R885)),"",W885-R885)</x:f>
        <x:v>517.26</x:v>
      </x:c>
      <x:c r="Y885" s="8" t="n">
        <x:f>IF(OR(ISBLANK(W885),W885=0),"",X885/W885)</x:f>
        <x:v>0.3191249143978234</x:v>
      </x:c>
      <x:c r="Z885" s="9" t="n">
        <x:f>IF(OR(ISBLANK(B885),ISBLANK(C885)),"",C885-B885)</x:f>
        <x:v>3</x:v>
      </x:c>
      <x:c r="AA885" t="str">
        <x:f>IF(ISBLANK(B885),"",TEXT(B885,"mmm"))</x:f>
        <x:v>Apr</x:v>
      </x:c>
      <x:c r="AB885" s="9" t="n">
        <x:f>IF(ISBLANK(B885),"",YEAR(B885))</x:f>
        <x:v>2025</x:v>
      </x:c>
      <x:c r="AC885" s="10" t="str"/>
      <x:c r="AD885" t="str">
        <x:f>IF(AND(U885="Completed",T885="Paid",ISERROR(SEARCH("INVALID",AC885)),ISERROR(SEARCH("REVIEW",AC885))),"Include","Exclude")</x:f>
        <x:v>Include</x:v>
      </x:c>
      <x:c r="AE885" t="str">
        <x:f>IF(T885="Refunded","Refunded","")</x:f>
      </x:c>
    </x:row>
    <x:row r="886">
      <x:c r="A886" t="str">
        <x:v>ORD-2025-10885</x:v>
      </x:c>
      <x:c r="B886" s="5" t="n">
        <x:v>45675</x:v>
      </x:c>
      <x:c r="C886" s="5" t="n">
        <x:v>45682</x:v>
      </x:c>
      <x:c r="D886" t="str">
        <x:v>CUST-7505</x:v>
      </x:c>
      <x:c r="E886" t="str">
        <x:v>Neha Gupta</x:v>
      </x:c>
      <x:c r="F886" t="str">
        <x:v>Home Office</x:v>
      </x:c>
      <x:c r="G886" t="str">
        <x:v>South</x:v>
      </x:c>
      <x:c r="H886" t="str">
        <x:v>Karnataka</x:v>
      </x:c>
      <x:c r="I886" t="str">
        <x:v>Bengaluru</x:v>
      </x:c>
      <x:c r="J886" t="str">
        <x:v>Office Supplies</x:v>
      </x:c>
      <x:c r="K886" t="str">
        <x:v>Storage</x:v>
      </x:c>
      <x:c r="L886" t="str">
        <x:v>Eco Storage 783</x:v>
      </x:c>
      <x:c r="M886" t="str">
        <x:v>Same Day</x:v>
      </x:c>
      <x:c r="N886" t="n">
        <x:v>2</x:v>
      </x:c>
      <x:c r="O886" s="7" t="n">
        <x:v>2098.54</x:v>
      </x:c>
      <x:c r="P886" s="6" t="n">
        <x:v>0.15</x:v>
      </x:c>
      <x:c r="Q886" s="7" t="n">
        <x:v>3567.52</x:v>
      </x:c>
      <x:c r="R886" s="7" t="n">
        <x:v>2411.8</x:v>
      </x:c>
      <x:c r="S886" s="7" t="n">
        <x:v>1155.72</x:v>
      </x:c>
      <x:c r="T886" t="str">
        <x:v>Paid</x:v>
      </x:c>
      <x:c r="U886" t="str">
        <x:v>Completed</x:v>
      </x:c>
      <x:c r="V886" s="6" t="n">
        <x:f>IF(ISBLANK(P886),IF(AND(ISNUMBER(N886),N886&gt;0,ISNUMBER(O886),O886&gt;=0,ISNUMBER(Q886),Q886&gt;=0,ISNUMBER(R886),R886&gt;=0,ISNUMBER(S886)),0,""),P886)</x:f>
        <x:v>0.15</x:v>
      </x:c>
      <x:c r="W886" s="7" t="n">
        <x:f>IF(ISBLANK(V886),"",N886*O886*(1-V886))</x:f>
        <x:v>3567.518</x:v>
      </x:c>
      <x:c r="X886" s="7" t="n">
        <x:f>IF(OR(ISBLANK(W886),ISBLANK(R886)),"",W886-R886)</x:f>
        <x:v>1155.7179999999998</x:v>
      </x:c>
      <x:c r="Y886" s="8" t="n">
        <x:f>IF(OR(ISBLANK(W886),W886=0),"",X886/W886)</x:f>
        <x:v>0.3239557585974338</x:v>
      </x:c>
      <x:c r="Z886" s="9" t="n">
        <x:f>IF(OR(ISBLANK(B886),ISBLANK(C886)),"",C886-B886)</x:f>
        <x:v>7</x:v>
      </x:c>
      <x:c r="AA886" t="str">
        <x:f>IF(ISBLANK(B886),"",TEXT(B886,"mmm"))</x:f>
        <x:v>Jan</x:v>
      </x:c>
      <x:c r="AB886" s="9" t="n">
        <x:f>IF(ISBLANK(B886),"",YEAR(B886))</x:f>
        <x:v>2025</x:v>
      </x:c>
      <x:c r="AC886" s="10" t="str"/>
      <x:c r="AD886" t="str">
        <x:f>IF(AND(U886="Completed",T886="Paid",ISERROR(SEARCH("INVALID",AC886)),ISERROR(SEARCH("REVIEW",AC886))),"Include","Exclude")</x:f>
        <x:v>Include</x:v>
      </x:c>
      <x:c r="AE886" t="str">
        <x:f>IF(T886="Refunded","Refunded","")</x:f>
      </x:c>
    </x:row>
    <x:row r="887">
      <x:c r="A887" t="str">
        <x:v>ORD-2024-10886</x:v>
      </x:c>
      <x:c r="B887" s="5" t="n">
        <x:v>45296</x:v>
      </x:c>
      <x:c r="C887" s="5" t="n">
        <x:v>45296</x:v>
      </x:c>
      <x:c r="D887" t="str">
        <x:v>CUST-3446</x:v>
      </x:c>
      <x:c r="E887" t="str">
        <x:v>Diya Patel</x:v>
      </x:c>
      <x:c r="F887" t="str">
        <x:v>Consumer</x:v>
      </x:c>
      <x:c r="G887" t="str">
        <x:v>North</x:v>
      </x:c>
      <x:c r="H887" t="str">
        <x:v>Rajasthan</x:v>
      </x:c>
      <x:c r="I887" t="str">
        <x:v>Jaipur</x:v>
      </x:c>
      <x:c r="J887" t="str">
        <x:v>Furniture</x:v>
      </x:c>
      <x:c r="K887" t="str">
        <x:v>Tables</x:v>
      </x:c>
      <x:c r="L887" t="str">
        <x:v>Pro Tables 866</x:v>
      </x:c>
      <x:c r="M887" t="str">
        <x:v>Standard Class</x:v>
      </x:c>
      <x:c r="N887" t="n">
        <x:v>1</x:v>
      </x:c>
      <x:c r="O887" s="7" t="n">
        <x:v>2167.08</x:v>
      </x:c>
      <x:c r="P887" s="6" t="n">
        <x:v>0.25</x:v>
      </x:c>
      <x:c r="Q887" s="7" t="n">
        <x:v>1625.31</x:v>
      </x:c>
      <x:c r="R887" s="7" t="n">
        <x:v>1157.89</x:v>
      </x:c>
      <x:c r="S887" s="7" t="n">
        <x:v>467.42</x:v>
      </x:c>
      <x:c r="T887" t="str">
        <x:v>Paid</x:v>
      </x:c>
      <x:c r="U887" t="str">
        <x:v>Completed</x:v>
      </x:c>
      <x:c r="V887" s="6" t="n">
        <x:f>IF(ISBLANK(P887),IF(AND(ISNUMBER(N887),N887&gt;0,ISNUMBER(O887),O887&gt;=0,ISNUMBER(Q887),Q887&gt;=0,ISNUMBER(R887),R887&gt;=0,ISNUMBER(S887)),0,""),P887)</x:f>
        <x:v>0.25</x:v>
      </x:c>
      <x:c r="W887" s="7" t="n">
        <x:f>IF(ISBLANK(V887),"",N887*O887*(1-V887))</x:f>
        <x:v>1625.31</x:v>
      </x:c>
      <x:c r="X887" s="7" t="n">
        <x:f>IF(OR(ISBLANK(W887),ISBLANK(R887)),"",W887-R887)</x:f>
        <x:v>467.41999999999985</x:v>
      </x:c>
      <x:c r="Y887" s="8" t="n">
        <x:f>IF(OR(ISBLANK(W887),W887=0),"",X887/W887)</x:f>
        <x:v>0.2875882139407251</x:v>
      </x:c>
      <x:c r="Z887" s="9" t="n">
        <x:f>IF(OR(ISBLANK(B887),ISBLANK(C887)),"",C887-B887)</x:f>
        <x:v>0</x:v>
      </x:c>
      <x:c r="AA887" t="str">
        <x:f>IF(ISBLANK(B887),"",TEXT(B887,"mmm"))</x:f>
        <x:v>Jan</x:v>
      </x:c>
      <x:c r="AB887" s="9" t="n">
        <x:f>IF(ISBLANK(B887),"",YEAR(B887))</x:f>
        <x:v>2024</x:v>
      </x:c>
      <x:c r="AC887" s="10" t="str"/>
      <x:c r="AD887" t="str">
        <x:f>IF(AND(U887="Completed",T887="Paid",ISERROR(SEARCH("INVALID",AC887)),ISERROR(SEARCH("REVIEW",AC887))),"Include","Exclude")</x:f>
        <x:v>Include</x:v>
      </x:c>
      <x:c r="AE887" t="str">
        <x:f>IF(T887="Refunded","Refunded","")</x:f>
      </x:c>
    </x:row>
    <x:row r="888">
      <x:c r="A888" t="str">
        <x:v>ORD-2025-10887</x:v>
      </x:c>
      <x:c r="B888" s="5" t="n">
        <x:v>45773</x:v>
      </x:c>
      <x:c r="C888" s="5" t="n">
        <x:v>45780</x:v>
      </x:c>
      <x:c r="D888" t="str">
        <x:v>CUST-3549</x:v>
      </x:c>
      <x:c r="E888" t="str">
        <x:v>Arjun Bose</x:v>
      </x:c>
      <x:c r="F888" t="str">
        <x:v>Home Office</x:v>
      </x:c>
      <x:c r="G888" t="str">
        <x:v>South</x:v>
      </x:c>
      <x:c r="H888" t="str">
        <x:v>Tamil Nadu</x:v>
      </x:c>
      <x:c r="I888" t="str">
        <x:v>Chennai</x:v>
      </x:c>
      <x:c r="J888" t="str">
        <x:v>Technology</x:v>
      </x:c>
      <x:c r="K888" t="str">
        <x:v>Accessories</x:v>
      </x:c>
      <x:c r="L888" t="str">
        <x:v>Max Accessories 541</x:v>
      </x:c>
      <x:c r="M888" t="str">
        <x:v>First Class</x:v>
      </x:c>
      <x:c r="N888" t="n">
        <x:v>7</x:v>
      </x:c>
      <x:c r="O888" s="7" t="n">
        <x:v>3989.9</x:v>
      </x:c>
      <x:c r="P888" s="6" t="n">
        <x:v>0.15</x:v>
      </x:c>
      <x:c r="Q888" s="7" t="n">
        <x:v>23739.9</x:v>
      </x:c>
      <x:c r="R888" s="7" t="n">
        <x:v>17716.52</x:v>
      </x:c>
      <x:c r="S888" s="7" t="n">
        <x:v>6023.38</x:v>
      </x:c>
      <x:c r="T888" t="str">
        <x:v>Paid</x:v>
      </x:c>
      <x:c r="U888" t="str">
        <x:v>Cancelled</x:v>
      </x:c>
      <x:c r="V888" s="6" t="n">
        <x:f>IF(ISBLANK(P888),IF(AND(ISNUMBER(N888),N888&gt;0,ISNUMBER(O888),O888&gt;=0,ISNUMBER(Q888),Q888&gt;=0,ISNUMBER(R888),R888&gt;=0,ISNUMBER(S888)),0,""),P888)</x:f>
        <x:v>0.15</x:v>
      </x:c>
      <x:c r="W888" s="7" t="n">
        <x:f>IF(ISBLANK(V888),"",N888*O888*(1-V888))</x:f>
        <x:v>23739.905</x:v>
      </x:c>
      <x:c r="X888" s="7" t="n">
        <x:f>IF(OR(ISBLANK(W888),ISBLANK(R888)),"",W888-R888)</x:f>
        <x:v>6023.384999999998</x:v>
      </x:c>
      <x:c r="Y888" s="8" t="n">
        <x:f>IF(OR(ISBLANK(W888),W888=0),"",X888/W888)</x:f>
        <x:v>0.2537240566042703</x:v>
      </x:c>
      <x:c r="Z888" s="9" t="n">
        <x:f>IF(OR(ISBLANK(B888),ISBLANK(C888)),"",C888-B888)</x:f>
        <x:v>7</x:v>
      </x:c>
      <x:c r="AA888" t="str">
        <x:f>IF(ISBLANK(B888),"",TEXT(B888,"mmm"))</x:f>
        <x:v>Apr</x:v>
      </x:c>
      <x:c r="AB888" s="9" t="n">
        <x:f>IF(ISBLANK(B888),"",YEAR(B888))</x:f>
        <x:v>2025</x:v>
      </x:c>
      <x:c r="AC888" s="10" t="str">
        <x:v>EXCLUDE: Cancelled order</x:v>
      </x:c>
      <x:c r="AD888" t="str">
        <x:f>IF(AND(U888="Completed",T888="Paid",ISERROR(SEARCH("INVALID",AC888)),ISERROR(SEARCH("REVIEW",AC888))),"Include","Exclude")</x:f>
        <x:v>Exclude</x:v>
      </x:c>
      <x:c r="AE888" t="str">
        <x:f>IF(T888="Refunded","Refunded","")</x:f>
      </x:c>
    </x:row>
    <x:row r="889">
      <x:c r="A889" t="str">
        <x:v>ORD-2024-10888</x:v>
      </x:c>
      <x:c r="B889" s="5" t="n">
        <x:v>45455</x:v>
      </x:c>
      <x:c r="C889" s="5" t="n">
        <x:v>45461</x:v>
      </x:c>
      <x:c r="D889" t="str">
        <x:v>CUST-2795</x:v>
      </x:c>
      <x:c r="E889" t="str">
        <x:v>Aarav Sharma</x:v>
      </x:c>
      <x:c r="F889" t="str">
        <x:v>Small Business</x:v>
      </x:c>
      <x:c r="G889" t="str">
        <x:v>South</x:v>
      </x:c>
      <x:c r="H889" t="str">
        <x:v>Andhra Pradesh</x:v>
      </x:c>
      <x:c r="I889" t="str">
        <x:v>Vijayawada</x:v>
      </x:c>
      <x:c r="J889" t="str">
        <x:v>Office Supplies</x:v>
      </x:c>
      <x:c r="K889" t="str">
        <x:v>Art</x:v>
      </x:c>
      <x:c r="L889" t="str">
        <x:v>Prime Art 596</x:v>
      </x:c>
      <x:c r="M889" t="str">
        <x:v>Standard Class</x:v>
      </x:c>
      <x:c r="N889" t="n">
        <x:v>4</x:v>
      </x:c>
      <x:c r="O889" s="7" t="n">
        <x:v>4176.13</x:v>
      </x:c>
      <x:c r="P889" s="6" t="n">
        <x:v>0</x:v>
      </x:c>
      <x:c r="Q889" s="7" t="n">
        <x:v>16704.52</x:v>
      </x:c>
      <x:c r="R889" s="7" t="n">
        <x:v>10158.28</x:v>
      </x:c>
      <x:c r="S889" s="7" t="n">
        <x:v>6546.24</x:v>
      </x:c>
      <x:c r="T889" t="str">
        <x:v>Paid</x:v>
      </x:c>
      <x:c r="U889" t="str">
        <x:v>Completed</x:v>
      </x:c>
      <x:c r="V889" s="6" t="n">
        <x:f>IF(ISBLANK(P889),IF(AND(ISNUMBER(N889),N889&gt;0,ISNUMBER(O889),O889&gt;=0,ISNUMBER(Q889),Q889&gt;=0,ISNUMBER(R889),R889&gt;=0,ISNUMBER(S889)),0,""),P889)</x:f>
        <x:v>0</x:v>
      </x:c>
      <x:c r="W889" s="7" t="n">
        <x:f>IF(ISBLANK(V889),"",N889*O889*(1-V889))</x:f>
        <x:v>16704.52</x:v>
      </x:c>
      <x:c r="X889" s="7" t="n">
        <x:f>IF(OR(ISBLANK(W889),ISBLANK(R889)),"",W889-R889)</x:f>
        <x:v>6546.24</x:v>
      </x:c>
      <x:c r="Y889" s="8" t="n">
        <x:f>IF(OR(ISBLANK(W889),W889=0),"",X889/W889)</x:f>
        <x:v>0.39188435225914897</x:v>
      </x:c>
      <x:c r="Z889" s="9" t="n">
        <x:f>IF(OR(ISBLANK(B889),ISBLANK(C889)),"",C889-B889)</x:f>
        <x:v>6</x:v>
      </x:c>
      <x:c r="AA889" t="str">
        <x:f>IF(ISBLANK(B889),"",TEXT(B889,"mmm"))</x:f>
        <x:v>Jun</x:v>
      </x:c>
      <x:c r="AB889" s="9" t="n">
        <x:f>IF(ISBLANK(B889),"",YEAR(B889))</x:f>
        <x:v>2024</x:v>
      </x:c>
      <x:c r="AC889" s="10" t="str"/>
      <x:c r="AD889" t="str">
        <x:f>IF(AND(U889="Completed",T889="Paid",ISERROR(SEARCH("INVALID",AC889)),ISERROR(SEARCH("REVIEW",AC889))),"Include","Exclude")</x:f>
        <x:v>Include</x:v>
      </x:c>
      <x:c r="AE889" t="str">
        <x:f>IF(T889="Refunded","Refunded","")</x:f>
      </x:c>
    </x:row>
    <x:row r="890">
      <x:c r="A890" t="str">
        <x:v>ORD-2025-10889</x:v>
      </x:c>
      <x:c r="B890" s="5" t="n">
        <x:v>45875</x:v>
      </x:c>
      <x:c r="C890" s="5" t="n">
        <x:v>45876</x:v>
      </x:c>
      <x:c r="D890" t="str">
        <x:v>CUST-1081</x:v>
      </x:c>
      <x:c r="E890" t="str">
        <x:v>Rahul Verma</x:v>
      </x:c>
      <x:c r="F890" t="str">
        <x:v>Small Business</x:v>
      </x:c>
      <x:c r="G890" t="str">
        <x:v>West</x:v>
      </x:c>
      <x:c r="H890" t="str">
        <x:v>Maharashtra</x:v>
      </x:c>
      <x:c r="I890" t="str">
        <x:v>Mumbai</x:v>
      </x:c>
      <x:c r="J890" t="str">
        <x:v>Office Supplies</x:v>
      </x:c>
      <x:c r="K890" t="str">
        <x:v>Art</x:v>
      </x:c>
      <x:c r="L890" t="str">
        <x:v>Pro Art 620</x:v>
      </x:c>
      <x:c r="M890" t="str">
        <x:v>Standard Class</x:v>
      </x:c>
      <x:c r="N890" t="n">
        <x:v>4</x:v>
      </x:c>
      <x:c r="O890" s="7" t="n">
        <x:v>3523.64</x:v>
      </x:c>
      <x:c r="P890" s="6" t="n">
        <x:v>0.1</x:v>
      </x:c>
      <x:c r="Q890" s="7" t="n">
        <x:v>12685.1</x:v>
      </x:c>
      <x:c r="R890" s="7" t="n">
        <x:v>10779.56</x:v>
      </x:c>
      <x:c r="S890" s="7" t="n">
        <x:v>1905.54</x:v>
      </x:c>
      <x:c r="T890" t="str">
        <x:v>Refunded</x:v>
      </x:c>
      <x:c r="U890" t="str">
        <x:v>Cancelled</x:v>
      </x:c>
      <x:c r="V890" s="6" t="n">
        <x:f>IF(ISBLANK(P890),IF(AND(ISNUMBER(N890),N890&gt;0,ISNUMBER(O890),O890&gt;=0,ISNUMBER(Q890),Q890&gt;=0,ISNUMBER(R890),R890&gt;=0,ISNUMBER(S890)),0,""),P890)</x:f>
        <x:v>0.1</x:v>
      </x:c>
      <x:c r="W890" s="7" t="n">
        <x:f>IF(ISBLANK(V890),"",N890*O890*(1-V890))</x:f>
        <x:v>12685.104</x:v>
      </x:c>
      <x:c r="X890" s="7" t="n">
        <x:f>IF(OR(ISBLANK(W890),ISBLANK(R890)),"",W890-R890)</x:f>
        <x:v>1905.5439999999999</x:v>
      </x:c>
      <x:c r="Y890" s="8" t="n">
        <x:f>IF(OR(ISBLANK(W890),W890=0),"",X890/W890)</x:f>
        <x:v>0.1502190285550674</x:v>
      </x:c>
      <x:c r="Z890" s="9" t="n">
        <x:f>IF(OR(ISBLANK(B890),ISBLANK(C890)),"",C890-B890)</x:f>
        <x:v>1</x:v>
      </x:c>
      <x:c r="AA890" t="str">
        <x:f>IF(ISBLANK(B890),"",TEXT(B890,"mmm"))</x:f>
        <x:v>Aug</x:v>
      </x:c>
      <x:c r="AB890" s="9" t="n">
        <x:f>IF(ISBLANK(B890),"",YEAR(B890))</x:f>
        <x:v>2025</x:v>
      </x:c>
      <x:c r="AC890" s="10" t="str">
        <x:v>EXCLUDE: Cancelled order; REFUND: Summarize separately</x:v>
      </x:c>
      <x:c r="AD890" t="str">
        <x:f>IF(AND(U890="Completed",T890="Paid",ISERROR(SEARCH("INVALID",AC890)),ISERROR(SEARCH("REVIEW",AC890))),"Include","Exclude")</x:f>
        <x:v>Exclude</x:v>
      </x:c>
      <x:c r="AE890" t="str">
        <x:f>IF(T890="Refunded","Refunded","")</x:f>
        <x:v>Refunded</x:v>
      </x:c>
    </x:row>
    <x:row r="891">
      <x:c r="A891" t="str">
        <x:v>ORD-2025-10890</x:v>
      </x:c>
      <x:c r="B891" s="5" t="n">
        <x:v>45726</x:v>
      </x:c>
      <x:c r="C891" s="5" t="n">
        <x:v>45727</x:v>
      </x:c>
      <x:c r="D891" t="str">
        <x:v>CUST-8467</x:v>
      </x:c>
      <x:c r="E891" t="str">
        <x:v>Aditi Sen</x:v>
      </x:c>
      <x:c r="F891" t="str">
        <x:v>Home Office</x:v>
      </x:c>
      <x:c r="G891" t="str">
        <x:v>West</x:v>
      </x:c>
      <x:c r="H891" t="str">
        <x:v>Madhya Pradesh</x:v>
      </x:c>
      <x:c r="I891" t="str">
        <x:v>Indore</x:v>
      </x:c>
      <x:c r="J891" t="str">
        <x:v>Office Supplies</x:v>
      </x:c>
      <x:c r="K891" t="str">
        <x:v>Storage</x:v>
      </x:c>
      <x:c r="L891" t="str">
        <x:v>Prime Storage 806</x:v>
      </x:c>
      <x:c r="M891" t="str">
        <x:v>First Class</x:v>
      </x:c>
      <x:c r="N891" t="n">
        <x:v>2</x:v>
      </x:c>
      <x:c r="O891" s="7" t="n">
        <x:v>3922.08</x:v>
      </x:c>
      <x:c r="P891" s="6" t="n">
        <x:v>0.25</x:v>
      </x:c>
      <x:c r="Q891" s="7" t="n">
        <x:v>5883.12</x:v>
      </x:c>
      <x:c r="R891" s="7" t="n">
        <x:v>4647.91</x:v>
      </x:c>
      <x:c r="S891" s="7" t="n">
        <x:v>1235.21</x:v>
      </x:c>
      <x:c r="T891" t="str">
        <x:v>Paid</x:v>
      </x:c>
      <x:c r="U891" t="str">
        <x:v>Returned</x:v>
      </x:c>
      <x:c r="V891" s="6" t="n">
        <x:f>IF(ISBLANK(P891),IF(AND(ISNUMBER(N891),N891&gt;0,ISNUMBER(O891),O891&gt;=0,ISNUMBER(Q891),Q891&gt;=0,ISNUMBER(R891),R891&gt;=0,ISNUMBER(S891)),0,""),P891)</x:f>
        <x:v>0.25</x:v>
      </x:c>
      <x:c r="W891" s="7" t="n">
        <x:f>IF(ISBLANK(V891),"",N891*O891*(1-V891))</x:f>
        <x:v>5883.12</x:v>
      </x:c>
      <x:c r="X891" s="7" t="n">
        <x:f>IF(OR(ISBLANK(W891),ISBLANK(R891)),"",W891-R891)</x:f>
        <x:v>1235.21</x:v>
      </x:c>
      <x:c r="Y891" s="8" t="n">
        <x:f>IF(OR(ISBLANK(W891),W891=0),"",X891/W891)</x:f>
        <x:v>0.2099583214348849</x:v>
      </x:c>
      <x:c r="Z891" s="9" t="n">
        <x:f>IF(OR(ISBLANK(B891),ISBLANK(C891)),"",C891-B891)</x:f>
        <x:v>1</x:v>
      </x:c>
      <x:c r="AA891" t="str">
        <x:f>IF(ISBLANK(B891),"",TEXT(B891,"mmm"))</x:f>
        <x:v>Mar</x:v>
      </x:c>
      <x:c r="AB891" s="9" t="n">
        <x:f>IF(ISBLANK(B891),"",YEAR(B891))</x:f>
        <x:v>2025</x:v>
      </x:c>
      <x:c r="AC891" s="10" t="str"/>
      <x:c r="AD891" t="str">
        <x:f>IF(AND(U891="Completed",T891="Paid",ISERROR(SEARCH("INVALID",AC891)),ISERROR(SEARCH("REVIEW",AC891))),"Include","Exclude")</x:f>
        <x:v>Exclude</x:v>
      </x:c>
      <x:c r="AE891" t="str">
        <x:f>IF(T891="Refunded","Refunded","")</x:f>
      </x:c>
    </x:row>
    <x:row r="892">
      <x:c r="A892" t="str">
        <x:v>ORD-2024-10891</x:v>
      </x:c>
      <x:c r="B892" s="5" t="n">
        <x:v>45427</x:v>
      </x:c>
      <x:c r="C892" s="5" t="n">
        <x:v>45433</x:v>
      </x:c>
      <x:c r="D892" t="str">
        <x:v>CUST-3992</x:v>
      </x:c>
      <x:c r="E892" t="str">
        <x:v>Karan Malhotra</x:v>
      </x:c>
      <x:c r="F892" t="str">
        <x:v>Consumer</x:v>
      </x:c>
      <x:c r="G892" t="str">
        <x:v>West</x:v>
      </x:c>
      <x:c r="H892" t="str">
        <x:v>Goa</x:v>
      </x:c>
      <x:c r="I892" t="str">
        <x:v>Panaji</x:v>
      </x:c>
      <x:c r="J892" t="str">
        <x:v>Office Supplies</x:v>
      </x:c>
      <x:c r="K892" t="str">
        <x:v>Storage</x:v>
      </x:c>
      <x:c r="L892" t="str">
        <x:v>Smart Storage 288</x:v>
      </x:c>
      <x:c r="M892" t="str">
        <x:v>Standard Class</x:v>
      </x:c>
      <x:c r="N892" t="n">
        <x:v>6</x:v>
      </x:c>
      <x:c r="O892" s="7" t="n">
        <x:v>2909.56</x:v>
      </x:c>
      <x:c r="P892" s="6" t="n">
        <x:v>0.2</x:v>
      </x:c>
      <x:c r="Q892" s="7" t="n">
        <x:v>13965.89</x:v>
      </x:c>
      <x:c r="R892" s="7" t="n">
        <x:v>11646.12</x:v>
      </x:c>
      <x:c r="S892" s="7" t="n">
        <x:v>2319.77</x:v>
      </x:c>
      <x:c r="T892" t="str">
        <x:v>Paid</x:v>
      </x:c>
      <x:c r="U892" t="str">
        <x:v>Completed</x:v>
      </x:c>
      <x:c r="V892" s="6" t="n">
        <x:f>IF(ISBLANK(P892),IF(AND(ISNUMBER(N892),N892&gt;0,ISNUMBER(O892),O892&gt;=0,ISNUMBER(Q892),Q892&gt;=0,ISNUMBER(R892),R892&gt;=0,ISNUMBER(S892)),0,""),P892)</x:f>
        <x:v>0.2</x:v>
      </x:c>
      <x:c r="W892" s="7" t="n">
        <x:f>IF(ISBLANK(V892),"",N892*O892*(1-V892))</x:f>
        <x:v>13965.888</x:v>
      </x:c>
      <x:c r="X892" s="7" t="n">
        <x:f>IF(OR(ISBLANK(W892),ISBLANK(R892)),"",W892-R892)</x:f>
        <x:v>2319.768</x:v>
      </x:c>
      <x:c r="Y892" s="8" t="n">
        <x:f>IF(OR(ISBLANK(W892),W892=0),"",X892/W892)</x:f>
        <x:v>0.16610243473239938</x:v>
      </x:c>
      <x:c r="Z892" s="9" t="n">
        <x:f>IF(OR(ISBLANK(B892),ISBLANK(C892)),"",C892-B892)</x:f>
        <x:v>6</x:v>
      </x:c>
      <x:c r="AA892" t="str">
        <x:f>IF(ISBLANK(B892),"",TEXT(B892,"mmm"))</x:f>
        <x:v>May</x:v>
      </x:c>
      <x:c r="AB892" s="9" t="n">
        <x:f>IF(ISBLANK(B892),"",YEAR(B892))</x:f>
        <x:v>2024</x:v>
      </x:c>
      <x:c r="AC892" s="10" t="str"/>
      <x:c r="AD892" t="str">
        <x:f>IF(AND(U892="Completed",T892="Paid",ISERROR(SEARCH("INVALID",AC892)),ISERROR(SEARCH("REVIEW",AC892))),"Include","Exclude")</x:f>
        <x:v>Include</x:v>
      </x:c>
      <x:c r="AE892" t="str">
        <x:f>IF(T892="Refunded","Refunded","")</x:f>
      </x:c>
    </x:row>
    <x:row r="893">
      <x:c r="A893" t="str">
        <x:v>ORD-2024-10892</x:v>
      </x:c>
      <x:c r="B893" s="5" t="n">
        <x:v>45573</x:v>
      </x:c>
      <x:c r="C893" s="5" t="n">
        <x:v>45574</x:v>
      </x:c>
      <x:c r="D893" t="str">
        <x:v>CUST-6647</x:v>
      </x:c>
      <x:c r="E893" t="str">
        <x:v>Kabir Singh</x:v>
      </x:c>
      <x:c r="F893" t="str">
        <x:v>Corporate</x:v>
      </x:c>
      <x:c r="G893" t="str">
        <x:v>South</x:v>
      </x:c>
      <x:c r="H893" t="str">
        <x:v>Tamil Nadu</x:v>
      </x:c>
      <x:c r="I893" t="str">
        <x:v>Chennai</x:v>
      </x:c>
      <x:c r="J893" t="str">
        <x:v>Technology</x:v>
      </x:c>
      <x:c r="K893" t="str">
        <x:v>Machines</x:v>
      </x:c>
      <x:c r="L893" t="str">
        <x:v>Elite Machines 281</x:v>
      </x:c>
      <x:c r="M893" t="str">
        <x:v>Same Day</x:v>
      </x:c>
      <x:c r="N893" t="n">
        <x:v>5</x:v>
      </x:c>
      <x:c r="O893" s="7" t="n">
        <x:v>2407.97</x:v>
      </x:c>
      <x:c r="P893" s="6" t="n">
        <x:v>0.1</x:v>
      </x:c>
      <x:c r="Q893" s="7" t="n">
        <x:v>10835.86</x:v>
      </x:c>
      <x:c r="R893" s="7" t="n">
        <x:v>6419.92</x:v>
      </x:c>
      <x:c r="S893" s="7" t="n">
        <x:v>4415.94</x:v>
      </x:c>
      <x:c r="T893" t="str">
        <x:v>Failed</x:v>
      </x:c>
      <x:c r="U893" t="str">
        <x:v>Cancelled</x:v>
      </x:c>
      <x:c r="V893" s="6" t="n">
        <x:f>IF(ISBLANK(P893),IF(AND(ISNUMBER(N893),N893&gt;0,ISNUMBER(O893),O893&gt;=0,ISNUMBER(Q893),Q893&gt;=0,ISNUMBER(R893),R893&gt;=0,ISNUMBER(S893)),0,""),P893)</x:f>
        <x:v>0.1</x:v>
      </x:c>
      <x:c r="W893" s="7" t="n">
        <x:f>IF(ISBLANK(V893),"",N893*O893*(1-V893))</x:f>
        <x:v>10835.865</x:v>
      </x:c>
      <x:c r="X893" s="7" t="n">
        <x:f>IF(OR(ISBLANK(W893),ISBLANK(R893)),"",W893-R893)</x:f>
        <x:v>4415.945</x:v>
      </x:c>
      <x:c r="Y893" s="8" t="n">
        <x:f>IF(OR(ISBLANK(W893),W893=0),"",X893/W893)</x:f>
        <x:v>0.40753045557507406</x:v>
      </x:c>
      <x:c r="Z893" s="9" t="n">
        <x:f>IF(OR(ISBLANK(B893),ISBLANK(C893)),"",C893-B893)</x:f>
        <x:v>1</x:v>
      </x:c>
      <x:c r="AA893" t="str">
        <x:f>IF(ISBLANK(B893),"",TEXT(B893,"mmm"))</x:f>
        <x:v>Oct</x:v>
      </x:c>
      <x:c r="AB893" s="9" t="n">
        <x:f>IF(ISBLANK(B893),"",YEAR(B893))</x:f>
        <x:v>2024</x:v>
      </x:c>
      <x:c r="AC893" s="10" t="str">
        <x:v>EXCLUDE: Cancelled order; EXCLUDE: Failed payment</x:v>
      </x:c>
      <x:c r="AD893" t="str">
        <x:f>IF(AND(U893="Completed",T893="Paid",ISERROR(SEARCH("INVALID",AC893)),ISERROR(SEARCH("REVIEW",AC893))),"Include","Exclude")</x:f>
        <x:v>Exclude</x:v>
      </x:c>
      <x:c r="AE893" t="str">
        <x:f>IF(T893="Refunded","Refunded","")</x:f>
      </x:c>
    </x:row>
    <x:row r="894">
      <x:c r="A894" t="str">
        <x:v>ORD-2025-10893</x:v>
      </x:c>
      <x:c r="B894" s="5" t="n">
        <x:v>45759</x:v>
      </x:c>
      <x:c r="C894" s="5" t="n">
        <x:v>45765</x:v>
      </x:c>
      <x:c r="D894" t="str">
        <x:v>CUST-5087</x:v>
      </x:c>
      <x:c r="E894" t="str">
        <x:v>Isha Nair</x:v>
      </x:c>
      <x:c r="F894" t="str">
        <x:v>Small Business</x:v>
      </x:c>
      <x:c r="G894" t="str">
        <x:v>East</x:v>
      </x:c>
      <x:c r="H894" t="str">
        <x:v>Jharkhand</x:v>
      </x:c>
      <x:c r="I894" t="str">
        <x:v>Ranchi</x:v>
      </x:c>
      <x:c r="J894" t="str">
        <x:v>Technology</x:v>
      </x:c>
      <x:c r="K894" t="str">
        <x:v>Copiers</x:v>
      </x:c>
      <x:c r="L894" t="str">
        <x:v>Elite Copiers 221</x:v>
      </x:c>
      <x:c r="M894" t="str">
        <x:v>Same Day</x:v>
      </x:c>
      <x:c r="N894" t="n">
        <x:v>1</x:v>
      </x:c>
      <x:c r="O894" s="7" t="n">
        <x:v>726.89</x:v>
      </x:c>
      <x:c r="P894" s="6" t="n">
        <x:v>0.2</x:v>
      </x:c>
      <x:c r="Q894" s="7" t="n">
        <x:v>581.51</x:v>
      </x:c>
      <x:c r="R894" s="7" t="n">
        <x:v>423.86</x:v>
      </x:c>
      <x:c r="S894" s="7" t="n">
        <x:v>157.65</x:v>
      </x:c>
      <x:c r="T894" t="str">
        <x:v>Paid</x:v>
      </x:c>
      <x:c r="U894" t="str">
        <x:v>Completed</x:v>
      </x:c>
      <x:c r="V894" s="6" t="n">
        <x:f>IF(ISBLANK(P894),IF(AND(ISNUMBER(N894),N894&gt;0,ISNUMBER(O894),O894&gt;=0,ISNUMBER(Q894),Q894&gt;=0,ISNUMBER(R894),R894&gt;=0,ISNUMBER(S894)),0,""),P894)</x:f>
        <x:v>0.2</x:v>
      </x:c>
      <x:c r="W894" s="7" t="n">
        <x:f>IF(ISBLANK(V894),"",N894*O894*(1-V894))</x:f>
        <x:v>581.5120000000001</x:v>
      </x:c>
      <x:c r="X894" s="7" t="n">
        <x:f>IF(OR(ISBLANK(W894),ISBLANK(R894)),"",W894-R894)</x:f>
        <x:v>157.65200000000004</x:v>
      </x:c>
      <x:c r="Y894" s="8" t="n">
        <x:f>IF(OR(ISBLANK(W894),W894=0),"",X894/W894)</x:f>
        <x:v>0.2711070450824747</x:v>
      </x:c>
      <x:c r="Z894" s="9" t="n">
        <x:f>IF(OR(ISBLANK(B894),ISBLANK(C894)),"",C894-B894)</x:f>
        <x:v>6</x:v>
      </x:c>
      <x:c r="AA894" t="str">
        <x:f>IF(ISBLANK(B894),"",TEXT(B894,"mmm"))</x:f>
        <x:v>Apr</x:v>
      </x:c>
      <x:c r="AB894" s="9" t="n">
        <x:f>IF(ISBLANK(B894),"",YEAR(B894))</x:f>
        <x:v>2025</x:v>
      </x:c>
      <x:c r="AC894" s="10" t="str"/>
      <x:c r="AD894" t="str">
        <x:f>IF(AND(U894="Completed",T894="Paid",ISERROR(SEARCH("INVALID",AC894)),ISERROR(SEARCH("REVIEW",AC894))),"Include","Exclude")</x:f>
        <x:v>Include</x:v>
      </x:c>
      <x:c r="AE894" t="str">
        <x:f>IF(T894="Refunded","Refunded","")</x:f>
      </x:c>
    </x:row>
    <x:row r="895">
      <x:c r="A895" t="str">
        <x:v>ORD-2024-10894</x:v>
      </x:c>
      <x:c r="B895" s="5" t="n">
        <x:v>45449</x:v>
      </x:c>
      <x:c r="C895" s="5" t="n">
        <x:v>45451</x:v>
      </x:c>
      <x:c r="D895" t="str">
        <x:v>CUST-9297</x:v>
      </x:c>
      <x:c r="E895" t="str">
        <x:v>Aarav Sharma</x:v>
      </x:c>
      <x:c r="F895" t="str">
        <x:v>Corporate</x:v>
      </x:c>
      <x:c r="G895" t="str">
        <x:v>South</x:v>
      </x:c>
      <x:c r="H895" t="str">
        <x:v>Karnataka</x:v>
      </x:c>
      <x:c r="I895" t="str">
        <x:v>Bengaluru</x:v>
      </x:c>
      <x:c r="J895" t="str">
        <x:v>Furniture</x:v>
      </x:c>
      <x:c r="K895" t="str">
        <x:v>Tables</x:v>
      </x:c>
      <x:c r="L895" t="str">
        <x:v>Max Tables 291</x:v>
      </x:c>
      <x:c r="M895" t="str">
        <x:v>Second Class</x:v>
      </x:c>
      <x:c r="N895" t="n">
        <x:v>3</x:v>
      </x:c>
      <x:c r="O895" s="7" t="n">
        <x:v>395.49</x:v>
      </x:c>
      <x:c r="P895" s="6" t="n">
        <x:v>0.05</x:v>
      </x:c>
      <x:c r="Q895" s="7" t="n">
        <x:v>1127.15</x:v>
      </x:c>
      <x:c r="R895" s="7" t="n">
        <x:v>845.62</x:v>
      </x:c>
      <x:c r="S895" s="7" t="n">
        <x:v>281.53</x:v>
      </x:c>
      <x:c r="T895" t="str">
        <x:v>Paid</x:v>
      </x:c>
      <x:c r="U895" t="str">
        <x:v>Returned</x:v>
      </x:c>
      <x:c r="V895" s="6" t="n">
        <x:f>IF(ISBLANK(P895),IF(AND(ISNUMBER(N895),N895&gt;0,ISNUMBER(O895),O895&gt;=0,ISNUMBER(Q895),Q895&gt;=0,ISNUMBER(R895),R895&gt;=0,ISNUMBER(S895)),0,""),P895)</x:f>
        <x:v>0.05</x:v>
      </x:c>
      <x:c r="W895" s="7" t="n">
        <x:f>IF(ISBLANK(V895),"",N895*O895*(1-V895))</x:f>
        <x:v>1127.1465</x:v>
      </x:c>
      <x:c r="X895" s="7" t="n">
        <x:f>IF(OR(ISBLANK(W895),ISBLANK(R895)),"",W895-R895)</x:f>
        <x:v>281.52650000000006</x:v>
      </x:c>
      <x:c r="Y895" s="8" t="n">
        <x:f>IF(OR(ISBLANK(W895),W895=0),"",X895/W895)</x:f>
        <x:v>0.24976921810962466</x:v>
      </x:c>
      <x:c r="Z895" s="9" t="n">
        <x:f>IF(OR(ISBLANK(B895),ISBLANK(C895)),"",C895-B895)</x:f>
        <x:v>2</x:v>
      </x:c>
      <x:c r="AA895" t="str">
        <x:f>IF(ISBLANK(B895),"",TEXT(B895,"mmm"))</x:f>
        <x:v>Jun</x:v>
      </x:c>
      <x:c r="AB895" s="9" t="n">
        <x:f>IF(ISBLANK(B895),"",YEAR(B895))</x:f>
        <x:v>2024</x:v>
      </x:c>
      <x:c r="AC895" s="10" t="str"/>
      <x:c r="AD895" t="str">
        <x:f>IF(AND(U895="Completed",T895="Paid",ISERROR(SEARCH("INVALID",AC895)),ISERROR(SEARCH("REVIEW",AC895))),"Include","Exclude")</x:f>
        <x:v>Exclude</x:v>
      </x:c>
      <x:c r="AE895" t="str">
        <x:f>IF(T895="Refunded","Refunded","")</x:f>
      </x:c>
    </x:row>
    <x:row r="896">
      <x:c r="A896" t="str">
        <x:v>ORD-2024-10895</x:v>
      </x:c>
      <x:c r="B896" s="5" t="n">
        <x:v>45344</x:v>
      </x:c>
      <x:c r="C896" s="5" t="n">
        <x:v>45351</x:v>
      </x:c>
      <x:c r="D896" t="str">
        <x:v>CUST-7996</x:v>
      </x:c>
      <x:c r="E896" t="str">
        <x:v>Isha Nair</x:v>
      </x:c>
      <x:c r="F896" t="str">
        <x:v>Home Office</x:v>
      </x:c>
      <x:c r="G896" t="str">
        <x:v>South</x:v>
      </x:c>
      <x:c r="H896" t="str">
        <x:v>Telangana</x:v>
      </x:c>
      <x:c r="I896" t="str">
        <x:v>Hyderabad</x:v>
      </x:c>
      <x:c r="J896" t="str">
        <x:v>Furniture</x:v>
      </x:c>
      <x:c r="K896" t="str">
        <x:v>Tables</x:v>
      </x:c>
      <x:c r="L896" t="str">
        <x:v>Classic Tables 638</x:v>
      </x:c>
      <x:c r="M896" t="str">
        <x:v>First Class</x:v>
      </x:c>
      <x:c r="N896" t="n">
        <x:v>6</x:v>
      </x:c>
      <x:c r="O896" s="7" t="n">
        <x:v>4254.05</x:v>
      </x:c>
      <x:c r="P896" s="6" t="n">
        <x:v>0</x:v>
      </x:c>
      <x:c r="Q896" s="7" t="n">
        <x:v>25524.3</x:v>
      </x:c>
      <x:c r="R896" s="7" t="n">
        <x:v>16711.93</x:v>
      </x:c>
      <x:c r="S896" s="7" t="n">
        <x:v>8812.37</x:v>
      </x:c>
      <x:c r="T896" t="str">
        <x:v>Paid</x:v>
      </x:c>
      <x:c r="U896" t="str">
        <x:v>Completed</x:v>
      </x:c>
      <x:c r="V896" s="6" t="n">
        <x:f>IF(ISBLANK(P896),IF(AND(ISNUMBER(N896),N896&gt;0,ISNUMBER(O896),O896&gt;=0,ISNUMBER(Q896),Q896&gt;=0,ISNUMBER(R896),R896&gt;=0,ISNUMBER(S896)),0,""),P896)</x:f>
        <x:v>0</x:v>
      </x:c>
      <x:c r="W896" s="7" t="n">
        <x:f>IF(ISBLANK(V896),"",N896*O896*(1-V896))</x:f>
        <x:v>25524.300000000003</x:v>
      </x:c>
      <x:c r="X896" s="7" t="n">
        <x:f>IF(OR(ISBLANK(W896),ISBLANK(R896)),"",W896-R896)</x:f>
        <x:v>8812.370000000003</x:v>
      </x:c>
      <x:c r="Y896" s="8" t="n">
        <x:f>IF(OR(ISBLANK(W896),W896=0),"",X896/W896)</x:f>
        <x:v>0.34525413037771857</x:v>
      </x:c>
      <x:c r="Z896" s="9" t="n">
        <x:f>IF(OR(ISBLANK(B896),ISBLANK(C896)),"",C896-B896)</x:f>
        <x:v>7</x:v>
      </x:c>
      <x:c r="AA896" t="str">
        <x:f>IF(ISBLANK(B896),"",TEXT(B896,"mmm"))</x:f>
        <x:v>Feb</x:v>
      </x:c>
      <x:c r="AB896" s="9" t="n">
        <x:f>IF(ISBLANK(B896),"",YEAR(B896))</x:f>
        <x:v>2024</x:v>
      </x:c>
      <x:c r="AC896" s="10" t="str"/>
      <x:c r="AD896" t="str">
        <x:f>IF(AND(U896="Completed",T896="Paid",ISERROR(SEARCH("INVALID",AC896)),ISERROR(SEARCH("REVIEW",AC896))),"Include","Exclude")</x:f>
        <x:v>Include</x:v>
      </x:c>
      <x:c r="AE896" t="str">
        <x:f>IF(T896="Refunded","Refunded","")</x:f>
      </x:c>
    </x:row>
    <x:row r="897">
      <x:c r="A897" t="str">
        <x:v>ORD-2024-10896</x:v>
      </x:c>
      <x:c r="B897" s="5" t="n">
        <x:v>45601</x:v>
      </x:c>
      <x:c r="C897" s="5" t="n">
        <x:v>45606</x:v>
      </x:c>
      <x:c r="D897" t="str">
        <x:v>CUST-4117</x:v>
      </x:c>
      <x:c r="E897" t="str">
        <x:v>Arjun Bose</x:v>
      </x:c>
      <x:c r="F897" t="str">
        <x:v>Consumer</x:v>
      </x:c>
      <x:c r="G897" t="str">
        <x:v>South</x:v>
      </x:c>
      <x:c r="H897" t="str">
        <x:v>Kerala</x:v>
      </x:c>
      <x:c r="I897" t="str">
        <x:v>Kochi</x:v>
      </x:c>
      <x:c r="J897" t="str">
        <x:v>Furniture</x:v>
      </x:c>
      <x:c r="K897" t="str">
        <x:v>Chairs</x:v>
      </x:c>
      <x:c r="L897" t="str">
        <x:v>Basic Chairs 212</x:v>
      </x:c>
      <x:c r="M897" t="str">
        <x:v>Same Day</x:v>
      </x:c>
      <x:c r="N897" t="n">
        <x:v>4</x:v>
      </x:c>
      <x:c r="O897" s="7" t="n">
        <x:v>711.18</x:v>
      </x:c>
      <x:c r="P897" s="6" t="n">
        <x:v>0.15</x:v>
      </x:c>
      <x:c r="Q897" s="7" t="n">
        <x:v>2418.01</x:v>
      </x:c>
      <x:c r="R897" s="7" t="n">
        <x:v>1441.89</x:v>
      </x:c>
      <x:c r="S897" s="7" t="n">
        <x:v>976.12</x:v>
      </x:c>
      <x:c r="T897" t="str">
        <x:v>Pending</x:v>
      </x:c>
      <x:c r="U897" t="str">
        <x:v>Returned</x:v>
      </x:c>
      <x:c r="V897" s="6" t="n">
        <x:f>IF(ISBLANK(P897),IF(AND(ISNUMBER(N897),N897&gt;0,ISNUMBER(O897),O897&gt;=0,ISNUMBER(Q897),Q897&gt;=0,ISNUMBER(R897),R897&gt;=0,ISNUMBER(S897)),0,""),P897)</x:f>
        <x:v>0.15</x:v>
      </x:c>
      <x:c r="W897" s="7" t="n">
        <x:f>IF(ISBLANK(V897),"",N897*O897*(1-V897))</x:f>
        <x:v>2418.0119999999997</x:v>
      </x:c>
      <x:c r="X897" s="7" t="n">
        <x:f>IF(OR(ISBLANK(W897),ISBLANK(R897)),"",W897-R897)</x:f>
        <x:v>976.1219999999996</x:v>
      </x:c>
      <x:c r="Y897" s="8" t="n">
        <x:f>IF(OR(ISBLANK(W897),W897=0),"",X897/W897)</x:f>
        <x:v>0.40368782288921634</x:v>
      </x:c>
      <x:c r="Z897" s="9" t="n">
        <x:f>IF(OR(ISBLANK(B897),ISBLANK(C897)),"",C897-B897)</x:f>
        <x:v>5</x:v>
      </x:c>
      <x:c r="AA897" t="str">
        <x:f>IF(ISBLANK(B897),"",TEXT(B897,"mmm"))</x:f>
        <x:v>Nov</x:v>
      </x:c>
      <x:c r="AB897" s="9" t="n">
        <x:f>IF(ISBLANK(B897),"",YEAR(B897))</x:f>
        <x:v>2024</x:v>
      </x:c>
      <x:c r="AC897" s="10" t="str"/>
      <x:c r="AD897" t="str">
        <x:f>IF(AND(U897="Completed",T897="Paid",ISERROR(SEARCH("INVALID",AC897)),ISERROR(SEARCH("REVIEW",AC897))),"Include","Exclude")</x:f>
        <x:v>Exclude</x:v>
      </x:c>
      <x:c r="AE897" t="str">
        <x:f>IF(T897="Refunded","Refunded","")</x:f>
      </x:c>
    </x:row>
    <x:row r="898">
      <x:c r="A898" t="str">
        <x:v>ORD-2024-10897</x:v>
      </x:c>
      <x:c r="B898" s="5" t="n">
        <x:v>45650</x:v>
      </x:c>
      <x:c r="C898" s="5" t="n">
        <x:v>45651</x:v>
      </x:c>
      <x:c r="D898" t="str">
        <x:v>CUST-4848</x:v>
      </x:c>
      <x:c r="E898" t="str">
        <x:v>Ananya Rao</x:v>
      </x:c>
      <x:c r="F898" t="str">
        <x:v>Small Business</x:v>
      </x:c>
      <x:c r="G898" t="str">
        <x:v>South</x:v>
      </x:c>
      <x:c r="H898" t="str">
        <x:v>Tamil Nadu</x:v>
      </x:c>
      <x:c r="I898" t="str">
        <x:v>Chennai</x:v>
      </x:c>
      <x:c r="J898" t="str">
        <x:v>Technology</x:v>
      </x:c>
      <x:c r="K898" t="str">
        <x:v>Copiers</x:v>
      </x:c>
      <x:c r="L898" t="str">
        <x:v>Max Copiers 121</x:v>
      </x:c>
      <x:c r="M898" t="str">
        <x:v>Second Class</x:v>
      </x:c>
      <x:c r="N898" t="n">
        <x:v>1</x:v>
      </x:c>
      <x:c r="O898" s="7" t="n">
        <x:v>3693.03</x:v>
      </x:c>
      <x:c r="P898" s="6" t="n">
        <x:v>0.05</x:v>
      </x:c>
      <x:c r="Q898" s="7" t="n">
        <x:v>3508.38</x:v>
      </x:c>
      <x:c r="R898" s="7" t="n">
        <x:v>2828.06</x:v>
      </x:c>
      <x:c r="S898" s="7" t="n">
        <x:v>680.32</x:v>
      </x:c>
      <x:c r="T898" t="str">
        <x:v>Failed</x:v>
      </x:c>
      <x:c r="U898" t="str">
        <x:v>Returned</x:v>
      </x:c>
      <x:c r="V898" s="6" t="n">
        <x:f>IF(ISBLANK(P898),IF(AND(ISNUMBER(N898),N898&gt;0,ISNUMBER(O898),O898&gt;=0,ISNUMBER(Q898),Q898&gt;=0,ISNUMBER(R898),R898&gt;=0,ISNUMBER(S898)),0,""),P898)</x:f>
        <x:v>0.05</x:v>
      </x:c>
      <x:c r="W898" s="7" t="n">
        <x:f>IF(ISBLANK(V898),"",N898*O898*(1-V898))</x:f>
        <x:v>3508.3785</x:v>
      </x:c>
      <x:c r="X898" s="7" t="n">
        <x:f>IF(OR(ISBLANK(W898),ISBLANK(R898)),"",W898-R898)</x:f>
        <x:v>680.3184999999999</x:v>
      </x:c>
      <x:c r="Y898" s="8" t="n">
        <x:f>IF(OR(ISBLANK(W898),W898=0),"",X898/W898)</x:f>
        <x:v>0.19391251542557336</x:v>
      </x:c>
      <x:c r="Z898" s="9" t="n">
        <x:f>IF(OR(ISBLANK(B898),ISBLANK(C898)),"",C898-B898)</x:f>
        <x:v>1</x:v>
      </x:c>
      <x:c r="AA898" t="str">
        <x:f>IF(ISBLANK(B898),"",TEXT(B898,"mmm"))</x:f>
        <x:v>Dec</x:v>
      </x:c>
      <x:c r="AB898" s="9" t="n">
        <x:f>IF(ISBLANK(B898),"",YEAR(B898))</x:f>
        <x:v>2024</x:v>
      </x:c>
      <x:c r="AC898" s="10" t="str">
        <x:v>EXCLUDE: Failed payment</x:v>
      </x:c>
      <x:c r="AD898" t="str">
        <x:f>IF(AND(U898="Completed",T898="Paid",ISERROR(SEARCH("INVALID",AC898)),ISERROR(SEARCH("REVIEW",AC898))),"Include","Exclude")</x:f>
        <x:v>Exclude</x:v>
      </x:c>
      <x:c r="AE898" t="str">
        <x:f>IF(T898="Refunded","Refunded","")</x:f>
      </x:c>
    </x:row>
    <x:row r="899">
      <x:c r="A899" t="str">
        <x:v>ORD-2025-10898</x:v>
      </x:c>
      <x:c r="B899" s="5" t="n">
        <x:v>45776</x:v>
      </x:c>
      <x:c r="C899" s="5" t="n">
        <x:v>45780</x:v>
      </x:c>
      <x:c r="D899" t="str">
        <x:v>CUST-2897</x:v>
      </x:c>
      <x:c r="E899" t="str">
        <x:v>Rohan Mehta</x:v>
      </x:c>
      <x:c r="F899" t="str">
        <x:v>Corporate</x:v>
      </x:c>
      <x:c r="G899" t="str">
        <x:v>North</x:v>
      </x:c>
      <x:c r="H899" t="str">
        <x:v>Haryana</x:v>
      </x:c>
      <x:c r="I899" t="str">
        <x:v>Gurugram</x:v>
      </x:c>
      <x:c r="J899" t="str">
        <x:v>Office Supplies</x:v>
      </x:c>
      <x:c r="K899" t="str">
        <x:v>Paper</x:v>
      </x:c>
      <x:c r="L899" t="str">
        <x:v>Eco Paper 747</x:v>
      </x:c>
      <x:c r="M899" t="str">
        <x:v>First Class</x:v>
      </x:c>
      <x:c r="N899" t="n">
        <x:v>4</x:v>
      </x:c>
      <x:c r="O899" s="7" t="n">
        <x:v>1786.65</x:v>
      </x:c>
      <x:c r="P899" s="6" t="n">
        <x:v>0.05</x:v>
      </x:c>
      <x:c r="Q899" s="7" t="n">
        <x:v>6789.27</x:v>
      </x:c>
      <x:c r="R899" s="7" t="n">
        <x:v>5626.43</x:v>
      </x:c>
      <x:c r="S899" s="7" t="n">
        <x:v>1162.84</x:v>
      </x:c>
      <x:c r="T899" t="str">
        <x:v>Paid</x:v>
      </x:c>
      <x:c r="U899" t="str">
        <x:v>Completed</x:v>
      </x:c>
      <x:c r="V899" s="6" t="n">
        <x:f>IF(ISBLANK(P899),IF(AND(ISNUMBER(N899),N899&gt;0,ISNUMBER(O899),O899&gt;=0,ISNUMBER(Q899),Q899&gt;=0,ISNUMBER(R899),R899&gt;=0,ISNUMBER(S899)),0,""),P899)</x:f>
        <x:v>0.05</x:v>
      </x:c>
      <x:c r="W899" s="7" t="n">
        <x:f>IF(ISBLANK(V899),"",N899*O899*(1-V899))</x:f>
        <x:v>6789.27</x:v>
      </x:c>
      <x:c r="X899" s="7" t="n">
        <x:f>IF(OR(ISBLANK(W899),ISBLANK(R899)),"",W899-R899)</x:f>
        <x:v>1162.8400000000001</x:v>
      </x:c>
      <x:c r="Y899" s="8" t="n">
        <x:f>IF(OR(ISBLANK(W899),W899=0),"",X899/W899)</x:f>
        <x:v>0.17127614603631908</x:v>
      </x:c>
      <x:c r="Z899" s="9" t="n">
        <x:f>IF(OR(ISBLANK(B899),ISBLANK(C899)),"",C899-B899)</x:f>
        <x:v>4</x:v>
      </x:c>
      <x:c r="AA899" t="str">
        <x:f>IF(ISBLANK(B899),"",TEXT(B899,"mmm"))</x:f>
        <x:v>Apr</x:v>
      </x:c>
      <x:c r="AB899" s="9" t="n">
        <x:f>IF(ISBLANK(B899),"",YEAR(B899))</x:f>
        <x:v>2025</x:v>
      </x:c>
      <x:c r="AC899" s="10" t="str"/>
      <x:c r="AD899" t="str">
        <x:f>IF(AND(U899="Completed",T899="Paid",ISERROR(SEARCH("INVALID",AC899)),ISERROR(SEARCH("REVIEW",AC899))),"Include","Exclude")</x:f>
        <x:v>Include</x:v>
      </x:c>
      <x:c r="AE899" t="str">
        <x:f>IF(T899="Refunded","Refunded","")</x:f>
      </x:c>
    </x:row>
    <x:row r="900">
      <x:c r="A900" t="str">
        <x:v>ORD-2024-10899</x:v>
      </x:c>
      <x:c r="B900" s="5" t="n">
        <x:v>45445</x:v>
      </x:c>
      <x:c r="C900" s="5" t="n">
        <x:v>45451</x:v>
      </x:c>
      <x:c r="D900" t="str">
        <x:v>CUST-6046</x:v>
      </x:c>
      <x:c r="E900" t="str">
        <x:v>Vikram Iyer</x:v>
      </x:c>
      <x:c r="F900" t="str">
        <x:v>Consumer</x:v>
      </x:c>
      <x:c r="G900" t="str">
        <x:v>North</x:v>
      </x:c>
      <x:c r="H900" t="str">
        <x:v>Delhi</x:v>
      </x:c>
      <x:c r="I900" t="str">
        <x:v>New Delhi</x:v>
      </x:c>
      <x:c r="J900" t="str">
        <x:v>Furniture</x:v>
      </x:c>
      <x:c r="K900" t="str">
        <x:v>Tables</x:v>
      </x:c>
      <x:c r="L900" t="str">
        <x:v>Classic Tables 535</x:v>
      </x:c>
      <x:c r="M900" t="str">
        <x:v>First Class</x:v>
      </x:c>
      <x:c r="N900" t="n">
        <x:v>4</x:v>
      </x:c>
      <x:c r="O900" s="7" t="n">
        <x:v>1536.7</x:v>
      </x:c>
      <x:c r="P900" s="6" t="n">
        <x:v>0.2</x:v>
      </x:c>
      <x:c r="Q900" s="7" t="n">
        <x:v>4917.44</x:v>
      </x:c>
      <x:c r="R900" s="7" t="n">
        <x:v>3846.77</x:v>
      </x:c>
      <x:c r="S900" s="7" t="n">
        <x:v>1070.67</x:v>
      </x:c>
      <x:c r="T900" t="str">
        <x:v>Paid</x:v>
      </x:c>
      <x:c r="U900" t="str">
        <x:v>Completed</x:v>
      </x:c>
      <x:c r="V900" s="6" t="n">
        <x:f>IF(ISBLANK(P900),IF(AND(ISNUMBER(N900),N900&gt;0,ISNUMBER(O900),O900&gt;=0,ISNUMBER(Q900),Q900&gt;=0,ISNUMBER(R900),R900&gt;=0,ISNUMBER(S900)),0,""),P900)</x:f>
        <x:v>0.2</x:v>
      </x:c>
      <x:c r="W900" s="7" t="n">
        <x:f>IF(ISBLANK(V900),"",N900*O900*(1-V900))</x:f>
        <x:v>4917.4400000000005</x:v>
      </x:c>
      <x:c r="X900" s="7" t="n">
        <x:f>IF(OR(ISBLANK(W900),ISBLANK(R900)),"",W900-R900)</x:f>
        <x:v>1070.6700000000005</x:v>
      </x:c>
      <x:c r="Y900" s="8" t="n">
        <x:f>IF(OR(ISBLANK(W900),W900=0),"",X900/W900)</x:f>
        <x:v>0.21772914361944434</x:v>
      </x:c>
      <x:c r="Z900" s="9" t="n">
        <x:f>IF(OR(ISBLANK(B900),ISBLANK(C900)),"",C900-B900)</x:f>
        <x:v>6</x:v>
      </x:c>
      <x:c r="AA900" t="str">
        <x:f>IF(ISBLANK(B900),"",TEXT(B900,"mmm"))</x:f>
        <x:v>Jun</x:v>
      </x:c>
      <x:c r="AB900" s="9" t="n">
        <x:f>IF(ISBLANK(B900),"",YEAR(B900))</x:f>
        <x:v>2024</x:v>
      </x:c>
      <x:c r="AC900" s="10" t="str"/>
      <x:c r="AD900" t="str">
        <x:f>IF(AND(U900="Completed",T900="Paid",ISERROR(SEARCH("INVALID",AC900)),ISERROR(SEARCH("REVIEW",AC900))),"Include","Exclude")</x:f>
        <x:v>Include</x:v>
      </x:c>
      <x:c r="AE900" t="str">
        <x:f>IF(T900="Refunded","Refunded","")</x:f>
      </x:c>
    </x:row>
    <x:row r="901">
      <x:c r="A901" t="str">
        <x:v>ORD-2025-10900</x:v>
      </x:c>
      <x:c r="B901" s="5" t="n">
        <x:v>45804</x:v>
      </x:c>
      <x:c r="C901" s="5" t="n">
        <x:v>45811</x:v>
      </x:c>
      <x:c r="D901" t="str">
        <x:v>CUST-3789</x:v>
      </x:c>
      <x:c r="E901" t="str">
        <x:v>Karan Malhotra</x:v>
      </x:c>
      <x:c r="F901" t="str">
        <x:v>Consumer</x:v>
      </x:c>
      <x:c r="G901" t="str">
        <x:v>North</x:v>
      </x:c>
      <x:c r="H901" t="str">
        <x:v>Punjab</x:v>
      </x:c>
      <x:c r="I901" t="str">
        <x:v>Ludhiana</x:v>
      </x:c>
      <x:c r="J901" t="str">
        <x:v>Furniture</x:v>
      </x:c>
      <x:c r="K901" t="str">
        <x:v>Chairs</x:v>
      </x:c>
      <x:c r="L901" t="str">
        <x:v>Elite Chairs 971</x:v>
      </x:c>
      <x:c r="M901" t="str">
        <x:v>First Class</x:v>
      </x:c>
      <x:c r="N901" t="n">
        <x:v>5</x:v>
      </x:c>
      <x:c r="O901" s="7" t="n">
        <x:v>881.08</x:v>
      </x:c>
      <x:c r="P901" s="6" t="n">
        <x:v>0.25</x:v>
      </x:c>
      <x:c r="Q901" s="7" t="n">
        <x:v>3304.05</x:v>
      </x:c>
      <x:c r="R901" s="7" t="n">
        <x:v>2279.41</x:v>
      </x:c>
      <x:c r="S901" s="7" t="n">
        <x:v>1024.64</x:v>
      </x:c>
      <x:c r="T901" t="str">
        <x:v>Failed</x:v>
      </x:c>
      <x:c r="U901" t="str">
        <x:v>Cancelled</x:v>
      </x:c>
      <x:c r="V901" s="6" t="n">
        <x:f>IF(ISBLANK(P901),IF(AND(ISNUMBER(N901),N901&gt;0,ISNUMBER(O901),O901&gt;=0,ISNUMBER(Q901),Q901&gt;=0,ISNUMBER(R901),R901&gt;=0,ISNUMBER(S901)),0,""),P901)</x:f>
        <x:v>0.25</x:v>
      </x:c>
      <x:c r="W901" s="7" t="n">
        <x:f>IF(ISBLANK(V901),"",N901*O901*(1-V901))</x:f>
        <x:v>3304.05</x:v>
      </x:c>
      <x:c r="X901" s="7" t="n">
        <x:f>IF(OR(ISBLANK(W901),ISBLANK(R901)),"",W901-R901)</x:f>
        <x:v>1024.6400000000003</x:v>
      </x:c>
      <x:c r="Y901" s="8" t="n">
        <x:f>IF(OR(ISBLANK(W901),W901=0),"",X901/W901)</x:f>
        <x:v>0.31011637233092726</x:v>
      </x:c>
      <x:c r="Z901" s="9" t="n">
        <x:f>IF(OR(ISBLANK(B901),ISBLANK(C901)),"",C901-B901)</x:f>
        <x:v>7</x:v>
      </x:c>
      <x:c r="AA901" t="str">
        <x:f>IF(ISBLANK(B901),"",TEXT(B901,"mmm"))</x:f>
        <x:v>May</x:v>
      </x:c>
      <x:c r="AB901" s="9" t="n">
        <x:f>IF(ISBLANK(B901),"",YEAR(B901))</x:f>
        <x:v>2025</x:v>
      </x:c>
      <x:c r="AC901" s="10" t="str">
        <x:v>EXCLUDE: Cancelled order; EXCLUDE: Failed payment</x:v>
      </x:c>
      <x:c r="AD901" t="str">
        <x:f>IF(AND(U901="Completed",T901="Paid",ISERROR(SEARCH("INVALID",AC901)),ISERROR(SEARCH("REVIEW",AC901))),"Include","Exclude")</x:f>
        <x:v>Exclude</x:v>
      </x:c>
      <x:c r="AE901" t="str">
        <x:f>IF(T901="Refunded","Refunded","")</x:f>
      </x:c>
    </x:row>
    <x:row r="902">
      <x:c r="A902" t="str">
        <x:v>ORD-2024-10332</x:v>
      </x:c>
      <x:c r="B902" s="5" t="n">
        <x:v>45630</x:v>
      </x:c>
      <x:c r="C902" s="5" t="n">
        <x:v>45632</x:v>
      </x:c>
      <x:c r="D902" t="str">
        <x:v>CUST-9346</x:v>
      </x:c>
      <x:c r="E902" t="str">
        <x:v>Sneha Kapoor</x:v>
      </x:c>
      <x:c r="F902" t="str">
        <x:v>Home Office</x:v>
      </x:c>
      <x:c r="G902" t="str">
        <x:v>East</x:v>
      </x:c>
      <x:c r="H902" t="str">
        <x:v>Odisha</x:v>
      </x:c>
      <x:c r="I902" t="str">
        <x:v>Bhubaneswar</x:v>
      </x:c>
      <x:c r="J902" t="str">
        <x:v>Office Supplies</x:v>
      </x:c>
      <x:c r="K902" t="str">
        <x:v>Binders</x:v>
      </x:c>
      <x:c r="L902" t="str">
        <x:v>Smart Binders 939</x:v>
      </x:c>
      <x:c r="M902" t="str">
        <x:v>Second Class</x:v>
      </x:c>
      <x:c r="N902" t="n">
        <x:v>4</x:v>
      </x:c>
      <x:c r="O902" s="7" t="n">
        <x:v>2685.66</x:v>
      </x:c>
      <x:c r="P902" s="6" t="n">
        <x:v>0</x:v>
      </x:c>
      <x:c r="Q902" s="7" t="n">
        <x:v>10989.89</x:v>
      </x:c>
      <x:c r="R902" s="7" t="n">
        <x:v>6477.37</x:v>
      </x:c>
      <x:c r="S902" s="7" t="n">
        <x:v>4265.27</x:v>
      </x:c>
      <x:c r="T902" t="str">
        <x:v>Paid</x:v>
      </x:c>
      <x:c r="U902" t="str">
        <x:v>Completed</x:v>
      </x:c>
      <x:c r="V902" s="6" t="n">
        <x:f>IF(ISBLANK(P902),IF(AND(ISNUMBER(N902),N902&gt;0,ISNUMBER(O902),O902&gt;=0,ISNUMBER(Q902),Q902&gt;=0,ISNUMBER(R902),R902&gt;=0,ISNUMBER(S902)),0,""),P902)</x:f>
        <x:v>0</x:v>
      </x:c>
      <x:c r="W902" s="7" t="n">
        <x:f>IF(ISBLANK(V902),"",N902*O902*(1-V902))</x:f>
        <x:v>10742.64</x:v>
      </x:c>
      <x:c r="X902" s="7" t="n">
        <x:f>IF(OR(ISBLANK(W902),ISBLANK(R902)),"",W902-R902)</x:f>
        <x:v>4265.2699999999995</x:v>
      </x:c>
      <x:c r="Y902" s="8" t="n">
        <x:f>IF(OR(ISBLANK(W902),W902=0),"",X902/W902)</x:f>
        <x:v>0.39704113700170535</x:v>
      </x:c>
      <x:c r="Z902" s="9" t="n">
        <x:f>IF(OR(ISBLANK(B902),ISBLANK(C902)),"",C902-B902)</x:f>
        <x:v>2</x:v>
      </x:c>
      <x:c r="AA902" t="str">
        <x:f>IF(ISBLANK(B902),"",TEXT(B902,"mmm"))</x:f>
        <x:v>Dec</x:v>
      </x:c>
      <x:c r="AB902" s="9" t="n">
        <x:f>IF(ISBLANK(B902),"",YEAR(B902))</x:f>
        <x:v>2024</x:v>
      </x:c>
      <x:c r="AC902" s="10" t="str">
        <x:v>REVIEW: Conflicting duplicate order_id</x:v>
      </x:c>
      <x:c r="AD902" t="str">
        <x:f>IF(AND(U902="Completed",T902="Paid",ISERROR(SEARCH("INVALID",AC902)),ISERROR(SEARCH("REVIEW",AC902))),"Include","Exclude")</x:f>
        <x:v>Exclude</x:v>
      </x:c>
      <x:c r="AE902" t="str">
        <x:f>IF(T902="Refunded","Refunded","")</x:f>
      </x:c>
    </x:row>
    <x:row r="903">
      <x:c r="A903" t="str">
        <x:v>ORD-2025-10091</x:v>
      </x:c>
      <x:c r="B903" s="5" t="n">
        <x:v>45893</x:v>
      </x:c>
      <x:c r="C903" s="5" t="n">
        <x:v>45898</x:v>
      </x:c>
      <x:c r="D903" t="str">
        <x:v>CUST-5909</x:v>
      </x:c>
      <x:c r="E903" t="str">
        <x:v>Aarav Sharma</x:v>
      </x:c>
      <x:c r="F903" t="str">
        <x:v>Small Business</x:v>
      </x:c>
      <x:c r="G903" t="str">
        <x:v>East</x:v>
      </x:c>
      <x:c r="H903" t="str">
        <x:v>Bihar</x:v>
      </x:c>
      <x:c r="I903" t="str">
        <x:v>Patna</x:v>
      </x:c>
      <x:c r="J903" t="str">
        <x:v>Technology</x:v>
      </x:c>
      <x:c r="K903" t="str">
        <x:v>Copiers</x:v>
      </x:c>
      <x:c r="L903" t="str">
        <x:v>Smart Copiers 556</x:v>
      </x:c>
      <x:c r="M903" t="str">
        <x:v>First Class</x:v>
      </x:c>
      <x:c r="N903" t="n">
        <x:v>3</x:v>
      </x:c>
      <x:c r="O903" s="7" t="n">
        <x:v>3703.96</x:v>
      </x:c>
      <x:c r="P903" s="6" t="n">
        <x:v>0.15</x:v>
      </x:c>
      <x:c r="Q903" s="7" t="n">
        <x:v>9549.44</x:v>
      </x:c>
      <x:c r="R903" s="7" t="n">
        <x:v>5586.28</x:v>
      </x:c>
      <x:c r="S903" s="7" t="n">
        <x:v>3858.82</x:v>
      </x:c>
      <x:c r="T903" t="str">
        <x:v>Paid</x:v>
      </x:c>
      <x:c r="U903" t="str">
        <x:v>Returned</x:v>
      </x:c>
      <x:c r="V903" s="6" t="n">
        <x:f>IF(ISBLANK(P903),IF(AND(ISNUMBER(N903),N903&gt;0,ISNUMBER(O903),O903&gt;=0,ISNUMBER(Q903),Q903&gt;=0,ISNUMBER(R903),R903&gt;=0,ISNUMBER(S903)),0,""),P903)</x:f>
        <x:v>0.15</x:v>
      </x:c>
      <x:c r="W903" s="7" t="n">
        <x:f>IF(ISBLANK(V903),"",N903*O903*(1-V903))</x:f>
        <x:v>9445.098</x:v>
      </x:c>
      <x:c r="X903" s="7" t="n">
        <x:f>IF(OR(ISBLANK(W903),ISBLANK(R903)),"",W903-R903)</x:f>
        <x:v>3858.818</x:v>
      </x:c>
      <x:c r="Y903" s="8" t="n">
        <x:f>IF(OR(ISBLANK(W903),W903=0),"",X903/W903)</x:f>
        <x:v>0.40855245758170006</x:v>
      </x:c>
      <x:c r="Z903" s="9" t="n">
        <x:f>IF(OR(ISBLANK(B903),ISBLANK(C903)),"",C903-B903)</x:f>
        <x:v>5</x:v>
      </x:c>
      <x:c r="AA903" t="str">
        <x:f>IF(ISBLANK(B903),"",TEXT(B903,"mmm"))</x:f>
        <x:v>Aug</x:v>
      </x:c>
      <x:c r="AB903" s="9" t="n">
        <x:f>IF(ISBLANK(B903),"",YEAR(B903))</x:f>
        <x:v>2025</x:v>
      </x:c>
      <x:c r="AC903" s="10" t="str">
        <x:v>REVIEW: Conflicting duplicate order_id</x:v>
      </x:c>
      <x:c r="AD903" t="str">
        <x:f>IF(AND(U903="Completed",T903="Paid",ISERROR(SEARCH("INVALID",AC903)),ISERROR(SEARCH("REVIEW",AC903))),"Include","Exclude")</x:f>
        <x:v>Exclude</x:v>
      </x:c>
      <x:c r="AE903" t="str">
        <x:f>IF(T903="Refunded","Refunded","")</x:f>
      </x:c>
    </x:row>
    <x:row r="904">
      <x:c r="A904" t="str">
        <x:v>ORD-2025-10374</x:v>
      </x:c>
      <x:c r="B904" s="5" t="n">
        <x:v>45760</x:v>
      </x:c>
      <x:c r="C904" s="5" t="n">
        <x:v>45760</x:v>
      </x:c>
      <x:c r="D904" t="str">
        <x:v>CUST-8566</x:v>
      </x:c>
      <x:c r="E904" t="str">
        <x:v>Sneha Kapoor</x:v>
      </x:c>
      <x:c r="F904" t="str">
        <x:v>Small Business</x:v>
      </x:c>
      <x:c r="G904" t="str">
        <x:v>North</x:v>
      </x:c>
      <x:c r="H904" t="str">
        <x:v>Uttar Pradesh</x:v>
      </x:c>
      <x:c r="I904" t="str">
        <x:v>Noida</x:v>
      </x:c>
      <x:c r="J904" t="str">
        <x:v>Office Supplies</x:v>
      </x:c>
      <x:c r="K904" t="str">
        <x:v>Storage</x:v>
      </x:c>
      <x:c r="L904" t="str">
        <x:v>Prime Storage 951</x:v>
      </x:c>
      <x:c r="M904" t="str">
        <x:v>Second Class</x:v>
      </x:c>
      <x:c r="N904" t="n">
        <x:v>9</x:v>
      </x:c>
      <x:c r="O904" s="7" t="n">
        <x:v>1118.68</x:v>
      </x:c>
      <x:c r="P904" s="6" t="n">
        <x:v>0</x:v>
      </x:c>
      <x:c r="Q904" s="7" t="n">
        <x:v>10348.43</x:v>
      </x:c>
      <x:c r="R904" s="7" t="n">
        <x:v>8595.37</x:v>
      </x:c>
      <x:c r="S904" s="7" t="n">
        <x:v>1472.75</x:v>
      </x:c>
      <x:c r="T904" t="str">
        <x:v>Paid</x:v>
      </x:c>
      <x:c r="U904" t="str">
        <x:v>Returned</x:v>
      </x:c>
      <x:c r="V904" s="6" t="n">
        <x:f>IF(ISBLANK(P904),IF(AND(ISNUMBER(N904),N904&gt;0,ISNUMBER(O904),O904&gt;=0,ISNUMBER(Q904),Q904&gt;=0,ISNUMBER(R904),R904&gt;=0,ISNUMBER(S904)),0,""),P904)</x:f>
        <x:v>0</x:v>
      </x:c>
      <x:c r="W904" s="7" t="n">
        <x:f>IF(ISBLANK(V904),"",N904*O904*(1-V904))</x:f>
        <x:v>10068.12</x:v>
      </x:c>
      <x:c r="X904" s="7" t="n">
        <x:f>IF(OR(ISBLANK(W904),ISBLANK(R904)),"",W904-R904)</x:f>
        <x:v>1472.75</x:v>
      </x:c>
      <x:c r="Y904" s="8" t="n">
        <x:f>IF(OR(ISBLANK(W904),W904=0),"",X904/W904)</x:f>
        <x:v>0.14627855051389932</x:v>
      </x:c>
      <x:c r="Z904" s="9" t="n">
        <x:f>IF(OR(ISBLANK(B904),ISBLANK(C904)),"",C904-B904)</x:f>
        <x:v>0</x:v>
      </x:c>
      <x:c r="AA904" t="str">
        <x:f>IF(ISBLANK(B904),"",TEXT(B904,"mmm"))</x:f>
        <x:v>Apr</x:v>
      </x:c>
      <x:c r="AB904" s="9" t="n">
        <x:f>IF(ISBLANK(B904),"",YEAR(B904))</x:f>
        <x:v>2025</x:v>
      </x:c>
      <x:c r="AC904" s="10" t="str">
        <x:v>REVIEW: Conflicting duplicate order_id</x:v>
      </x:c>
      <x:c r="AD904" t="str">
        <x:f>IF(AND(U904="Completed",T904="Paid",ISERROR(SEARCH("INVALID",AC904)),ISERROR(SEARCH("REVIEW",AC904))),"Include","Exclude")</x:f>
        <x:v>Exclude</x:v>
      </x:c>
      <x:c r="AE904" t="str">
        <x:f>IF(T904="Refunded","Refunded","")</x:f>
      </x:c>
    </x:row>
    <x:row r="905">
      <x:c r="A905" t="str">
        <x:v>ORD-2025-10225</x:v>
      </x:c>
      <x:c r="B905" s="5" t="n">
        <x:v>45932</x:v>
      </x:c>
      <x:c r="C905" s="5" t="n">
        <x:v>45938</x:v>
      </x:c>
      <x:c r="D905" t="str">
        <x:v>CUST-9871</x:v>
      </x:c>
      <x:c r="E905" t="str">
        <x:v>Isha Nair</x:v>
      </x:c>
      <x:c r="F905" t="str">
        <x:v>Small Business</x:v>
      </x:c>
      <x:c r="G905" t="str">
        <x:v>North</x:v>
      </x:c>
      <x:c r="H905" t="str">
        <x:v>Punjab</x:v>
      </x:c>
      <x:c r="I905" t="str">
        <x:v>Ludhiana</x:v>
      </x:c>
      <x:c r="J905" t="str">
        <x:v>Furniture</x:v>
      </x:c>
      <x:c r="K905" t="str">
        <x:v>Furnishings</x:v>
      </x:c>
      <x:c r="L905" t="str">
        <x:v>Classic Furnishings 109</x:v>
      </x:c>
      <x:c r="M905" t="str">
        <x:v>Standard Class</x:v>
      </x:c>
      <x:c r="N905" t="n">
        <x:v>4</x:v>
      </x:c>
      <x:c r="O905" s="7" t="n">
        <x:v>3944.64</x:v>
      </x:c>
      <x:c r="P905" s="6" t="n">
        <x:v>0.25</x:v>
      </x:c>
      <x:c r="Q905" s="7" t="n">
        <x:v>12116.89</x:v>
      </x:c>
      <x:c r="R905" s="7" t="n">
        <x:v>6682.92</x:v>
      </x:c>
      <x:c r="S905" s="7" t="n">
        <x:v>5151</x:v>
      </x:c>
      <x:c r="T905" t="str">
        <x:v>Paid</x:v>
      </x:c>
      <x:c r="U905" t="str">
        <x:v>Returned</x:v>
      </x:c>
      <x:c r="V905" s="6" t="n">
        <x:f>IF(ISBLANK(P905),IF(AND(ISNUMBER(N905),N905&gt;0,ISNUMBER(O905),O905&gt;=0,ISNUMBER(Q905),Q905&gt;=0,ISNUMBER(R905),R905&gt;=0,ISNUMBER(S905)),0,""),P905)</x:f>
        <x:v>0.25</x:v>
      </x:c>
      <x:c r="W905" s="7" t="n">
        <x:f>IF(ISBLANK(V905),"",N905*O905*(1-V905))</x:f>
        <x:v>11833.92</x:v>
      </x:c>
      <x:c r="X905" s="7" t="n">
        <x:f>IF(OR(ISBLANK(W905),ISBLANK(R905)),"",W905-R905)</x:f>
        <x:v>5151</x:v>
      </x:c>
      <x:c r="Y905" s="8" t="n">
        <x:f>IF(OR(ISBLANK(W905),W905=0),"",X905/W905)</x:f>
        <x:v>0.43527419485681834</x:v>
      </x:c>
      <x:c r="Z905" s="9" t="n">
        <x:f>IF(OR(ISBLANK(B905),ISBLANK(C905)),"",C905-B905)</x:f>
        <x:v>6</x:v>
      </x:c>
      <x:c r="AA905" t="str">
        <x:f>IF(ISBLANK(B905),"",TEXT(B905,"mmm"))</x:f>
        <x:v>Oct</x:v>
      </x:c>
      <x:c r="AB905" s="9" t="n">
        <x:f>IF(ISBLANK(B905),"",YEAR(B905))</x:f>
        <x:v>2025</x:v>
      </x:c>
      <x:c r="AC905" s="10" t="str">
        <x:v>REVIEW: Conflicting duplicate order_id</x:v>
      </x:c>
      <x:c r="AD905" t="str">
        <x:f>IF(AND(U905="Completed",T905="Paid",ISERROR(SEARCH("INVALID",AC905)),ISERROR(SEARCH("REVIEW",AC905))),"Include","Exclude")</x:f>
        <x:v>Exclude</x:v>
      </x:c>
      <x:c r="AE905" t="str">
        <x:f>IF(T905="Refunded","Refunded","")</x:f>
      </x:c>
    </x:row>
    <x:row r="906">
      <x:c r="A906" t="str">
        <x:v>ORD-2025-10315</x:v>
      </x:c>
      <x:c r="B906" s="5" t="n">
        <x:v>45795</x:v>
      </x:c>
      <x:c r="C906" s="5" t="n">
        <x:v>45797</x:v>
      </x:c>
      <x:c r="D906" t="str">
        <x:v>CUST-1945</x:v>
      </x:c>
      <x:c r="E906" t="str">
        <x:v>Isha Nair</x:v>
      </x:c>
      <x:c r="F906" t="str">
        <x:v>Corporate</x:v>
      </x:c>
      <x:c r="G906" t="str">
        <x:v>West</x:v>
      </x:c>
      <x:c r="H906" t="str">
        <x:v>Madhya Pradesh</x:v>
      </x:c>
      <x:c r="I906" t="str">
        <x:v>Indore</x:v>
      </x:c>
      <x:c r="J906" t="str">
        <x:v>Office Supplies</x:v>
      </x:c>
      <x:c r="K906" t="str">
        <x:v>Labels</x:v>
      </x:c>
      <x:c r="L906" t="str">
        <x:v>Elite Labels 544</x:v>
      </x:c>
      <x:c r="M906" t="str">
        <x:v>Standard Class</x:v>
      </x:c>
      <x:c r="N906" t="n">
        <x:v>9</x:v>
      </x:c>
      <x:c r="O906" s="7" t="n">
        <x:v>847.76</x:v>
      </x:c>
      <x:c r="P906" s="6" t="n">
        <x:v>0.15</x:v>
      </x:c>
      <x:c r="Q906" s="7" t="n">
        <x:v>6589.37</x:v>
      </x:c>
      <x:c r="R906" s="7" t="n">
        <x:v>5376.17</x:v>
      </x:c>
      <x:c r="S906" s="7" t="n">
        <x:v>1109.19</x:v>
      </x:c>
      <x:c r="T906" t="str">
        <x:v>Failed</x:v>
      </x:c>
      <x:c r="U906" t="str">
        <x:v>Completed</x:v>
      </x:c>
      <x:c r="V906" s="6" t="n">
        <x:f>IF(ISBLANK(P906),IF(AND(ISNUMBER(N906),N906&gt;0,ISNUMBER(O906),O906&gt;=0,ISNUMBER(Q906),Q906&gt;=0,ISNUMBER(R906),R906&gt;=0,ISNUMBER(S906)),0,""),P906)</x:f>
        <x:v>0.15</x:v>
      </x:c>
      <x:c r="W906" s="7" t="n">
        <x:f>IF(ISBLANK(V906),"",N906*O906*(1-V906))</x:f>
        <x:v>6485.364</x:v>
      </x:c>
      <x:c r="X906" s="7" t="n">
        <x:f>IF(OR(ISBLANK(W906),ISBLANK(R906)),"",W906-R906)</x:f>
        <x:v>1109.1939999999995</x:v>
      </x:c>
      <x:c r="Y906" s="8" t="n">
        <x:f>IF(OR(ISBLANK(W906),W906=0),"",X906/W906)</x:f>
        <x:v>0.17103033846673826</x:v>
      </x:c>
      <x:c r="Z906" s="9" t="n">
        <x:f>IF(OR(ISBLANK(B906),ISBLANK(C906)),"",C906-B906)</x:f>
        <x:v>2</x:v>
      </x:c>
      <x:c r="AA906" t="str">
        <x:f>IF(ISBLANK(B906),"",TEXT(B906,"mmm"))</x:f>
        <x:v>May</x:v>
      </x:c>
      <x:c r="AB906" s="9" t="n">
        <x:f>IF(ISBLANK(B906),"",YEAR(B906))</x:f>
        <x:v>2025</x:v>
      </x:c>
      <x:c r="AC906" s="10" t="str">
        <x:v>EXCLUDE: Failed payment; REVIEW: Conflicting duplicate order_id</x:v>
      </x:c>
      <x:c r="AD906" t="str">
        <x:f>IF(AND(U906="Completed",T906="Paid",ISERROR(SEARCH("INVALID",AC906)),ISERROR(SEARCH("REVIEW",AC906))),"Include","Exclude")</x:f>
        <x:v>Exclude</x:v>
      </x:c>
      <x:c r="AE906" t="str">
        <x:f>IF(T906="Refunded","Refunded","")</x:f>
      </x:c>
    </x:row>
    <x:row r="907">
      <x:c r="A907" t="str">
        <x:v>ORD-2025-10171</x:v>
      </x:c>
      <x:c r="B907" s="5" t="n">
        <x:v>45907</x:v>
      </x:c>
      <x:c r="C907" s="5" t="n">
        <x:v>45915</x:v>
      </x:c>
      <x:c r="D907" t="str">
        <x:v>CUST-3734</x:v>
      </x:c>
      <x:c r="E907" t="str">
        <x:v>Rohan Mehta</x:v>
      </x:c>
      <x:c r="F907" t="str">
        <x:v>Corporate</x:v>
      </x:c>
      <x:c r="G907" t="str">
        <x:v>East</x:v>
      </x:c>
      <x:c r="H907" t="str">
        <x:v>Bihar</x:v>
      </x:c>
      <x:c r="I907" t="str">
        <x:v>Patna</x:v>
      </x:c>
      <x:c r="J907" t="str">
        <x:v>Technology</x:v>
      </x:c>
      <x:c r="K907" t="str">
        <x:v>Copiers</x:v>
      </x:c>
      <x:c r="L907" t="str">
        <x:v>Eco Copiers 102</x:v>
      </x:c>
      <x:c r="M907" t="str">
        <x:v>Standard Class</x:v>
      </x:c>
      <x:c r="N907" t="n">
        <x:v>3</x:v>
      </x:c>
      <x:c r="O907" s="7" t="n">
        <x:v>1711.32</x:v>
      </x:c>
      <x:c r="P907" s="6" t="n">
        <x:v>0</x:v>
      </x:c>
      <x:c r="Q907" s="7" t="n">
        <x:v>5206.53</x:v>
      </x:c>
      <x:c r="R907" s="7" t="n">
        <x:v>3930</x:v>
      </x:c>
      <x:c r="S907" s="7" t="n">
        <x:v>1203.96</x:v>
      </x:c>
      <x:c r="T907" t="str">
        <x:v>Paid</x:v>
      </x:c>
      <x:c r="U907" t="str">
        <x:v>Returned</x:v>
      </x:c>
      <x:c r="V907" s="6" t="n">
        <x:f>IF(ISBLANK(P907),IF(AND(ISNUMBER(N907),N907&gt;0,ISNUMBER(O907),O907&gt;=0,ISNUMBER(Q907),Q907&gt;=0,ISNUMBER(R907),R907&gt;=0,ISNUMBER(S907)),0,""),P907)</x:f>
        <x:v>0</x:v>
      </x:c>
      <x:c r="W907" s="7" t="n">
        <x:f>IF(ISBLANK(V907),"",N907*O907*(1-V907))</x:f>
        <x:v>5133.96</x:v>
      </x:c>
      <x:c r="X907" s="7" t="n">
        <x:f>IF(OR(ISBLANK(W907),ISBLANK(R907)),"",W907-R907)</x:f>
        <x:v>1203.96</x:v>
      </x:c>
      <x:c r="Y907" s="8" t="n">
        <x:f>IF(OR(ISBLANK(W907),W907=0),"",X907/W907)</x:f>
        <x:v>0.23450903396208775</x:v>
      </x:c>
      <x:c r="Z907" s="9" t="n">
        <x:f>IF(OR(ISBLANK(B907),ISBLANK(C907)),"",C907-B907)</x:f>
        <x:v>8</x:v>
      </x:c>
      <x:c r="AA907" t="str">
        <x:f>IF(ISBLANK(B907),"",TEXT(B907,"mmm"))</x:f>
        <x:v>Sep</x:v>
      </x:c>
      <x:c r="AB907" s="9" t="n">
        <x:f>IF(ISBLANK(B907),"",YEAR(B907))</x:f>
        <x:v>2025</x:v>
      </x:c>
      <x:c r="AC907" s="10" t="str">
        <x:v>REVIEW: Conflicting duplicate order_id</x:v>
      </x:c>
      <x:c r="AD907" t="str">
        <x:f>IF(AND(U907="Completed",T907="Paid",ISERROR(SEARCH("INVALID",AC907)),ISERROR(SEARCH("REVIEW",AC907))),"Include","Exclude")</x:f>
        <x:v>Exclude</x:v>
      </x:c>
      <x:c r="AE907" t="str">
        <x:f>IF(T907="Refunded","Refunded","")</x:f>
      </x:c>
    </x:row>
    <x:row r="908">
      <x:c r="A908" t="str">
        <x:v>ORD-2024-10424</x:v>
      </x:c>
      <x:c r="B908" s="5" t="n">
        <x:v>45342</x:v>
      </x:c>
      <x:c r="C908" s="5" t="n">
        <x:v>45349</x:v>
      </x:c>
      <x:c r="D908" t="str">
        <x:v>CUST-6169</x:v>
      </x:c>
      <x:c r="E908" t="str">
        <x:v>Diya Patel</x:v>
      </x:c>
      <x:c r="F908" t="str">
        <x:v>Consumer</x:v>
      </x:c>
      <x:c r="G908" t="str">
        <x:v>South</x:v>
      </x:c>
      <x:c r="H908" t="str">
        <x:v>Kerala</x:v>
      </x:c>
      <x:c r="I908" t="str">
        <x:v>Kochi</x:v>
      </x:c>
      <x:c r="J908" t="str">
        <x:v>Technology</x:v>
      </x:c>
      <x:c r="K908" t="str">
        <x:v>Accessories</x:v>
      </x:c>
      <x:c r="L908" t="str">
        <x:v>Prime Accessories 236</x:v>
      </x:c>
      <x:c r="M908" t="str">
        <x:v>First Class</x:v>
      </x:c>
      <x:c r="N908" t="n">
        <x:v>9</x:v>
      </x:c>
      <x:c r="O908" s="7" t="n">
        <x:v>3779.31</x:v>
      </x:c>
      <x:c r="P908" s="6" t="n">
        <x:v>0.2</x:v>
      </x:c>
      <x:c r="Q908" s="7" t="n">
        <x:v>27322.9</x:v>
      </x:c>
      <x:c r="R908" s="7" t="n">
        <x:v>17940.43</x:v>
      </x:c>
      <x:c r="S908" s="7" t="n">
        <x:v>9270.6</x:v>
      </x:c>
      <x:c r="T908" t="str">
        <x:v>Paid</x:v>
      </x:c>
      <x:c r="U908" t="str">
        <x:v>Returned</x:v>
      </x:c>
      <x:c r="V908" s="6" t="n">
        <x:f>IF(ISBLANK(P908),IF(AND(ISNUMBER(N908),N908&gt;0,ISNUMBER(O908),O908&gt;=0,ISNUMBER(Q908),Q908&gt;=0,ISNUMBER(R908),R908&gt;=0,ISNUMBER(S908)),0,""),P908)</x:f>
        <x:v>0.2</x:v>
      </x:c>
      <x:c r="W908" s="7" t="n">
        <x:f>IF(ISBLANK(V908),"",N908*O908*(1-V908))</x:f>
        <x:v>27211.032000000003</x:v>
      </x:c>
      <x:c r="X908" s="7" t="n">
        <x:f>IF(OR(ISBLANK(W908),ISBLANK(R908)),"",W908-R908)</x:f>
        <x:v>9270.602000000003</x:v>
      </x:c>
      <x:c r="Y908" s="8" t="n">
        <x:f>IF(OR(ISBLANK(W908),W908=0),"",X908/W908)</x:f>
        <x:v>0.34069277490100347</x:v>
      </x:c>
      <x:c r="Z908" s="9" t="n">
        <x:f>IF(OR(ISBLANK(B908),ISBLANK(C908)),"",C908-B908)</x:f>
        <x:v>7</x:v>
      </x:c>
      <x:c r="AA908" t="str">
        <x:f>IF(ISBLANK(B908),"",TEXT(B908,"mmm"))</x:f>
        <x:v>Feb</x:v>
      </x:c>
      <x:c r="AB908" s="9" t="n">
        <x:f>IF(ISBLANK(B908),"",YEAR(B908))</x:f>
        <x:v>2024</x:v>
      </x:c>
      <x:c r="AC908" s="10" t="str">
        <x:v>REVIEW: Conflicting duplicate order_id</x:v>
      </x:c>
      <x:c r="AD908" t="str">
        <x:f>IF(AND(U908="Completed",T908="Paid",ISERROR(SEARCH("INVALID",AC908)),ISERROR(SEARCH("REVIEW",AC908))),"Include","Exclude")</x:f>
        <x:v>Exclude</x:v>
      </x:c>
      <x:c r="AE908" t="str">
        <x:f>IF(T908="Refunded","Refunded","")</x:f>
      </x:c>
    </x:row>
    <x:row r="909">
      <x:c r="A909" t="str">
        <x:v>ORD-2025-10572</x:v>
      </x:c>
      <x:c r="B909" s="5" t="n">
        <x:v>45698</x:v>
      </x:c>
      <x:c r="C909" s="5" t="n">
        <x:v>45702</x:v>
      </x:c>
      <x:c r="D909" t="str">
        <x:v>CUST-3425</x:v>
      </x:c>
      <x:c r="E909" t="str">
        <x:v>Priya Menon</x:v>
      </x:c>
      <x:c r="F909" t="str">
        <x:v>Small Business</x:v>
      </x:c>
      <x:c r="G909" t="str">
        <x:v>North</x:v>
      </x:c>
      <x:c r="H909" t="str">
        <x:v>Uttar Pradesh</x:v>
      </x:c>
      <x:c r="I909" t="str">
        <x:v>Noida</x:v>
      </x:c>
      <x:c r="J909" t="str">
        <x:v>Technology</x:v>
      </x:c>
      <x:c r="K909" t="str">
        <x:v>Phones</x:v>
      </x:c>
      <x:c r="L909" t="str">
        <x:v>Prime Phones 895</x:v>
      </x:c>
      <x:c r="M909" t="str">
        <x:v>Unknown</x:v>
      </x:c>
      <x:c r="N909" t="n">
        <x:v>5</x:v>
      </x:c>
      <x:c r="O909" s="7" t="n">
        <x:v>4276.29</x:v>
      </x:c>
      <x:c r="P909" s="6" t="n">
        <x:v>0</x:v>
      </x:c>
      <x:c r="Q909" s="7" t="n">
        <x:v>21443.63</x:v>
      </x:c>
      <x:c r="R909" s="7" t="n">
        <x:v>13240.21</x:v>
      </x:c>
      <x:c r="S909" s="7" t="n">
        <x:v>8141.24</x:v>
      </x:c>
      <x:c r="T909" t="str">
        <x:v>Failed</x:v>
      </x:c>
      <x:c r="U909" t="str">
        <x:v>Completed</x:v>
      </x:c>
      <x:c r="V909" s="6" t="n">
        <x:f>IF(ISBLANK(P909),IF(AND(ISNUMBER(N909),N909&gt;0,ISNUMBER(O909),O909&gt;=0,ISNUMBER(Q909),Q909&gt;=0,ISNUMBER(R909),R909&gt;=0,ISNUMBER(S909)),0,""),P909)</x:f>
        <x:v>0</x:v>
      </x:c>
      <x:c r="W909" s="7" t="n">
        <x:f>IF(ISBLANK(V909),"",N909*O909*(1-V909))</x:f>
        <x:v>21381.45</x:v>
      </x:c>
      <x:c r="X909" s="7" t="n">
        <x:f>IF(OR(ISBLANK(W909),ISBLANK(R909)),"",W909-R909)</x:f>
        <x:v>8141.240000000002</x:v>
      </x:c>
      <x:c r="Y909" s="8" t="n">
        <x:f>IF(OR(ISBLANK(W909),W909=0),"",X909/W909)</x:f>
        <x:v>0.3807618285944125</x:v>
      </x:c>
      <x:c r="Z909" s="9" t="n">
        <x:f>IF(OR(ISBLANK(B909),ISBLANK(C909)),"",C909-B909)</x:f>
        <x:v>4</x:v>
      </x:c>
      <x:c r="AA909" t="str">
        <x:f>IF(ISBLANK(B909),"",TEXT(B909,"mmm"))</x:f>
        <x:v>Feb</x:v>
      </x:c>
      <x:c r="AB909" s="9" t="n">
        <x:f>IF(ISBLANK(B909),"",YEAR(B909))</x:f>
        <x:v>2025</x:v>
      </x:c>
      <x:c r="AC909" s="10" t="str">
        <x:v>FLAG: Missing ship mode filled as Unknown; EXCLUDE: Failed payment; REVIEW: Conflicting duplicate order_id</x:v>
      </x:c>
      <x:c r="AD909" t="str">
        <x:f>IF(AND(U909="Completed",T909="Paid",ISERROR(SEARCH("INVALID",AC909)),ISERROR(SEARCH("REVIEW",AC909))),"Include","Exclude")</x:f>
        <x:v>Exclude</x:v>
      </x:c>
      <x:c r="AE909" t="str">
        <x:f>IF(T909="Refunded","Refunded","")</x:f>
      </x:c>
    </x:row>
    <x:row r="910">
      <x:c r="A910" t="str">
        <x:v>ORD-2024-10143</x:v>
      </x:c>
      <x:c r="B910" s="5" t="n">
        <x:v>45381</x:v>
      </x:c>
      <x:c r="C910" s="5" t="n">
        <x:v>45377</x:v>
      </x:c>
      <x:c r="D910" t="str">
        <x:v>CUST-8944</x:v>
      </x:c>
      <x:c r="E910" t="str">
        <x:v>Aditi Sen</x:v>
      </x:c>
      <x:c r="F910" t="str">
        <x:v>Home Office</x:v>
      </x:c>
      <x:c r="G910" t="str">
        <x:v>North</x:v>
      </x:c>
      <x:c r="H910" t="str">
        <x:v>Rajasthan</x:v>
      </x:c>
      <x:c r="I910" t="str">
        <x:v>Jaipur</x:v>
      </x:c>
      <x:c r="J910" t="str">
        <x:v>Technology</x:v>
      </x:c>
      <x:c r="K910" t="str">
        <x:v>Phones</x:v>
      </x:c>
      <x:c r="L910" t="str">
        <x:v>Classic Phones 142</x:v>
      </x:c>
      <x:c r="M910" t="str">
        <x:v>Second Class</x:v>
      </x:c>
      <x:c r="N910" t="n">
        <x:v>5</x:v>
      </x:c>
      <x:c r="O910" s="7" t="n">
        <x:v>907.54</x:v>
      </x:c>
      <x:c r="P910" s="6" t="n">
        <x:v>0.15</x:v>
      </x:c>
      <x:c r="Q910" s="7" t="n">
        <x:v>4099.69</x:v>
      </x:c>
      <x:c r="R910" s="7" t="n">
        <x:v>2769.26</x:v>
      </x:c>
      <x:c r="S910" s="7" t="n">
        <x:v>1087.78</x:v>
      </x:c>
      <x:c r="T910" t="str">
        <x:v>Paid</x:v>
      </x:c>
      <x:c r="U910" t="str">
        <x:v>Returned</x:v>
      </x:c>
      <x:c r="V910" s="6" t="n">
        <x:f>IF(ISBLANK(P910),IF(AND(ISNUMBER(N910),N910&gt;0,ISNUMBER(O910),O910&gt;=0,ISNUMBER(Q910),Q910&gt;=0,ISNUMBER(R910),R910&gt;=0,ISNUMBER(S910)),0,""),P910)</x:f>
        <x:v>0.15</x:v>
      </x:c>
      <x:c r="W910" s="7" t="n">
        <x:f>IF(ISBLANK(V910),"",N910*O910*(1-V910))</x:f>
        <x:v>3857.0449999999996</x:v>
      </x:c>
      <x:c r="X910" s="7" t="n">
        <x:f>IF(OR(ISBLANK(W910),ISBLANK(R910)),"",W910-R910)</x:f>
        <x:v>1087.7849999999994</x:v>
      </x:c>
      <x:c r="Y910" s="8" t="n">
        <x:f>IF(OR(ISBLANK(W910),W910=0),"",X910/W910)</x:f>
        <x:v>0.2820254884244284</x:v>
      </x:c>
      <x:c r="Z910" s="9" t="n">
        <x:f>IF(OR(ISBLANK(B910),ISBLANK(C910)),"",C910-B910)</x:f>
        <x:v>-4</x:v>
      </x:c>
      <x:c r="AA910" t="str">
        <x:f>IF(ISBLANK(B910),"",TEXT(B910,"mmm"))</x:f>
        <x:v>Mar</x:v>
      </x:c>
      <x:c r="AB910" s="9" t="n">
        <x:f>IF(ISBLANK(B910),"",YEAR(B910))</x:f>
        <x:v>2024</x:v>
      </x:c>
      <x:c r="AC910" s="10" t="str">
        <x:v>INVALID: Ship date before order date; REVIEW: Conflicting duplicate order_id</x:v>
      </x:c>
      <x:c r="AD910" t="str">
        <x:f>IF(AND(U910="Completed",T910="Paid",ISERROR(SEARCH("INVALID",AC910)),ISERROR(SEARCH("REVIEW",AC910))),"Include","Exclude")</x:f>
        <x:v>Exclude</x:v>
      </x:c>
      <x:c r="AE910" t="str">
        <x:f>IF(T910="Refunded","Refunded","")</x:f>
      </x:c>
    </x:row>
    <x:row r="911">
      <x:c r="A911" t="str">
        <x:v>ORD-2024-10273</x:v>
      </x:c>
      <x:c r="B911" s="5" t="n">
        <x:v>45522</x:v>
      </x:c>
      <x:c r="C911" s="5" t="n">
        <x:v>45528</x:v>
      </x:c>
      <x:c r="D911" t="str">
        <x:v>CUST-7389</x:v>
      </x:c>
      <x:c r="E911" t="str">
        <x:v>Arjun Bose</x:v>
      </x:c>
      <x:c r="F911" t="str">
        <x:v>Consumer</x:v>
      </x:c>
      <x:c r="G911" t="str">
        <x:v>South</x:v>
      </x:c>
      <x:c r="H911" t="str">
        <x:v>Andhra Pradesh</x:v>
      </x:c>
      <x:c r="I911" t="str">
        <x:v>Vijayawada</x:v>
      </x:c>
      <x:c r="J911" t="str">
        <x:v>Furniture</x:v>
      </x:c>
      <x:c r="K911" t="str">
        <x:v>Chairs</x:v>
      </x:c>
      <x:c r="L911" t="str">
        <x:v>Eco Chairs 314</x:v>
      </x:c>
      <x:c r="M911" t="str">
        <x:v>First Class</x:v>
      </x:c>
      <x:c r="N911" t="n">
        <x:v>7</x:v>
      </x:c>
      <x:c r="O911" s="7" t="n">
        <x:v>557.21</x:v>
      </x:c>
      <x:c r="P911" s="6" t="n">
        <x:v>0.1</x:v>
      </x:c>
      <x:c r="Q911" s="7" t="n">
        <x:v>3797.79</x:v>
      </x:c>
      <x:c r="R911" s="7" t="n">
        <x:v>2191.5</x:v>
      </x:c>
      <x:c r="S911" s="7" t="n">
        <x:v>1213.48</x:v>
      </x:c>
      <x:c r="T911" t="str">
        <x:v>Paid</x:v>
      </x:c>
      <x:c r="U911" t="str">
        <x:v>Returned</x:v>
      </x:c>
      <x:c r="V911" s="6" t="n">
        <x:f>IF(ISBLANK(P911),IF(AND(ISNUMBER(N911),N911&gt;0,ISNUMBER(O911),O911&gt;=0,ISNUMBER(Q911),Q911&gt;=0,ISNUMBER(R911),R911&gt;=0,ISNUMBER(S911)),0,""),P911)</x:f>
        <x:v>0.1</x:v>
      </x:c>
      <x:c r="W911" s="7" t="n">
        <x:f>IF(ISBLANK(V911),"",N911*O911*(1-V911))</x:f>
        <x:v>3510.4230000000002</x:v>
      </x:c>
      <x:c r="X911" s="7" t="n">
        <x:f>IF(OR(ISBLANK(W911),ISBLANK(R911)),"",W911-R911)</x:f>
        <x:v>1318.9230000000002</x:v>
      </x:c>
      <x:c r="Y911" s="8" t="n">
        <x:f>IF(OR(ISBLANK(W911),W911=0),"",X911/W911)</x:f>
        <x:v>0.37571625983535323</x:v>
      </x:c>
      <x:c r="Z911" s="9" t="n">
        <x:f>IF(OR(ISBLANK(B911),ISBLANK(C911)),"",C911-B911)</x:f>
        <x:v>6</x:v>
      </x:c>
      <x:c r="AA911" t="str">
        <x:f>IF(ISBLANK(B911),"",TEXT(B911,"mmm"))</x:f>
        <x:v>Aug</x:v>
      </x:c>
      <x:c r="AB911" s="9" t="n">
        <x:f>IF(ISBLANK(B911),"",YEAR(B911))</x:f>
        <x:v>2024</x:v>
      </x:c>
      <x:c r="AC911" s="10" t="str">
        <x:v>REVIEW: Conflicting duplicate order_id</x:v>
      </x:c>
      <x:c r="AD911" t="str">
        <x:f>IF(AND(U911="Completed",T911="Paid",ISERROR(SEARCH("INVALID",AC911)),ISERROR(SEARCH("REVIEW",AC911))),"Include","Exclude")</x:f>
        <x:v>Exclude</x:v>
      </x:c>
      <x:c r="AE911" t="str">
        <x:f>IF(T911="Refunded","Refunded","")</x:f>
      </x:c>
    </x:row>
    <x:row r="912">
      <x:c r="A912" t="str">
        <x:v>ORD-2024-10124</x:v>
      </x:c>
      <x:c r="B912" s="5" t="n">
        <x:v>45436</x:v>
      </x:c>
      <x:c r="C912" s="5" t="n">
        <x:v>45437</x:v>
      </x:c>
      <x:c r="D912" t="str">
        <x:v>CUST-1007</x:v>
      </x:c>
      <x:c r="E912" t="str">
        <x:v>Sneha Kapoor</x:v>
      </x:c>
      <x:c r="F912" t="str">
        <x:v>Small Business</x:v>
      </x:c>
      <x:c r="G912" t="str">
        <x:v>North</x:v>
      </x:c>
      <x:c r="H912" t="str">
        <x:v>Punjab</x:v>
      </x:c>
      <x:c r="I912" t="str">
        <x:v>Ludhiana</x:v>
      </x:c>
      <x:c r="J912" t="str">
        <x:v>Technology</x:v>
      </x:c>
      <x:c r="K912" t="str">
        <x:v>Copiers</x:v>
      </x:c>
      <x:c r="L912" t="str">
        <x:v>Max Copiers 970</x:v>
      </x:c>
      <x:c r="M912" t="str">
        <x:v>Same Day</x:v>
      </x:c>
      <x:c r="N912" t="n">
        <x:v>1</x:v>
      </x:c>
      <x:c r="O912" s="7" t="n">
        <x:v>634.13</x:v>
      </x:c>
      <x:c r="P912" s="6" t="n">
        <x:v>0</x:v>
      </x:c>
      <x:c r="Q912" s="7" t="n">
        <x:v>808.67</x:v>
      </x:c>
      <x:c r="R912" s="7" t="n">
        <x:v>453.35</x:v>
      </x:c>
      <x:c r="S912" s="7" t="n">
        <x:v>180.78</x:v>
      </x:c>
      <x:c r="T912" t="str">
        <x:v>Refunded</x:v>
      </x:c>
      <x:c r="U912" t="str">
        <x:v>Returned</x:v>
      </x:c>
      <x:c r="V912" s="6" t="n">
        <x:f>IF(ISBLANK(P912),IF(AND(ISNUMBER(N912),N912&gt;0,ISNUMBER(O912),O912&gt;=0,ISNUMBER(Q912),Q912&gt;=0,ISNUMBER(R912),R912&gt;=0,ISNUMBER(S912)),0,""),P912)</x:f>
        <x:v>0</x:v>
      </x:c>
      <x:c r="W912" s="7" t="n">
        <x:f>IF(ISBLANK(V912),"",N912*O912*(1-V912))</x:f>
        <x:v>634.13</x:v>
      </x:c>
      <x:c r="X912" s="7" t="n">
        <x:f>IF(OR(ISBLANK(W912),ISBLANK(R912)),"",W912-R912)</x:f>
        <x:v>180.77999999999997</x:v>
      </x:c>
      <x:c r="Y912" s="8" t="n">
        <x:f>IF(OR(ISBLANK(W912),W912=0),"",X912/W912)</x:f>
        <x:v>0.2850835002286597</x:v>
      </x:c>
      <x:c r="Z912" s="9" t="n">
        <x:f>IF(OR(ISBLANK(B912),ISBLANK(C912)),"",C912-B912)</x:f>
        <x:v>1</x:v>
      </x:c>
      <x:c r="AA912" t="str">
        <x:f>IF(ISBLANK(B912),"",TEXT(B912,"mmm"))</x:f>
        <x:v>May</x:v>
      </x:c>
      <x:c r="AB912" s="9" t="n">
        <x:f>IF(ISBLANK(B912),"",YEAR(B912))</x:f>
        <x:v>2024</x:v>
      </x:c>
      <x:c r="AC912" s="10" t="str">
        <x:v>REFUND: Summarize separately; REVIEW: Conflicting duplicate order_id</x:v>
      </x:c>
      <x:c r="AD912" t="str">
        <x:f>IF(AND(U912="Completed",T912="Paid",ISERROR(SEARCH("INVALID",AC912)),ISERROR(SEARCH("REVIEW",AC912))),"Include","Exclude")</x:f>
        <x:v>Exclude</x:v>
      </x:c>
      <x:c r="AE912" t="str">
        <x:f>IF(T912="Refunded","Refunded","")</x:f>
        <x:v>Refunded</x:v>
      </x:c>
    </x:row>
    <x:row r="913">
      <x:c r="A913" t="str">
        <x:v>ORD-2025-10336</x:v>
      </x:c>
      <x:c r="B913" s="5" t="n">
        <x:v>45824</x:v>
      </x:c>
      <x:c r="C913" s="5" t="n">
        <x:v>45826</x:v>
      </x:c>
      <x:c r="D913" t="str">
        <x:v>CUST-3621</x:v>
      </x:c>
      <x:c r="E913" t="str">
        <x:v>Rahul Verma</x:v>
      </x:c>
      <x:c r="F913" t="str">
        <x:v>Home Office</x:v>
      </x:c>
      <x:c r="G913" t="str">
        <x:v>West</x:v>
      </x:c>
      <x:c r="H913" t="str">
        <x:v>Madhya Pradesh</x:v>
      </x:c>
      <x:c r="I913" t="str">
        <x:v>Indore</x:v>
      </x:c>
      <x:c r="J913" t="str">
        <x:v>Office Supplies</x:v>
      </x:c>
      <x:c r="K913" t="str">
        <x:v>Paper</x:v>
      </x:c>
      <x:c r="L913" t="str">
        <x:v>Prime Paper 559</x:v>
      </x:c>
      <x:c r="M913" t="str">
        <x:v>First Class</x:v>
      </x:c>
      <x:c r="N913" t="n">
        <x:v>3</x:v>
      </x:c>
      <x:c r="O913" s="7" t="n">
        <x:v>4289.37</x:v>
      </x:c>
      <x:c r="P913" s="6" t="n">
        <x:v>0.1</x:v>
      </x:c>
      <x:c r="Q913" s="7" t="n">
        <x:v>11778.71</x:v>
      </x:c>
      <x:c r="R913" s="7" t="n">
        <x:v>6829.43</x:v>
      </x:c>
      <x:c r="S913" s="7" t="n">
        <x:v>4751.87</x:v>
      </x:c>
      <x:c r="T913" t="str">
        <x:v>Paid</x:v>
      </x:c>
      <x:c r="U913" t="str">
        <x:v>Returned</x:v>
      </x:c>
      <x:c r="V913" s="6" t="n">
        <x:f>IF(ISBLANK(P913),IF(AND(ISNUMBER(N913),N913&gt;0,ISNUMBER(O913),O913&gt;=0,ISNUMBER(Q913),Q913&gt;=0,ISNUMBER(R913),R913&gt;=0,ISNUMBER(S913)),0,""),P913)</x:f>
        <x:v>0.1</x:v>
      </x:c>
      <x:c r="W913" s="7" t="n">
        <x:f>IF(ISBLANK(V913),"",N913*O913*(1-V913))</x:f>
        <x:v>11581.299</x:v>
      </x:c>
      <x:c r="X913" s="7" t="n">
        <x:f>IF(OR(ISBLANK(W913),ISBLANK(R913)),"",W913-R913)</x:f>
        <x:v>4751.869000000001</x:v>
      </x:c>
      <x:c r="Y913" s="8" t="n">
        <x:f>IF(OR(ISBLANK(W913),W913=0),"",X913/W913)</x:f>
        <x:v>0.41030535521101735</x:v>
      </x:c>
      <x:c r="Z913" s="9" t="n">
        <x:f>IF(OR(ISBLANK(B913),ISBLANK(C913)),"",C913-B913)</x:f>
        <x:v>2</x:v>
      </x:c>
      <x:c r="AA913" t="str">
        <x:f>IF(ISBLANK(B913),"",TEXT(B913,"mmm"))</x:f>
        <x:v>Jun</x:v>
      </x:c>
      <x:c r="AB913" s="9" t="n">
        <x:f>IF(ISBLANK(B913),"",YEAR(B913))</x:f>
        <x:v>2025</x:v>
      </x:c>
      <x:c r="AC913" s="10" t="str">
        <x:v>REVIEW: Conflicting duplicate order_id</x:v>
      </x:c>
      <x:c r="AD913" t="str">
        <x:f>IF(AND(U913="Completed",T913="Paid",ISERROR(SEARCH("INVALID",AC913)),ISERROR(SEARCH("REVIEW",AC913))),"Include","Exclude")</x:f>
        <x:v>Exclude</x:v>
      </x:c>
      <x:c r="AE913" t="str">
        <x:f>IF(T913="Refunded","Refunded","")</x:f>
      </x:c>
    </x:row>
  </x:sheetData>
  <x:conditionalFormatting sqref="V2:V913">
    <x:cfRule type="cellIs" dxfId="0" priority="1" operator="lessThan">
      <x:formula>0</x:formula>
    </x:cfRule>
    <x:cfRule type="cellIs" dxfId="1" priority="2" operator="greaterThan">
      <x:formula>0.5</x:formula>
    </x:cfRule>
  </x:conditionalFormatting>
  <x:conditionalFormatting sqref="Z2:Z913">
    <x:cfRule type="cellIs" dxfId="2" priority="3" operator="lessThan">
      <x:formula>0</x:formula>
    </x:cfRule>
  </x:conditionalFormatting>
  <x:conditionalFormatting sqref="AC2:AC913">
    <x:cfRule type="containsText" dxfId="3" priority="4" operator="containsText" text="INVALID"/>
    <x:cfRule type="containsText" dxfId="4" priority="5" operator="containsText" text="REVIEW"/>
  </x:conditionalFormatting>
  <x:conditionalFormatting sqref="AD2:AD913">
    <x:cfRule type="containsText" dxfId="5" priority="6" operator="containsText" text="Include"/>
  </x:conditionalFormatting>
  <x:pageMargins left="0.7" right="0.7" top="0.75" bottom="0.75" header="0.3" footer="0.3"/>
  <x:tableParts count="1">
    <x:tablePart xmlns:r="http://schemas.openxmlformats.org/officeDocument/2006/relationships" r:id="R01abe9bdebe14f1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55" hidden="0" customWidth="1"/>
  </x:cols>
  <x:sheetData>
    <x:row r="1" ht="38" customHeight="1">
      <x:c r="A1" s="12" t="str">
        <x:v>Order Data Quality Summary</x:v>
      </x:c>
      <x:c r="B1" s="12"/>
      <x:c r="C1" s="12"/>
      <x:c r="D1" s="12"/>
    </x:row>
    <x:row r="3">
      <x:c r="A3" s="2" t="str">
        <x:v>Metric</x:v>
      </x:c>
      <x:c r="B3" s="2" t="str">
        <x:v>Result</x:v>
      </x:c>
      <x:c r="C3" s="2" t="str">
        <x:v>Rule / Meaning</x:v>
      </x:c>
    </x:row>
    <x:row r="4">
      <x:c r="A4" s="16" t="str">
        <x:v>Cleaned records</x:v>
      </x:c>
      <x:c r="B4" s="28" t="n">
        <x:f>COUNTA('cleaned_orders'!$A$2:$A$913)</x:f>
        <x:v>912</x:v>
      </x:c>
      <x:c r="C4" s="13" t="str">
        <x:v>Records remaining after removing exact duplicate copies</x:v>
      </x:c>
    </x:row>
    <x:row r="5">
      <x:c r="A5" s="17" t="str">
        <x:v>Exact duplicate copies removed</x:v>
      </x:c>
      <x:c r="B5" s="29" t="n">
        <x:v>20</x:v>
      </x:c>
      <x:c r="C5" s="14" t="str">
        <x:v>Only additional identical rows were removed</x:v>
      </x:c>
    </x:row>
    <x:row r="6">
      <x:c r="A6" s="17" t="str">
        <x:v>Missing regions filled</x:v>
      </x:c>
      <x:c r="B6" s="29" t="n">
        <x:f>COUNTIF('cleaned_orders'!$G$2:$G$913,"Unknown")</x:f>
        <x:v>25</x:v>
      </x:c>
      <x:c r="C6" s="14" t="str">
        <x:v>Filled as Unknown and flagged</x:v>
      </x:c>
    </x:row>
    <x:row r="7">
      <x:c r="A7" s="17" t="str">
        <x:v>Missing ship modes filled</x:v>
      </x:c>
      <x:c r="B7" s="29" t="n">
        <x:f>COUNTIF('cleaned_orders'!$M$2:$M$913,"Unknown")</x:f>
        <x:v>21</x:v>
      </x:c>
      <x:c r="C7" s="14" t="str">
        <x:v>Filled as Unknown and flagged</x:v>
      </x:c>
    </x:row>
    <x:row r="8">
      <x:c r="A8" s="17" t="str">
        <x:v>Missing discounts treated as 0</x:v>
      </x:c>
      <x:c r="B8" s="29" t="n">
        <x:v>18</x:v>
      </x:c>
      <x:c r="C8" s="14" t="str">
        <x:v>Only when other sales fields were valid</x:v>
      </x:c>
    </x:row>
    <x:row r="9">
      <x:c r="A9" s="17" t="str">
        <x:v>Negative discounts</x:v>
      </x:c>
      <x:c r="B9" s="29" t="n">
        <x:f>COUNTIF('cleaned_orders'!$V$2:$V$913,"&lt;0")</x:f>
        <x:v>15</x:v>
      </x:c>
      <x:c r="C9" s="14" t="str">
        <x:v>Invalid</x:v>
      </x:c>
    </x:row>
    <x:row r="10">
      <x:c r="A10" s="17" t="str">
        <x:v>Discounts above 50%</x:v>
      </x:c>
      <x:c r="B10" s="29" t="n">
        <x:f>COUNTIF('cleaned_orders'!$V$2:$V$913,"&gt;0.5")</x:f>
        <x:v>15</x:v>
      </x:c>
      <x:c r="C10" s="14" t="str">
        <x:v>Invalid</x:v>
      </x:c>
    </x:row>
    <x:row r="11">
      <x:c r="A11" s="17" t="str">
        <x:v>Invalid shipping sequences</x:v>
      </x:c>
      <x:c r="B11" s="29" t="n">
        <x:f>COUNTIF('cleaned_orders'!$Z$2:$Z$913,"&lt;0")</x:f>
        <x:v>21</x:v>
      </x:c>
      <x:c r="C11" s="14" t="str">
        <x:v>Ship date before order date</x:v>
      </x:c>
    </x:row>
    <x:row r="12">
      <x:c r="A12" s="17" t="str">
        <x:v>Conflicting duplicate records</x:v>
      </x:c>
      <x:c r="B12" s="29" t="n">
        <x:v>24</x:v>
      </x:c>
      <x:c r="C12" s="14" t="str">
        <x:v>Retained and flagged for review</x:v>
      </x:c>
    </x:row>
    <x:row r="13">
      <x:c r="A13" s="17" t="str">
        <x:v>Completed-sales eligible records</x:v>
      </x:c>
      <x:c r="B13" s="29" t="n">
        <x:f>COUNTIF('cleaned_orders'!$AD$2:$AD$913,"Include")</x:f>
        <x:v>562</x:v>
      </x:c>
      <x:c r="C13" s="14" t="str">
        <x:v>Completed + Paid + no invalid/review flag</x:v>
      </x:c>
    </x:row>
    <x:row r="14">
      <x:c r="A14" s="17" t="str">
        <x:v>Refunded records</x:v>
      </x:c>
      <x:c r="B14" s="29" t="n">
        <x:f>COUNTIF('cleaned_orders'!$AE$2:$AE$913,"Refunded")</x:f>
        <x:v>71</x:v>
      </x:c>
      <x:c r="C14" s="14" t="str">
        <x:v>Excluded and summarized separately</x:v>
      </x:c>
    </x:row>
    <x:row r="15">
      <x:c r="A15" s="18" t="str">
        <x:v>Completed-sales eligible value</x:v>
      </x:c>
      <x:c r="B15" s="30" t="n">
        <x:f>SUMIF('cleaned_orders'!$AD$2:$AD$913,"Include",'cleaned_orders'!$Q$2:$Q$913)</x:f>
        <x:v>5518942.589999995</x:v>
      </x:c>
      <x:c r="C15" s="15" t="str">
        <x:v>Sum of original sales for eligible records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80" hidden="0" customWidth="1"/>
  </x:cols>
  <x:sheetData>
    <x:row r="1">
      <x:c r="A1" s="2" t="str">
        <x:v>Rule Area</x:v>
      </x:c>
      <x:c r="B1" s="2" t="str">
        <x:v>Student-Facing Rule</x:v>
      </x:c>
    </x:row>
    <x:row r="2">
      <x:c r="A2" t="str">
        <x:v>Raw file</x:v>
      </x:c>
      <x:c r="B2" s="10" t="str">
        <x:v>Do not overwrite raw_orders.xlsx. Create cleaned_orders.xlsx separately.</x:v>
      </x:c>
    </x:row>
    <x:row r="3">
      <x:c r="A3" t="str">
        <x:v>Missing region</x:v>
      </x:c>
      <x:c r="B3" s="10" t="str">
        <x:v>Fill as Unknown and flag in quality report.</x:v>
      </x:c>
    </x:row>
    <x:row r="4">
      <x:c r="A4" t="str">
        <x:v>Missing ship_mode</x:v>
      </x:c>
      <x:c r="B4" s="10" t="str">
        <x:v>Fill as Unknown and flag in quality report.</x:v>
      </x:c>
    </x:row>
    <x:row r="5">
      <x:c r="A5" t="str">
        <x:v>Missing discount</x:v>
      </x:c>
      <x:c r="B5" s="10" t="str">
        <x:v>Treat as 0 only if all other sales fields are valid; otherwise flag.</x:v>
      </x:c>
    </x:row>
    <x:row r="6">
      <x:c r="A6" t="str">
        <x:v>Discount</x:v>
      </x:c>
      <x:c r="B6" s="10" t="str">
        <x:v>Flag negative discounts and unusually high discounts as invalid.</x:v>
      </x:c>
    </x:row>
    <x:row r="7">
      <x:c r="A7" t="str">
        <x:v>Cancelled/Failed/Refunded</x:v>
      </x:c>
      <x:c r="B7" s="10" t="str">
        <x:v>Do not include non-completed/failed/refunded records in completed-sales summaries.</x:v>
      </x:c>
    </x:row>
    <x:row r="8">
      <x:c r="A8" t="str">
        <x:v>Date sequence</x:v>
      </x:c>
      <x:c r="B8" s="10" t="str">
        <x:v>Flag ship_date earlier than order_date.</x:v>
      </x:c>
    </x:row>
    <x:row r="9">
      <x:c r="A9" t="str">
        <x:v>Duplicates</x:v>
      </x:c>
      <x:c r="B9" s="10" t="str">
        <x:v>Remove exact duplicate copies; flag conflicting duplicate order IDs.</x:v>
      </x:c>
    </x:row>
    <x:row r="10">
      <x:c r="A10" t="str">
        <x:v>Calculated fields</x:v>
      </x:c>
      <x:c r="B10" s="10" t="str">
        <x:v>Create calculated_sales, calculated_profit, profit_margin, shipping_delay_days, order_month, order_year, and data_quality_flag.</x:v>
      </x:c>
    </x:row>
    <x:row r="11">
      <x:c r="A11" t="str">
        <x:v>Documentation</x:v>
      </x:c>
      <x:c r="B11" s="10" t="str">
        <x:v>Document cleaning decisions and assumptions in cleaning_log.md.</x:v>
      </x:c>
    </x:row>
  </x:sheetData>
  <x:pageMargins left="0.7" right="0.7" top="0.75" bottom="0.75" header="0.3" footer="0.3"/>
  <x:tableParts count="1">
    <x:tablePart xmlns:r="http://schemas.openxmlformats.org/officeDocument/2006/relationships" r:id="R3c75a4854ee445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6" hidden="0" customWidth="1"/>
  </x:cols>
  <x:sheetData>
    <x:row r="1" ht="36" customHeight="1">
      <x:c r="A1" s="33" t="str">
        <x:v>Sales and Profit by Region</x:v>
      </x:c>
      <x:c r="B1" s="33"/>
      <x:c r="C1" s="33"/>
      <x:c r="D1" s="33"/>
      <x:c r="E1" s="33"/>
      <x:c r="F1" s="33"/>
    </x:row>
    <x:row r="2" ht="30" customHeight="1">
      <x:c r="A2" s="37" t="str">
        <x:v>Filter: completed_sales_eligible = Include | Sorted by Sales, highest to lowest.</x:v>
      </x:c>
      <x:c r="B2" s="37"/>
      <x:c r="C2" s="37"/>
      <x:c r="D2" s="37"/>
      <x:c r="E2" s="37"/>
      <x:c r="F2" s="37"/>
    </x:row>
    <x:row r="4" ht="28" customHeight="1">
      <x:c r="A4" s="40" t="str">
        <x:v>Region</x:v>
      </x:c>
      <x:c r="B4" s="40" t="str">
        <x:v>Sales</x:v>
      </x:c>
      <x:c r="C4" s="40" t="str">
        <x:v>Profit</x:v>
      </x:c>
      <x:c r="D4" s="40" t="str">
        <x:v>Order Count</x:v>
      </x:c>
    </x:row>
    <x:row r="5">
      <x:c r="A5" s="13" t="str">
        <x:v>South</x:v>
      </x:c>
      <x:c r="B5" s="41" t="n">
        <x:f>SUMIFS('cleaned_orders'!$Q$2:$Q$913,'cleaned_orders'!$G$2:$G$913,A5,'cleaned_orders'!$AD$2:$AD$913,"Include")</x:f>
        <x:v>1456095.750000001</x:v>
      </x:c>
      <x:c r="C5" s="41" t="n">
        <x:f>SUMIFS('cleaned_orders'!$S$2:$S$913,'cleaned_orders'!$G$2:$G$913,A5,'cleaned_orders'!$AD$2:$AD$913,"Include")</x:f>
        <x:v>415674.73000000004</x:v>
      </x:c>
      <x:c r="D5" s="44" t="n">
        <x:f>COUNTIFS('cleaned_orders'!$G$2:$G$913,A5,'cleaned_orders'!$AD$2:$AD$913,"Include")</x:f>
        <x:v>142</x:v>
      </x:c>
    </x:row>
    <x:row r="6">
      <x:c r="A6" s="14" t="str">
        <x:v>West</x:v>
      </x:c>
      <x:c r="B6" s="42" t="n">
        <x:f>SUMIFS('cleaned_orders'!$Q$2:$Q$913,'cleaned_orders'!$G$2:$G$913,A6,'cleaned_orders'!$AD$2:$AD$913,"Include")</x:f>
        <x:v>1428114.53</x:v>
      </x:c>
      <x:c r="C6" s="42" t="n">
        <x:f>SUMIFS('cleaned_orders'!$S$2:$S$913,'cleaned_orders'!$G$2:$G$913,A6,'cleaned_orders'!$AD$2:$AD$913,"Include")</x:f>
        <x:v>406246.7800000001</x:v>
      </x:c>
      <x:c r="D6" s="45" t="n">
        <x:f>COUNTIFS('cleaned_orders'!$G$2:$G$913,A6,'cleaned_orders'!$AD$2:$AD$913,"Include")</x:f>
        <x:v>147</x:v>
      </x:c>
    </x:row>
    <x:row r="7">
      <x:c r="A7" s="14" t="str">
        <x:v>East</x:v>
      </x:c>
      <x:c r="B7" s="42" t="n">
        <x:f>SUMIFS('cleaned_orders'!$Q$2:$Q$913,'cleaned_orders'!$G$2:$G$913,A7,'cleaned_orders'!$AD$2:$AD$913,"Include")</x:f>
        <x:v>1312944.310000001</x:v>
      </x:c>
      <x:c r="C7" s="42" t="n">
        <x:f>SUMIFS('cleaned_orders'!$S$2:$S$913,'cleaned_orders'!$G$2:$G$913,A7,'cleaned_orders'!$AD$2:$AD$913,"Include")</x:f>
        <x:v>391207.1199999999</x:v>
      </x:c>
      <x:c r="D7" s="45" t="n">
        <x:f>COUNTIFS('cleaned_orders'!$G$2:$G$913,A7,'cleaned_orders'!$AD$2:$AD$913,"Include")</x:f>
        <x:v>137</x:v>
      </x:c>
    </x:row>
    <x:row r="8">
      <x:c r="A8" s="14" t="str">
        <x:v>North</x:v>
      </x:c>
      <x:c r="B8" s="42" t="n">
        <x:f>SUMIFS('cleaned_orders'!$Q$2:$Q$913,'cleaned_orders'!$G$2:$G$913,A8,'cleaned_orders'!$AD$2:$AD$913,"Include")</x:f>
        <x:v>1154238.7300000002</x:v>
      </x:c>
      <x:c r="C8" s="42" t="n">
        <x:f>SUMIFS('cleaned_orders'!$S$2:$S$913,'cleaned_orders'!$G$2:$G$913,A8,'cleaned_orders'!$AD$2:$AD$913,"Include")</x:f>
        <x:v>341060.82</x:v>
      </x:c>
      <x:c r="D8" s="45" t="n">
        <x:f>COUNTIFS('cleaned_orders'!$G$2:$G$913,A8,'cleaned_orders'!$AD$2:$AD$913,"Include")</x:f>
        <x:v>118</x:v>
      </x:c>
    </x:row>
    <x:row r="9">
      <x:c r="A9" s="15" t="str">
        <x:v>Unknown</x:v>
      </x:c>
      <x:c r="B9" s="43" t="n">
        <x:f>SUMIFS('cleaned_orders'!$Q$2:$Q$913,'cleaned_orders'!$G$2:$G$913,A9,'cleaned_orders'!$AD$2:$AD$913,"Include")</x:f>
        <x:v>167549.27</x:v>
      </x:c>
      <x:c r="C9" s="43" t="n">
        <x:f>SUMIFS('cleaned_orders'!$S$2:$S$913,'cleaned_orders'!$G$2:$G$913,A9,'cleaned_orders'!$AD$2:$AD$913,"Include")</x:f>
        <x:v>52007.53000000001</x:v>
      </x:c>
      <x:c r="D9" s="46" t="n">
        <x:f>COUNTIFS('cleaned_orders'!$G$2:$G$913,A9,'cleaned_orders'!$AD$2:$AD$913,"Include")</x:f>
        <x:v>18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824ef3fa5c74b3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8" hidden="0" customWidth="1"/>
    <x:col min="5" max="5" width="16" hidden="0" customWidth="1"/>
  </x:cols>
  <x:sheetData>
    <x:row r="1" ht="36" customHeight="1">
      <x:c r="A1" s="33" t="str">
        <x:v>Sales and Profit by Category and Sub-Category</x:v>
      </x:c>
      <x:c r="B1" s="33"/>
      <x:c r="C1" s="33"/>
      <x:c r="D1" s="33"/>
      <x:c r="E1" s="33"/>
      <x:c r="F1" s="33"/>
    </x:row>
    <x:row r="2" ht="30" customHeight="1">
      <x:c r="A2" s="37" t="str">
        <x:v>Filter: completed_sales_eligible = Include | Sorted by Category A-Z and Sales descending within each category.</x:v>
      </x:c>
      <x:c r="B2" s="37"/>
      <x:c r="C2" s="37"/>
      <x:c r="D2" s="37"/>
      <x:c r="E2" s="37"/>
      <x:c r="F2" s="37"/>
    </x:row>
    <x:row r="4" ht="28" customHeight="1">
      <x:c r="A4" s="40" t="str">
        <x:v>Category</x:v>
      </x:c>
      <x:c r="B4" s="40" t="str">
        <x:v>Sub-Category</x:v>
      </x:c>
      <x:c r="C4" s="40" t="str">
        <x:v>Sales</x:v>
      </x:c>
      <x:c r="D4" s="40" t="str">
        <x:v>Profit</x:v>
      </x:c>
      <x:c r="E4" s="40" t="str">
        <x:v>Order Count</x:v>
      </x:c>
    </x:row>
    <x:row r="5">
      <x:c r="A5" s="13" t="str">
        <x:v>Furniture</x:v>
      </x:c>
      <x:c r="B5" s="13" t="str">
        <x:v>Chairs</x:v>
      </x:c>
      <x:c r="C5" s="41" t="n">
        <x:f>SUMIFS('cleaned_orders'!$Q$2:$Q$913,'cleaned_orders'!$J$2:$J$913,A5,'cleaned_orders'!$K$2:$K$913,B5,'cleaned_orders'!$AD$2:$AD$913,"Include")</x:f>
        <x:v>557906.51</x:v>
      </x:c>
      <x:c r="D5" s="41" t="n">
        <x:f>SUMIFS('cleaned_orders'!$S$2:$S$913,'cleaned_orders'!$J$2:$J$913,A5,'cleaned_orders'!$K$2:$K$913,B5,'cleaned_orders'!$AD$2:$AD$913,"Include")</x:f>
        <x:v>161445.85999999996</x:v>
      </x:c>
      <x:c r="E5" s="44" t="n">
        <x:f>COUNTIFS('cleaned_orders'!$J$2:$J$913,A5,'cleaned_orders'!$K$2:$K$913,B5,'cleaned_orders'!$AD$2:$AD$913,"Include")</x:f>
        <x:v>53</x:v>
      </x:c>
    </x:row>
    <x:row r="6">
      <x:c r="A6" s="14" t="str">
        <x:v>Furniture</x:v>
      </x:c>
      <x:c r="B6" s="14" t="str">
        <x:v>Furnishings</x:v>
      </x:c>
      <x:c r="C6" s="42" t="n">
        <x:f>SUMIFS('cleaned_orders'!$Q$2:$Q$913,'cleaned_orders'!$J$2:$J$913,A6,'cleaned_orders'!$K$2:$K$913,B6,'cleaned_orders'!$AD$2:$AD$913,"Include")</x:f>
        <x:v>457831.79000000015</x:v>
      </x:c>
      <x:c r="D6" s="42" t="n">
        <x:f>SUMIFS('cleaned_orders'!$S$2:$S$913,'cleaned_orders'!$J$2:$J$913,A6,'cleaned_orders'!$K$2:$K$913,B6,'cleaned_orders'!$AD$2:$AD$913,"Include")</x:f>
        <x:v>134606.65</x:v>
      </x:c>
      <x:c r="E6" s="45" t="n">
        <x:f>COUNTIFS('cleaned_orders'!$J$2:$J$913,A6,'cleaned_orders'!$K$2:$K$913,B6,'cleaned_orders'!$AD$2:$AD$913,"Include")</x:f>
        <x:v>47</x:v>
      </x:c>
    </x:row>
    <x:row r="7">
      <x:c r="A7" s="14" t="str">
        <x:v>Furniture</x:v>
      </x:c>
      <x:c r="B7" s="14" t="str">
        <x:v>Bookcases</x:v>
      </x:c>
      <x:c r="C7" s="42" t="n">
        <x:f>SUMIFS('cleaned_orders'!$Q$2:$Q$913,'cleaned_orders'!$J$2:$J$913,A7,'cleaned_orders'!$K$2:$K$913,B7,'cleaned_orders'!$AD$2:$AD$913,"Include")</x:f>
        <x:v>391175.48000000004</x:v>
      </x:c>
      <x:c r="D7" s="42" t="n">
        <x:f>SUMIFS('cleaned_orders'!$S$2:$S$913,'cleaned_orders'!$J$2:$J$913,A7,'cleaned_orders'!$K$2:$K$913,B7,'cleaned_orders'!$AD$2:$AD$913,"Include")</x:f>
        <x:v>109108.68000000001</x:v>
      </x:c>
      <x:c r="E7" s="45" t="n">
        <x:f>COUNTIFS('cleaned_orders'!$J$2:$J$913,A7,'cleaned_orders'!$K$2:$K$913,B7,'cleaned_orders'!$AD$2:$AD$913,"Include")</x:f>
        <x:v>40</x:v>
      </x:c>
    </x:row>
    <x:row r="8">
      <x:c r="A8" s="14" t="str">
        <x:v>Furniture</x:v>
      </x:c>
      <x:c r="B8" s="14" t="str">
        <x:v>Tables</x:v>
      </x:c>
      <x:c r="C8" s="42" t="n">
        <x:f>SUMIFS('cleaned_orders'!$Q$2:$Q$913,'cleaned_orders'!$J$2:$J$913,A8,'cleaned_orders'!$K$2:$K$913,B8,'cleaned_orders'!$AD$2:$AD$913,"Include")</x:f>
        <x:v>387019.44999999995</x:v>
      </x:c>
      <x:c r="D8" s="42" t="n">
        <x:f>SUMIFS('cleaned_orders'!$S$2:$S$913,'cleaned_orders'!$J$2:$J$913,A8,'cleaned_orders'!$K$2:$K$913,B8,'cleaned_orders'!$AD$2:$AD$913,"Include")</x:f>
        <x:v>116555.44</x:v>
      </x:c>
      <x:c r="E8" s="45" t="n">
        <x:f>COUNTIFS('cleaned_orders'!$J$2:$J$913,A8,'cleaned_orders'!$K$2:$K$913,B8,'cleaned_orders'!$AD$2:$AD$913,"Include")</x:f>
        <x:v>47</x:v>
      </x:c>
    </x:row>
    <x:row r="9">
      <x:c r="A9" s="14" t="str">
        <x:v>Office Supplies</x:v>
      </x:c>
      <x:c r="B9" s="14" t="str">
        <x:v>Storage</x:v>
      </x:c>
      <x:c r="C9" s="42" t="n">
        <x:f>SUMIFS('cleaned_orders'!$Q$2:$Q$913,'cleaned_orders'!$J$2:$J$913,A9,'cleaned_orders'!$K$2:$K$913,B9,'cleaned_orders'!$AD$2:$AD$913,"Include")</x:f>
        <x:v>501377.08</x:v>
      </x:c>
      <x:c r="D9" s="42" t="n">
        <x:f>SUMIFS('cleaned_orders'!$S$2:$S$913,'cleaned_orders'!$J$2:$J$913,A9,'cleaned_orders'!$K$2:$K$913,B9,'cleaned_orders'!$AD$2:$AD$913,"Include")</x:f>
        <x:v>132553.53999999995</x:v>
      </x:c>
      <x:c r="E9" s="45" t="n">
        <x:f>COUNTIFS('cleaned_orders'!$J$2:$J$913,A9,'cleaned_orders'!$K$2:$K$913,B9,'cleaned_orders'!$AD$2:$AD$913,"Include")</x:f>
        <x:v>51</x:v>
      </x:c>
    </x:row>
    <x:row r="10">
      <x:c r="A10" s="14" t="str">
        <x:v>Office Supplies</x:v>
      </x:c>
      <x:c r="B10" s="14" t="str">
        <x:v>Paper</x:v>
      </x:c>
      <x:c r="C10" s="42" t="n">
        <x:f>SUMIFS('cleaned_orders'!$Q$2:$Q$913,'cleaned_orders'!$J$2:$J$913,A10,'cleaned_orders'!$K$2:$K$913,B10,'cleaned_orders'!$AD$2:$AD$913,"Include")</x:f>
        <x:v>425697.98</x:v>
      </x:c>
      <x:c r="D10" s="42" t="n">
        <x:f>SUMIFS('cleaned_orders'!$S$2:$S$913,'cleaned_orders'!$J$2:$J$913,A10,'cleaned_orders'!$K$2:$K$913,B10,'cleaned_orders'!$AD$2:$AD$913,"Include")</x:f>
        <x:v>115360.04999999997</x:v>
      </x:c>
      <x:c r="E10" s="45" t="n">
        <x:f>COUNTIFS('cleaned_orders'!$J$2:$J$913,A10,'cleaned_orders'!$K$2:$K$913,B10,'cleaned_orders'!$AD$2:$AD$913,"Include")</x:f>
        <x:v>39</x:v>
      </x:c>
    </x:row>
    <x:row r="11">
      <x:c r="A11" s="14" t="str">
        <x:v>Office Supplies</x:v>
      </x:c>
      <x:c r="B11" s="14" t="str">
        <x:v>Binders</x:v>
      </x:c>
      <x:c r="C11" s="42" t="n">
        <x:f>SUMIFS('cleaned_orders'!$Q$2:$Q$913,'cleaned_orders'!$J$2:$J$913,A11,'cleaned_orders'!$K$2:$K$913,B11,'cleaned_orders'!$AD$2:$AD$913,"Include")</x:f>
        <x:v>306023.14999999997</x:v>
      </x:c>
      <x:c r="D11" s="42" t="n">
        <x:f>SUMIFS('cleaned_orders'!$S$2:$S$913,'cleaned_orders'!$J$2:$J$913,A11,'cleaned_orders'!$K$2:$K$913,B11,'cleaned_orders'!$AD$2:$AD$913,"Include")</x:f>
        <x:v>96861.67999999996</x:v>
      </x:c>
      <x:c r="E11" s="45" t="n">
        <x:f>COUNTIFS('cleaned_orders'!$J$2:$J$913,A11,'cleaned_orders'!$K$2:$K$913,B11,'cleaned_orders'!$AD$2:$AD$913,"Include")</x:f>
        <x:v>31</x:v>
      </x:c>
    </x:row>
    <x:row r="12">
      <x:c r="A12" s="14" t="str">
        <x:v>Office Supplies</x:v>
      </x:c>
      <x:c r="B12" s="14" t="str">
        <x:v>Art</x:v>
      </x:c>
      <x:c r="C12" s="42" t="n">
        <x:f>SUMIFS('cleaned_orders'!$Q$2:$Q$913,'cleaned_orders'!$J$2:$J$913,A12,'cleaned_orders'!$K$2:$K$913,B12,'cleaned_orders'!$AD$2:$AD$913,"Include")</x:f>
        <x:v>298919.35000000003</x:v>
      </x:c>
      <x:c r="D12" s="42" t="n">
        <x:f>SUMIFS('cleaned_orders'!$S$2:$S$913,'cleaned_orders'!$J$2:$J$913,A12,'cleaned_orders'!$K$2:$K$913,B12,'cleaned_orders'!$AD$2:$AD$913,"Include")</x:f>
        <x:v>81059.75</x:v>
      </x:c>
      <x:c r="E12" s="45" t="n">
        <x:f>COUNTIFS('cleaned_orders'!$J$2:$J$913,A12,'cleaned_orders'!$K$2:$K$913,B12,'cleaned_orders'!$AD$2:$AD$913,"Include")</x:f>
        <x:v>28</x:v>
      </x:c>
    </x:row>
    <x:row r="13">
      <x:c r="A13" s="14" t="str">
        <x:v>Office Supplies</x:v>
      </x:c>
      <x:c r="B13" s="14" t="str">
        <x:v>Labels</x:v>
      </x:c>
      <x:c r="C13" s="42" t="n">
        <x:f>SUMIFS('cleaned_orders'!$Q$2:$Q$913,'cleaned_orders'!$J$2:$J$913,A13,'cleaned_orders'!$K$2:$K$913,B13,'cleaned_orders'!$AD$2:$AD$913,"Include")</x:f>
        <x:v>193322.18999999997</x:v>
      </x:c>
      <x:c r="D13" s="42" t="n">
        <x:f>SUMIFS('cleaned_orders'!$S$2:$S$913,'cleaned_orders'!$J$2:$J$913,A13,'cleaned_orders'!$K$2:$K$913,B13,'cleaned_orders'!$AD$2:$AD$913,"Include")</x:f>
        <x:v>59251.630000000005</x:v>
      </x:c>
      <x:c r="E13" s="45" t="n">
        <x:f>COUNTIFS('cleaned_orders'!$J$2:$J$913,A13,'cleaned_orders'!$K$2:$K$913,B13,'cleaned_orders'!$AD$2:$AD$913,"Include")</x:f>
        <x:v>29</x:v>
      </x:c>
    </x:row>
    <x:row r="14">
      <x:c r="A14" s="14" t="str">
        <x:v>Technology</x:v>
      </x:c>
      <x:c r="B14" s="14" t="str">
        <x:v>Copiers</x:v>
      </x:c>
      <x:c r="C14" s="42" t="n">
        <x:f>SUMIFS('cleaned_orders'!$Q$2:$Q$913,'cleaned_orders'!$J$2:$J$913,A14,'cleaned_orders'!$K$2:$K$913,B14,'cleaned_orders'!$AD$2:$AD$913,"Include")</x:f>
        <x:v>642193.2400000001</x:v>
      </x:c>
      <x:c r="D14" s="42" t="n">
        <x:f>SUMIFS('cleaned_orders'!$S$2:$S$913,'cleaned_orders'!$J$2:$J$913,A14,'cleaned_orders'!$K$2:$K$913,B14,'cleaned_orders'!$AD$2:$AD$913,"Include")</x:f>
        <x:v>183735.83000000002</x:v>
      </x:c>
      <x:c r="E14" s="45" t="n">
        <x:f>COUNTIFS('cleaned_orders'!$J$2:$J$913,A14,'cleaned_orders'!$K$2:$K$913,B14,'cleaned_orders'!$AD$2:$AD$913,"Include")</x:f>
        <x:v>61</x:v>
      </x:c>
    </x:row>
    <x:row r="15">
      <x:c r="A15" s="14" t="str">
        <x:v>Technology</x:v>
      </x:c>
      <x:c r="B15" s="14" t="str">
        <x:v>Phones</x:v>
      </x:c>
      <x:c r="C15" s="42" t="n">
        <x:f>SUMIFS('cleaned_orders'!$Q$2:$Q$913,'cleaned_orders'!$J$2:$J$913,A15,'cleaned_orders'!$K$2:$K$913,B15,'cleaned_orders'!$AD$2:$AD$913,"Include")</x:f>
        <x:v>498318.7100000001</x:v>
      </x:c>
      <x:c r="D15" s="42" t="n">
        <x:f>SUMIFS('cleaned_orders'!$S$2:$S$913,'cleaned_orders'!$J$2:$J$913,A15,'cleaned_orders'!$K$2:$K$913,B15,'cleaned_orders'!$AD$2:$AD$913,"Include")</x:f>
        <x:v>145738.47999999998</x:v>
      </x:c>
      <x:c r="E15" s="45" t="n">
        <x:f>COUNTIFS('cleaned_orders'!$J$2:$J$913,A15,'cleaned_orders'!$K$2:$K$913,B15,'cleaned_orders'!$AD$2:$AD$913,"Include")</x:f>
        <x:v>48</x:v>
      </x:c>
    </x:row>
    <x:row r="16">
      <x:c r="A16" s="14" t="str">
        <x:v>Technology</x:v>
      </x:c>
      <x:c r="B16" s="14" t="str">
        <x:v>Accessories</x:v>
      </x:c>
      <x:c r="C16" s="42" t="n">
        <x:f>SUMIFS('cleaned_orders'!$Q$2:$Q$913,'cleaned_orders'!$J$2:$J$913,A16,'cleaned_orders'!$K$2:$K$913,B16,'cleaned_orders'!$AD$2:$AD$913,"Include")</x:f>
        <x:v>484102.98</x:v>
      </x:c>
      <x:c r="D16" s="42" t="n">
        <x:f>SUMIFS('cleaned_orders'!$S$2:$S$913,'cleaned_orders'!$J$2:$J$913,A16,'cleaned_orders'!$K$2:$K$913,B16,'cleaned_orders'!$AD$2:$AD$913,"Include")</x:f>
        <x:v>141415.12999999998</x:v>
      </x:c>
      <x:c r="E16" s="45" t="n">
        <x:f>COUNTIFS('cleaned_orders'!$J$2:$J$913,A16,'cleaned_orders'!$K$2:$K$913,B16,'cleaned_orders'!$AD$2:$AD$913,"Include")</x:f>
        <x:v>45</x:v>
      </x:c>
    </x:row>
    <x:row r="17">
      <x:c r="A17" s="15" t="str">
        <x:v>Technology</x:v>
      </x:c>
      <x:c r="B17" s="15" t="str">
        <x:v>Machines</x:v>
      </x:c>
      <x:c r="C17" s="43" t="n">
        <x:f>SUMIFS('cleaned_orders'!$Q$2:$Q$913,'cleaned_orders'!$J$2:$J$913,A17,'cleaned_orders'!$K$2:$K$913,B17,'cleaned_orders'!$AD$2:$AD$913,"Include")</x:f>
        <x:v>375054.67999999993</x:v>
      </x:c>
      <x:c r="D17" s="43" t="n">
        <x:f>SUMIFS('cleaned_orders'!$S$2:$S$913,'cleaned_orders'!$J$2:$J$913,A17,'cleaned_orders'!$K$2:$K$913,B17,'cleaned_orders'!$AD$2:$AD$913,"Include")</x:f>
        <x:v>128504.26000000001</x:v>
      </x:c>
      <x:c r="E17" s="46" t="n">
        <x:f>COUNTIFS('cleaned_orders'!$J$2:$J$913,A17,'cleaned_orders'!$K$2:$K$913,B17,'cleaned_orders'!$AD$2:$AD$913,"Include")</x:f>
        <x:v>43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d041f64301d4fc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</x:cols>
  <x:sheetData>
    <x:row r="1" ht="36" customHeight="1">
      <x:c r="A1" s="33" t="str">
        <x:v>Order Count by Ship Mode</x:v>
      </x:c>
      <x:c r="B1" s="33"/>
      <x:c r="C1" s="33"/>
      <x:c r="D1" s="33"/>
      <x:c r="E1" s="33"/>
      <x:c r="F1" s="33"/>
    </x:row>
    <x:row r="2" ht="30" customHeight="1">
      <x:c r="A2" s="37" t="str">
        <x:v>All cleaned records included | Sorted by Order Count, highest to lowest.</x:v>
      </x:c>
      <x:c r="B2" s="37"/>
      <x:c r="C2" s="37"/>
      <x:c r="D2" s="37"/>
      <x:c r="E2" s="37"/>
      <x:c r="F2" s="37"/>
    </x:row>
    <x:row r="4" ht="28" customHeight="1">
      <x:c r="A4" s="40" t="str">
        <x:v>Ship Mode</x:v>
      </x:c>
      <x:c r="B4" s="40" t="str">
        <x:v>Order Count</x:v>
      </x:c>
    </x:row>
    <x:row r="5">
      <x:c r="A5" s="13" t="str">
        <x:v>Standard Class</x:v>
      </x:c>
      <x:c r="B5" s="44" t="n">
        <x:f>COUNTIF('cleaned_orders'!$M$2:$M$913,A5)</x:f>
        <x:v>242</x:v>
      </x:c>
    </x:row>
    <x:row r="6">
      <x:c r="A6" s="14" t="str">
        <x:v>First Class</x:v>
      </x:c>
      <x:c r="B6" s="45" t="n">
        <x:f>COUNTIF('cleaned_orders'!$M$2:$M$913,A6)</x:f>
        <x:v>223</x:v>
      </x:c>
    </x:row>
    <x:row r="7">
      <x:c r="A7" s="14" t="str">
        <x:v>Second Class</x:v>
      </x:c>
      <x:c r="B7" s="45" t="n">
        <x:f>COUNTIF('cleaned_orders'!$M$2:$M$913,A7)</x:f>
        <x:v>222</x:v>
      </x:c>
    </x:row>
    <x:row r="8">
      <x:c r="A8" s="14" t="str">
        <x:v>Same Day</x:v>
      </x:c>
      <x:c r="B8" s="45" t="n">
        <x:f>COUNTIF('cleaned_orders'!$M$2:$M$913,A8)</x:f>
        <x:v>204</x:v>
      </x:c>
    </x:row>
    <x:row r="9">
      <x:c r="A9" s="15" t="str">
        <x:v>Unknown</x:v>
      </x:c>
      <x:c r="B9" s="46" t="n">
        <x:f>COUNTIF('cleaned_orders'!$M$2:$M$913,A9)</x:f>
        <x:v>21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a6c42f2e07c4469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6" customHeight="1">
      <x:c r="A1" s="33" t="str">
        <x:v>Profit Margin by Customer Segment</x:v>
      </x:c>
      <x:c r="B1" s="33"/>
      <x:c r="C1" s="33"/>
      <x:c r="D1" s="33"/>
      <x:c r="E1" s="33"/>
      <x:c r="F1" s="33"/>
    </x:row>
    <x:row r="2" ht="30" customHeight="1">
      <x:c r="A2" s="37" t="str">
        <x:v>Filter: completed_sales_eligible = Include | Profit Margin = total profit / total sales | Sorted highest to lowest.</x:v>
      </x:c>
      <x:c r="B2" s="37"/>
      <x:c r="C2" s="37"/>
      <x:c r="D2" s="37"/>
      <x:c r="E2" s="37"/>
      <x:c r="F2" s="37"/>
    </x:row>
    <x:row r="4" ht="28" customHeight="1">
      <x:c r="A4" s="40" t="str">
        <x:v>Customer Segment</x:v>
      </x:c>
      <x:c r="B4" s="40" t="str">
        <x:v>Sales</x:v>
      </x:c>
      <x:c r="C4" s="40" t="str">
        <x:v>Profit</x:v>
      </x:c>
      <x:c r="D4" s="40" t="str">
        <x:v>Profit Margin</x:v>
      </x:c>
      <x:c r="E4" s="40" t="str">
        <x:v>Order Count</x:v>
      </x:c>
    </x:row>
    <x:row r="5">
      <x:c r="A5" s="13" t="str">
        <x:v>Home Office</x:v>
      </x:c>
      <x:c r="B5" s="41" t="n">
        <x:f>SUMIFS('cleaned_orders'!$Q$2:$Q$913,'cleaned_orders'!$F$2:$F$913,A5,'cleaned_orders'!$AD$2:$AD$913,"Include")</x:f>
        <x:v>1461100.2899999996</x:v>
      </x:c>
      <x:c r="C5" s="41" t="n">
        <x:f>SUMIFS('cleaned_orders'!$S$2:$S$913,'cleaned_orders'!$F$2:$F$913,A5,'cleaned_orders'!$AD$2:$AD$913,"Include")</x:f>
        <x:v>440614.0100000002</x:v>
      </x:c>
      <x:c r="D5" s="47" t="n">
        <x:f>IF(B5=0,0,C5/B5)</x:f>
        <x:v>0.3015631527935706</x:v>
      </x:c>
      <x:c r="E5" s="44" t="n">
        <x:f>COUNTIFS('cleaned_orders'!$F$2:$F$913,A5,'cleaned_orders'!$AD$2:$AD$913,"Include")</x:f>
        <x:v>153</x:v>
      </x:c>
    </x:row>
    <x:row r="6">
      <x:c r="A6" s="14" t="str">
        <x:v>Consumer</x:v>
      </x:c>
      <x:c r="B6" s="42" t="n">
        <x:f>SUMIFS('cleaned_orders'!$Q$2:$Q$913,'cleaned_orders'!$F$2:$F$913,A6,'cleaned_orders'!$AD$2:$AD$913,"Include")</x:f>
        <x:v>1289320.3900000004</x:v>
      </x:c>
      <x:c r="C6" s="42" t="n">
        <x:f>SUMIFS('cleaned_orders'!$S$2:$S$913,'cleaned_orders'!$F$2:$F$913,A6,'cleaned_orders'!$AD$2:$AD$913,"Include")</x:f>
        <x:v>377626.12999999966</x:v>
      </x:c>
      <x:c r="D6" s="48" t="n">
        <x:f>IF(B6=0,0,C6/B6)</x:f>
        <x:v>0.29288773599555</x:v>
      </x:c>
      <x:c r="E6" s="45" t="n">
        <x:f>COUNTIFS('cleaned_orders'!$F$2:$F$913,A6,'cleaned_orders'!$AD$2:$AD$913,"Include")</x:f>
        <x:v>134</x:v>
      </x:c>
    </x:row>
    <x:row r="7">
      <x:c r="A7" s="14" t="str">
        <x:v>Corporate</x:v>
      </x:c>
      <x:c r="B7" s="42" t="n">
        <x:f>SUMIFS('cleaned_orders'!$Q$2:$Q$913,'cleaned_orders'!$F$2:$F$913,A7,'cleaned_orders'!$AD$2:$AD$913,"Include")</x:f>
        <x:v>1247808.1700000006</x:v>
      </x:c>
      <x:c r="C7" s="42" t="n">
        <x:f>SUMIFS('cleaned_orders'!$S$2:$S$913,'cleaned_orders'!$F$2:$F$913,A7,'cleaned_orders'!$AD$2:$AD$913,"Include")</x:f>
        <x:v>360354.9300000001</x:v>
      </x:c>
      <x:c r="D7" s="48" t="n">
        <x:f>IF(B7=0,0,C7/B7)</x:f>
        <x:v>0.288790327442719</x:v>
      </x:c>
      <x:c r="E7" s="45" t="n">
        <x:f>COUNTIFS('cleaned_orders'!$F$2:$F$913,A7,'cleaned_orders'!$AD$2:$AD$913,"Include")</x:f>
        <x:v>126</x:v>
      </x:c>
    </x:row>
    <x:row r="8">
      <x:c r="A8" s="15" t="str">
        <x:v>Small Business</x:v>
      </x:c>
      <x:c r="B8" s="43" t="n">
        <x:f>SUMIFS('cleaned_orders'!$Q$2:$Q$913,'cleaned_orders'!$F$2:$F$913,A8,'cleaned_orders'!$AD$2:$AD$913,"Include")</x:f>
        <x:v>1520713.740000001</x:v>
      </x:c>
      <x:c r="C8" s="43" t="n">
        <x:f>SUMIFS('cleaned_orders'!$S$2:$S$913,'cleaned_orders'!$F$2:$F$913,A8,'cleaned_orders'!$AD$2:$AD$913,"Include")</x:f>
        <x:v>427601.91000000003</x:v>
      </x:c>
      <x:c r="D8" s="49" t="n">
        <x:f>IF(B8=0,0,C8/B8)</x:f>
        <x:v>0.2811850111908634</x:v>
      </x:c>
      <x:c r="E8" s="46" t="n">
        <x:f>COUNTIFS('cleaned_orders'!$F$2:$F$913,A8,'cleaned_orders'!$AD$2:$AD$913,"Include")</x:f>
        <x:v>149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bc0cbc8e50a430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22" hidden="0" customWidth="1"/>
  </x:cols>
  <x:sheetData>
    <x:row r="1" ht="36" customHeight="1">
      <x:c r="A1" s="33" t="str">
        <x:v>Refunded, Cancelled and Failed Orders by Region</x:v>
      </x:c>
      <x:c r="B1" s="33"/>
      <x:c r="C1" s="33"/>
      <x:c r="D1" s="33"/>
      <x:c r="E1" s="33"/>
      <x:c r="F1" s="33"/>
    </x:row>
    <x:row r="2" ht="30" customHeight="1">
      <x:c r="A2" s="37" t="str">
        <x:v>All cleaned records included | Sorted by Total Status Events descending. One order may appear in more than one status column.</x:v>
      </x:c>
      <x:c r="B2" s="37"/>
      <x:c r="C2" s="37"/>
      <x:c r="D2" s="37"/>
      <x:c r="E2" s="37"/>
      <x:c r="F2" s="37"/>
    </x:row>
    <x:row r="4" ht="28" customHeight="1">
      <x:c r="A4" s="40" t="str">
        <x:v>Region</x:v>
      </x:c>
      <x:c r="B4" s="40" t="str">
        <x:v>Refunded</x:v>
      </x:c>
      <x:c r="C4" s="40" t="str">
        <x:v>Cancelled</x:v>
      </x:c>
      <x:c r="D4" s="40" t="str">
        <x:v>Failed</x:v>
      </x:c>
      <x:c r="E4" s="40" t="str">
        <x:v>Total Status Events</x:v>
      </x:c>
    </x:row>
    <x:row r="5">
      <x:c r="A5" s="13" t="str">
        <x:v>North</x:v>
      </x:c>
      <x:c r="B5" s="44" t="n">
        <x:f>COUNTIFS('cleaned_orders'!$G$2:$G$913,A5,'cleaned_orders'!$T$2:$T$913,"Refunded")</x:f>
        <x:v>20</x:v>
      </x:c>
      <x:c r="C5" s="44" t="n">
        <x:f>COUNTIFS('cleaned_orders'!$G$2:$G$913,A5,'cleaned_orders'!$U$2:$U$913,"Cancelled")</x:f>
        <x:v>48</x:v>
      </x:c>
      <x:c r="D5" s="44" t="n">
        <x:f>COUNTIFS('cleaned_orders'!$G$2:$G$913,A5,'cleaned_orders'!$T$2:$T$913,"Failed")</x:f>
        <x:v>20</x:v>
      </x:c>
      <x:c r="E5" s="44" t="n">
        <x:f>SUM(B5:D5)</x:f>
        <x:v>88</x:v>
      </x:c>
    </x:row>
    <x:row r="6">
      <x:c r="A6" s="14" t="str">
        <x:v>South</x:v>
      </x:c>
      <x:c r="B6" s="45" t="n">
        <x:f>COUNTIFS('cleaned_orders'!$G$2:$G$913,A6,'cleaned_orders'!$T$2:$T$913,"Refunded")</x:f>
        <x:v>20</x:v>
      </x:c>
      <x:c r="C6" s="45" t="n">
        <x:f>COUNTIFS('cleaned_orders'!$G$2:$G$913,A6,'cleaned_orders'!$U$2:$U$913,"Cancelled")</x:f>
        <x:v>35</x:v>
      </x:c>
      <x:c r="D6" s="45" t="n">
        <x:f>COUNTIFS('cleaned_orders'!$G$2:$G$913,A6,'cleaned_orders'!$T$2:$T$913,"Failed")</x:f>
        <x:v>20</x:v>
      </x:c>
      <x:c r="E6" s="45" t="n">
        <x:f>SUM(B6:D6)</x:f>
        <x:v>75</x:v>
      </x:c>
    </x:row>
    <x:row r="7">
      <x:c r="A7" s="14" t="str">
        <x:v>West</x:v>
      </x:c>
      <x:c r="B7" s="45" t="n">
        <x:f>COUNTIFS('cleaned_orders'!$G$2:$G$913,A7,'cleaned_orders'!$T$2:$T$913,"Refunded")</x:f>
        <x:v>14</x:v>
      </x:c>
      <x:c r="C7" s="45" t="n">
        <x:f>COUNTIFS('cleaned_orders'!$G$2:$G$913,A7,'cleaned_orders'!$U$2:$U$913,"Cancelled")</x:f>
        <x:v>30</x:v>
      </x:c>
      <x:c r="D7" s="45" t="n">
        <x:f>COUNTIFS('cleaned_orders'!$G$2:$G$913,A7,'cleaned_orders'!$T$2:$T$913,"Failed")</x:f>
        <x:v>14</x:v>
      </x:c>
      <x:c r="E7" s="45" t="n">
        <x:f>SUM(B7:D7)</x:f>
        <x:v>58</x:v>
      </x:c>
    </x:row>
    <x:row r="8">
      <x:c r="A8" s="14" t="str">
        <x:v>East</x:v>
      </x:c>
      <x:c r="B8" s="45" t="n">
        <x:f>COUNTIFS('cleaned_orders'!$G$2:$G$913,A8,'cleaned_orders'!$T$2:$T$913,"Refunded")</x:f>
        <x:v>14</x:v>
      </x:c>
      <x:c r="C8" s="45" t="n">
        <x:f>COUNTIFS('cleaned_orders'!$G$2:$G$913,A8,'cleaned_orders'!$U$2:$U$913,"Cancelled")</x:f>
        <x:v>30</x:v>
      </x:c>
      <x:c r="D8" s="45" t="n">
        <x:f>COUNTIFS('cleaned_orders'!$G$2:$G$913,A8,'cleaned_orders'!$T$2:$T$913,"Failed")</x:f>
        <x:v>13</x:v>
      </x:c>
      <x:c r="E8" s="45" t="n">
        <x:f>SUM(B8:D8)</x:f>
        <x:v>57</x:v>
      </x:c>
    </x:row>
    <x:row r="9">
      <x:c r="A9" s="15" t="str">
        <x:v>Unknown</x:v>
      </x:c>
      <x:c r="B9" s="46" t="n">
        <x:f>COUNTIFS('cleaned_orders'!$G$2:$G$913,A9,'cleaned_orders'!$T$2:$T$913,"Refunded")</x:f>
        <x:v>3</x:v>
      </x:c>
      <x:c r="C9" s="46" t="n">
        <x:f>COUNTIFS('cleaned_orders'!$G$2:$G$913,A9,'cleaned_orders'!$U$2:$U$913,"Cancelled")</x:f>
        <x:v>2</x:v>
      </x:c>
      <x:c r="D9" s="46" t="n">
        <x:f>COUNTIFS('cleaned_orders'!$G$2:$G$913,A9,'cleaned_orders'!$T$2:$T$913,"Failed")</x:f>
        <x:v>2</x:v>
      </x:c>
      <x:c r="E9" s="46" t="n">
        <x:f>SUM(B9:D9)</x:f>
        <x:v>7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7dc2ff9f71a45a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16" hidden="0" customWidth="1"/>
  </x:cols>
  <x:sheetData>
    <x:row r="1" ht="36" customHeight="1">
      <x:c r="A1" s="33" t="str">
        <x:v>Monthly Sales Trend</x:v>
      </x:c>
      <x:c r="B1" s="33"/>
      <x:c r="C1" s="33"/>
      <x:c r="D1" s="33"/>
      <x:c r="E1" s="33"/>
      <x:c r="F1" s="33"/>
    </x:row>
    <x:row r="2" ht="30" customHeight="1">
      <x:c r="A2" s="37" t="str">
        <x:v>Filter: completed_sales_eligible = Include | Sorted chronologically from earliest to latest month.</x:v>
      </x:c>
      <x:c r="B2" s="37"/>
      <x:c r="C2" s="37"/>
      <x:c r="D2" s="37"/>
      <x:c r="E2" s="37"/>
      <x:c r="F2" s="37"/>
    </x:row>
    <x:row r="4" ht="28" customHeight="1">
      <x:c r="A4" s="40" t="str">
        <x:v>Month</x:v>
      </x:c>
      <x:c r="B4" s="40" t="str">
        <x:v>Sales</x:v>
      </x:c>
      <x:c r="C4" s="40" t="str">
        <x:v>Profit</x:v>
      </x:c>
      <x:c r="D4" s="40" t="str">
        <x:v>Order Count</x:v>
      </x:c>
    </x:row>
    <x:row r="5">
      <x:c r="A5" s="50" t="n">
        <x:v>45292</x:v>
      </x:c>
      <x:c r="B5" s="41" t="n">
        <x:f>SUMIFS('cleaned_orders'!$Q$2:$Q$913,'cleaned_orders'!$AB$2:$AB$913,YEAR(A5),'cleaned_orders'!$AA$2:$AA$913,TEXT(A5,"mmm"),'cleaned_orders'!$AD$2:$AD$913,"Include")</x:f>
        <x:v>189373.44999999998</x:v>
      </x:c>
      <x:c r="C5" s="41" t="n">
        <x:f>SUMIFS('cleaned_orders'!$S$2:$S$913,'cleaned_orders'!$AB$2:$AB$913,YEAR(A5),'cleaned_orders'!$AA$2:$AA$913,TEXT(A5,"mmm"),'cleaned_orders'!$AD$2:$AD$913,"Include")</x:f>
        <x:v>64838.16</x:v>
      </x:c>
      <x:c r="D5" s="44" t="n">
        <x:f>COUNTIFS('cleaned_orders'!$AB$2:$AB$913,YEAR(A5),'cleaned_orders'!$AA$2:$AA$913,TEXT(A5,"mmm"),'cleaned_orders'!$AD$2:$AD$913,"Include")</x:f>
        <x:v>25</x:v>
      </x:c>
    </x:row>
    <x:row r="6">
      <x:c r="A6" s="51" t="n">
        <x:v>45323</x:v>
      </x:c>
      <x:c r="B6" s="42" t="n">
        <x:f>SUMIFS('cleaned_orders'!$Q$2:$Q$913,'cleaned_orders'!$AB$2:$AB$913,YEAR(A6),'cleaned_orders'!$AA$2:$AA$913,TEXT(A6,"mmm"),'cleaned_orders'!$AD$2:$AD$913,"Include")</x:f>
        <x:v>175928.93999999997</x:v>
      </x:c>
      <x:c r="C6" s="42" t="n">
        <x:f>SUMIFS('cleaned_orders'!$S$2:$S$913,'cleaned_orders'!$AB$2:$AB$913,YEAR(A6),'cleaned_orders'!$AA$2:$AA$913,TEXT(A6,"mmm"),'cleaned_orders'!$AD$2:$AD$913,"Include")</x:f>
        <x:v>56356.43</x:v>
      </x:c>
      <x:c r="D6" s="45" t="n">
        <x:f>COUNTIFS('cleaned_orders'!$AB$2:$AB$913,YEAR(A6),'cleaned_orders'!$AA$2:$AA$913,TEXT(A6,"mmm"),'cleaned_orders'!$AD$2:$AD$913,"Include")</x:f>
        <x:v>22</x:v>
      </x:c>
    </x:row>
    <x:row r="7">
      <x:c r="A7" s="51" t="n">
        <x:v>45352</x:v>
      </x:c>
      <x:c r="B7" s="42" t="n">
        <x:f>SUMIFS('cleaned_orders'!$Q$2:$Q$913,'cleaned_orders'!$AB$2:$AB$913,YEAR(A7),'cleaned_orders'!$AA$2:$AA$913,TEXT(A7,"mmm"),'cleaned_orders'!$AD$2:$AD$913,"Include")</x:f>
        <x:v>236334.92</x:v>
      </x:c>
      <x:c r="C7" s="42" t="n">
        <x:f>SUMIFS('cleaned_orders'!$S$2:$S$913,'cleaned_orders'!$AB$2:$AB$913,YEAR(A7),'cleaned_orders'!$AA$2:$AA$913,TEXT(A7,"mmm"),'cleaned_orders'!$AD$2:$AD$913,"Include")</x:f>
        <x:v>73098.35999999999</x:v>
      </x:c>
      <x:c r="D7" s="45" t="n">
        <x:f>COUNTIFS('cleaned_orders'!$AB$2:$AB$913,YEAR(A7),'cleaned_orders'!$AA$2:$AA$913,TEXT(A7,"mmm"),'cleaned_orders'!$AD$2:$AD$913,"Include")</x:f>
        <x:v>25</x:v>
      </x:c>
    </x:row>
    <x:row r="8">
      <x:c r="A8" s="51" t="n">
        <x:v>45383</x:v>
      </x:c>
      <x:c r="B8" s="42" t="n">
        <x:f>SUMIFS('cleaned_orders'!$Q$2:$Q$913,'cleaned_orders'!$AB$2:$AB$913,YEAR(A8),'cleaned_orders'!$AA$2:$AA$913,TEXT(A8,"mmm"),'cleaned_orders'!$AD$2:$AD$913,"Include")</x:f>
        <x:v>241541.50000000003</x:v>
      </x:c>
      <x:c r="C8" s="42" t="n">
        <x:f>SUMIFS('cleaned_orders'!$S$2:$S$913,'cleaned_orders'!$AB$2:$AB$913,YEAR(A8),'cleaned_orders'!$AA$2:$AA$913,TEXT(A8,"mmm"),'cleaned_orders'!$AD$2:$AD$913,"Include")</x:f>
        <x:v>67927.84</x:v>
      </x:c>
      <x:c r="D8" s="45" t="n">
        <x:f>COUNTIFS('cleaned_orders'!$AB$2:$AB$913,YEAR(A8),'cleaned_orders'!$AA$2:$AA$913,TEXT(A8,"mmm"),'cleaned_orders'!$AD$2:$AD$913,"Include")</x:f>
        <x:v>21</x:v>
      </x:c>
    </x:row>
    <x:row r="9">
      <x:c r="A9" s="51" t="n">
        <x:v>45413</x:v>
      </x:c>
      <x:c r="B9" s="42" t="n">
        <x:f>SUMIFS('cleaned_orders'!$Q$2:$Q$913,'cleaned_orders'!$AB$2:$AB$913,YEAR(A9),'cleaned_orders'!$AA$2:$AA$913,TEXT(A9,"mmm"),'cleaned_orders'!$AD$2:$AD$913,"Include")</x:f>
        <x:v>304122.37999999995</x:v>
      </x:c>
      <x:c r="C9" s="42" t="n">
        <x:f>SUMIFS('cleaned_orders'!$S$2:$S$913,'cleaned_orders'!$AB$2:$AB$913,YEAR(A9),'cleaned_orders'!$AA$2:$AA$913,TEXT(A9,"mmm"),'cleaned_orders'!$AD$2:$AD$913,"Include")</x:f>
        <x:v>78339.88</x:v>
      </x:c>
      <x:c r="D9" s="45" t="n">
        <x:f>COUNTIFS('cleaned_orders'!$AB$2:$AB$913,YEAR(A9),'cleaned_orders'!$AA$2:$AA$913,TEXT(A9,"mmm"),'cleaned_orders'!$AD$2:$AD$913,"Include")</x:f>
        <x:v>30</x:v>
      </x:c>
    </x:row>
    <x:row r="10">
      <x:c r="A10" s="51" t="n">
        <x:v>45444</x:v>
      </x:c>
      <x:c r="B10" s="42" t="n">
        <x:f>SUMIFS('cleaned_orders'!$Q$2:$Q$913,'cleaned_orders'!$AB$2:$AB$913,YEAR(A10),'cleaned_orders'!$AA$2:$AA$913,TEXT(A10,"mmm"),'cleaned_orders'!$AD$2:$AD$913,"Include")</x:f>
        <x:v>390343.8600000001</x:v>
      </x:c>
      <x:c r="C10" s="42" t="n">
        <x:f>SUMIFS('cleaned_orders'!$S$2:$S$913,'cleaned_orders'!$AB$2:$AB$913,YEAR(A10),'cleaned_orders'!$AA$2:$AA$913,TEXT(A10,"mmm"),'cleaned_orders'!$AD$2:$AD$913,"Include")</x:f>
        <x:v>114054.61000000002</x:v>
      </x:c>
      <x:c r="D10" s="45" t="n">
        <x:f>COUNTIFS('cleaned_orders'!$AB$2:$AB$913,YEAR(A10),'cleaned_orders'!$AA$2:$AA$913,TEXT(A10,"mmm"),'cleaned_orders'!$AD$2:$AD$913,"Include")</x:f>
        <x:v>31</x:v>
      </x:c>
    </x:row>
    <x:row r="11">
      <x:c r="A11" s="51" t="n">
        <x:v>45474</x:v>
      </x:c>
      <x:c r="B11" s="42" t="n">
        <x:f>SUMIFS('cleaned_orders'!$Q$2:$Q$913,'cleaned_orders'!$AB$2:$AB$913,YEAR(A11),'cleaned_orders'!$AA$2:$AA$913,TEXT(A11,"mmm"),'cleaned_orders'!$AD$2:$AD$913,"Include")</x:f>
        <x:v>217739.52999999997</x:v>
      </x:c>
      <x:c r="C11" s="42" t="n">
        <x:f>SUMIFS('cleaned_orders'!$S$2:$S$913,'cleaned_orders'!$AB$2:$AB$913,YEAR(A11),'cleaned_orders'!$AA$2:$AA$913,TEXT(A11,"mmm"),'cleaned_orders'!$AD$2:$AD$913,"Include")</x:f>
        <x:v>55643.93</x:v>
      </x:c>
      <x:c r="D11" s="45" t="n">
        <x:f>COUNTIFS('cleaned_orders'!$AB$2:$AB$913,YEAR(A11),'cleaned_orders'!$AA$2:$AA$913,TEXT(A11,"mmm"),'cleaned_orders'!$AD$2:$AD$913,"Include")</x:f>
        <x:v>25</x:v>
      </x:c>
    </x:row>
    <x:row r="12">
      <x:c r="A12" s="51" t="n">
        <x:v>45505</x:v>
      </x:c>
      <x:c r="B12" s="42" t="n">
        <x:f>SUMIFS('cleaned_orders'!$Q$2:$Q$913,'cleaned_orders'!$AB$2:$AB$913,YEAR(A12),'cleaned_orders'!$AA$2:$AA$913,TEXT(A12,"mmm"),'cleaned_orders'!$AD$2:$AD$913,"Include")</x:f>
        <x:v>237918.23000000004</x:v>
      </x:c>
      <x:c r="C12" s="42" t="n">
        <x:f>SUMIFS('cleaned_orders'!$S$2:$S$913,'cleaned_orders'!$AB$2:$AB$913,YEAR(A12),'cleaned_orders'!$AA$2:$AA$913,TEXT(A12,"mmm"),'cleaned_orders'!$AD$2:$AD$913,"Include")</x:f>
        <x:v>73443.13999999998</x:v>
      </x:c>
      <x:c r="D12" s="45" t="n">
        <x:f>COUNTIFS('cleaned_orders'!$AB$2:$AB$913,YEAR(A12),'cleaned_orders'!$AA$2:$AA$913,TEXT(A12,"mmm"),'cleaned_orders'!$AD$2:$AD$913,"Include")</x:f>
        <x:v>29</x:v>
      </x:c>
    </x:row>
    <x:row r="13">
      <x:c r="A13" s="51" t="n">
        <x:v>45536</x:v>
      </x:c>
      <x:c r="B13" s="42" t="n">
        <x:f>SUMIFS('cleaned_orders'!$Q$2:$Q$913,'cleaned_orders'!$AB$2:$AB$913,YEAR(A13),'cleaned_orders'!$AA$2:$AA$913,TEXT(A13,"mmm"),'cleaned_orders'!$AD$2:$AD$913,"Include")</x:f>
        <x:v>210385.95</x:v>
      </x:c>
      <x:c r="C13" s="42" t="n">
        <x:f>SUMIFS('cleaned_orders'!$S$2:$S$913,'cleaned_orders'!$AB$2:$AB$913,YEAR(A13),'cleaned_orders'!$AA$2:$AA$913,TEXT(A13,"mmm"),'cleaned_orders'!$AD$2:$AD$913,"Include")</x:f>
        <x:v>51283.45999999999</x:v>
      </x:c>
      <x:c r="D13" s="45" t="n">
        <x:f>COUNTIFS('cleaned_orders'!$AB$2:$AB$913,YEAR(A13),'cleaned_orders'!$AA$2:$AA$913,TEXT(A13,"mmm"),'cleaned_orders'!$AD$2:$AD$913,"Include")</x:f>
        <x:v>22</x:v>
      </x:c>
    </x:row>
    <x:row r="14">
      <x:c r="A14" s="51" t="n">
        <x:v>45566</x:v>
      </x:c>
      <x:c r="B14" s="42" t="n">
        <x:f>SUMIFS('cleaned_orders'!$Q$2:$Q$913,'cleaned_orders'!$AB$2:$AB$913,YEAR(A14),'cleaned_orders'!$AA$2:$AA$913,TEXT(A14,"mmm"),'cleaned_orders'!$AD$2:$AD$913,"Include")</x:f>
        <x:v>325678.61999999994</x:v>
      </x:c>
      <x:c r="C14" s="42" t="n">
        <x:f>SUMIFS('cleaned_orders'!$S$2:$S$913,'cleaned_orders'!$AB$2:$AB$913,YEAR(A14),'cleaned_orders'!$AA$2:$AA$913,TEXT(A14,"mmm"),'cleaned_orders'!$AD$2:$AD$913,"Include")</x:f>
        <x:v>94194.45999999999</x:v>
      </x:c>
      <x:c r="D14" s="45" t="n">
        <x:f>COUNTIFS('cleaned_orders'!$AB$2:$AB$913,YEAR(A14),'cleaned_orders'!$AA$2:$AA$913,TEXT(A14,"mmm"),'cleaned_orders'!$AD$2:$AD$913,"Include")</x:f>
        <x:v>29</x:v>
      </x:c>
    </x:row>
    <x:row r="15">
      <x:c r="A15" s="51" t="n">
        <x:v>45597</x:v>
      </x:c>
      <x:c r="B15" s="42" t="n">
        <x:f>SUMIFS('cleaned_orders'!$Q$2:$Q$913,'cleaned_orders'!$AB$2:$AB$913,YEAR(A15),'cleaned_orders'!$AA$2:$AA$913,TEXT(A15,"mmm"),'cleaned_orders'!$AD$2:$AD$913,"Include")</x:f>
        <x:v>237732.50000000003</x:v>
      </x:c>
      <x:c r="C15" s="42" t="n">
        <x:f>SUMIFS('cleaned_orders'!$S$2:$S$913,'cleaned_orders'!$AB$2:$AB$913,YEAR(A15),'cleaned_orders'!$AA$2:$AA$913,TEXT(A15,"mmm"),'cleaned_orders'!$AD$2:$AD$913,"Include")</x:f>
        <x:v>81480.7</x:v>
      </x:c>
      <x:c r="D15" s="45" t="n">
        <x:f>COUNTIFS('cleaned_orders'!$AB$2:$AB$913,YEAR(A15),'cleaned_orders'!$AA$2:$AA$913,TEXT(A15,"mmm"),'cleaned_orders'!$AD$2:$AD$913,"Include")</x:f>
        <x:v>22</x:v>
      </x:c>
    </x:row>
    <x:row r="16">
      <x:c r="A16" s="51" t="n">
        <x:v>45627</x:v>
      </x:c>
      <x:c r="B16" s="42" t="n">
        <x:f>SUMIFS('cleaned_orders'!$Q$2:$Q$913,'cleaned_orders'!$AB$2:$AB$913,YEAR(A16),'cleaned_orders'!$AA$2:$AA$913,TEXT(A16,"mmm"),'cleaned_orders'!$AD$2:$AD$913,"Include")</x:f>
        <x:v>190414.51</x:v>
      </x:c>
      <x:c r="C16" s="42" t="n">
        <x:f>SUMIFS('cleaned_orders'!$S$2:$S$913,'cleaned_orders'!$AB$2:$AB$913,YEAR(A16),'cleaned_orders'!$AA$2:$AA$913,TEXT(A16,"mmm"),'cleaned_orders'!$AD$2:$AD$913,"Include")</x:f>
        <x:v>52061.91000000002</x:v>
      </x:c>
      <x:c r="D16" s="45" t="n">
        <x:f>COUNTIFS('cleaned_orders'!$AB$2:$AB$913,YEAR(A16),'cleaned_orders'!$AA$2:$AA$913,TEXT(A16,"mmm"),'cleaned_orders'!$AD$2:$AD$913,"Include")</x:f>
        <x:v>23</x:v>
      </x:c>
    </x:row>
    <x:row r="17">
      <x:c r="A17" s="51" t="n">
        <x:v>45658</x:v>
      </x:c>
      <x:c r="B17" s="42" t="n">
        <x:f>SUMIFS('cleaned_orders'!$Q$2:$Q$913,'cleaned_orders'!$AB$2:$AB$913,YEAR(A17),'cleaned_orders'!$AA$2:$AA$913,TEXT(A17,"mmm"),'cleaned_orders'!$AD$2:$AD$913,"Include")</x:f>
        <x:v>255235.79999999996</x:v>
      </x:c>
      <x:c r="C17" s="42" t="n">
        <x:f>SUMIFS('cleaned_orders'!$S$2:$S$913,'cleaned_orders'!$AB$2:$AB$913,YEAR(A17),'cleaned_orders'!$AA$2:$AA$913,TEXT(A17,"mmm"),'cleaned_orders'!$AD$2:$AD$913,"Include")</x:f>
        <x:v>71232.65</x:v>
      </x:c>
      <x:c r="D17" s="45" t="n">
        <x:f>COUNTIFS('cleaned_orders'!$AB$2:$AB$913,YEAR(A17),'cleaned_orders'!$AA$2:$AA$913,TEXT(A17,"mmm"),'cleaned_orders'!$AD$2:$AD$913,"Include")</x:f>
        <x:v>23</x:v>
      </x:c>
    </x:row>
    <x:row r="18">
      <x:c r="A18" s="51" t="n">
        <x:v>45689</x:v>
      </x:c>
      <x:c r="B18" s="42" t="n">
        <x:f>SUMIFS('cleaned_orders'!$Q$2:$Q$913,'cleaned_orders'!$AB$2:$AB$913,YEAR(A18),'cleaned_orders'!$AA$2:$AA$913,TEXT(A18,"mmm"),'cleaned_orders'!$AD$2:$AD$913,"Include")</x:f>
        <x:v>394607.07000000007</x:v>
      </x:c>
      <x:c r="C18" s="42" t="n">
        <x:f>SUMIFS('cleaned_orders'!$S$2:$S$913,'cleaned_orders'!$AB$2:$AB$913,YEAR(A18),'cleaned_orders'!$AA$2:$AA$913,TEXT(A18,"mmm"),'cleaned_orders'!$AD$2:$AD$913,"Include")</x:f>
        <x:v>116654.78000000003</x:v>
      </x:c>
      <x:c r="D18" s="45" t="n">
        <x:f>COUNTIFS('cleaned_orders'!$AB$2:$AB$913,YEAR(A18),'cleaned_orders'!$AA$2:$AA$913,TEXT(A18,"mmm"),'cleaned_orders'!$AD$2:$AD$913,"Include")</x:f>
        <x:v>39</x:v>
      </x:c>
    </x:row>
    <x:row r="19">
      <x:c r="A19" s="51" t="n">
        <x:v>45717</x:v>
      </x:c>
      <x:c r="B19" s="42" t="n">
        <x:f>SUMIFS('cleaned_orders'!$Q$2:$Q$913,'cleaned_orders'!$AB$2:$AB$913,YEAR(A19),'cleaned_orders'!$AA$2:$AA$913,TEXT(A19,"mmm"),'cleaned_orders'!$AD$2:$AD$913,"Include")</x:f>
        <x:v>322614.27999999997</x:v>
      </x:c>
      <x:c r="C19" s="42" t="n">
        <x:f>SUMIFS('cleaned_orders'!$S$2:$S$913,'cleaned_orders'!$AB$2:$AB$913,YEAR(A19),'cleaned_orders'!$AA$2:$AA$913,TEXT(A19,"mmm"),'cleaned_orders'!$AD$2:$AD$913,"Include")</x:f>
        <x:v>92144.22</x:v>
      </x:c>
      <x:c r="D19" s="45" t="n">
        <x:f>COUNTIFS('cleaned_orders'!$AB$2:$AB$913,YEAR(A19),'cleaned_orders'!$AA$2:$AA$913,TEXT(A19,"mmm"),'cleaned_orders'!$AD$2:$AD$913,"Include")</x:f>
        <x:v>27</x:v>
      </x:c>
    </x:row>
    <x:row r="20">
      <x:c r="A20" s="51" t="n">
        <x:v>45748</x:v>
      </x:c>
      <x:c r="B20" s="42" t="n">
        <x:f>SUMIFS('cleaned_orders'!$Q$2:$Q$913,'cleaned_orders'!$AB$2:$AB$913,YEAR(A20),'cleaned_orders'!$AA$2:$AA$913,TEXT(A20,"mmm"),'cleaned_orders'!$AD$2:$AD$913,"Include")</x:f>
        <x:v>278580.7899999999</x:v>
      </x:c>
      <x:c r="C20" s="42" t="n">
        <x:f>SUMIFS('cleaned_orders'!$S$2:$S$913,'cleaned_orders'!$AB$2:$AB$913,YEAR(A20),'cleaned_orders'!$AA$2:$AA$913,TEXT(A20,"mmm"),'cleaned_orders'!$AD$2:$AD$913,"Include")</x:f>
        <x:v>76711.41999999997</x:v>
      </x:c>
      <x:c r="D20" s="45" t="n">
        <x:f>COUNTIFS('cleaned_orders'!$AB$2:$AB$913,YEAR(A20),'cleaned_orders'!$AA$2:$AA$913,TEXT(A20,"mmm"),'cleaned_orders'!$AD$2:$AD$913,"Include")</x:f>
        <x:v>33</x:v>
      </x:c>
    </x:row>
    <x:row r="21">
      <x:c r="A21" s="51" t="n">
        <x:v>45778</x:v>
      </x:c>
      <x:c r="B21" s="42" t="n">
        <x:f>SUMIFS('cleaned_orders'!$Q$2:$Q$913,'cleaned_orders'!$AB$2:$AB$913,YEAR(A21),'cleaned_orders'!$AA$2:$AA$913,TEXT(A21,"mmm"),'cleaned_orders'!$AD$2:$AD$913,"Include")</x:f>
        <x:v>240031.77</x:v>
      </x:c>
      <x:c r="C21" s="42" t="n">
        <x:f>SUMIFS('cleaned_orders'!$S$2:$S$913,'cleaned_orders'!$AB$2:$AB$913,YEAR(A21),'cleaned_orders'!$AA$2:$AA$913,TEXT(A21,"mmm"),'cleaned_orders'!$AD$2:$AD$913,"Include")</x:f>
        <x:v>71616.29</x:v>
      </x:c>
      <x:c r="D21" s="45" t="n">
        <x:f>COUNTIFS('cleaned_orders'!$AB$2:$AB$913,YEAR(A21),'cleaned_orders'!$AA$2:$AA$913,TEXT(A21,"mmm"),'cleaned_orders'!$AD$2:$AD$913,"Include")</x:f>
        <x:v>23</x:v>
      </x:c>
    </x:row>
    <x:row r="22">
      <x:c r="A22" s="51" t="n">
        <x:v>45809</x:v>
      </x:c>
      <x:c r="B22" s="42" t="n">
        <x:f>SUMIFS('cleaned_orders'!$Q$2:$Q$913,'cleaned_orders'!$AB$2:$AB$913,YEAR(A22),'cleaned_orders'!$AA$2:$AA$913,TEXT(A22,"mmm"),'cleaned_orders'!$AD$2:$AD$913,"Include")</x:f>
        <x:v>181674.02999999997</x:v>
      </x:c>
      <x:c r="C22" s="42" t="n">
        <x:f>SUMIFS('cleaned_orders'!$S$2:$S$913,'cleaned_orders'!$AB$2:$AB$913,YEAR(A22),'cleaned_orders'!$AA$2:$AA$913,TEXT(A22,"mmm"),'cleaned_orders'!$AD$2:$AD$913,"Include")</x:f>
        <x:v>49639.99</x:v>
      </x:c>
      <x:c r="D22" s="45" t="n">
        <x:f>COUNTIFS('cleaned_orders'!$AB$2:$AB$913,YEAR(A22),'cleaned_orders'!$AA$2:$AA$913,TEXT(A22,"mmm"),'cleaned_orders'!$AD$2:$AD$913,"Include")</x:f>
        <x:v>23</x:v>
      </x:c>
    </x:row>
    <x:row r="23">
      <x:c r="A23" s="51" t="n">
        <x:v>45839</x:v>
      </x:c>
      <x:c r="B23" s="42" t="n">
        <x:f>SUMIFS('cleaned_orders'!$Q$2:$Q$913,'cleaned_orders'!$AB$2:$AB$913,YEAR(A23),'cleaned_orders'!$AA$2:$AA$913,TEXT(A23,"mmm"),'cleaned_orders'!$AD$2:$AD$913,"Include")</x:f>
        <x:v>207276.69</x:v>
      </x:c>
      <x:c r="C23" s="42" t="n">
        <x:f>SUMIFS('cleaned_orders'!$S$2:$S$913,'cleaned_orders'!$AB$2:$AB$913,YEAR(A23),'cleaned_orders'!$AA$2:$AA$913,TEXT(A23,"mmm"),'cleaned_orders'!$AD$2:$AD$913,"Include")</x:f>
        <x:v>56373.46000000001</x:v>
      </x:c>
      <x:c r="D23" s="45" t="n">
        <x:f>COUNTIFS('cleaned_orders'!$AB$2:$AB$913,YEAR(A23),'cleaned_orders'!$AA$2:$AA$913,TEXT(A23,"mmm"),'cleaned_orders'!$AD$2:$AD$913,"Include")</x:f>
        <x:v>21</x:v>
      </x:c>
    </x:row>
    <x:row r="24">
      <x:c r="A24" s="51" t="n">
        <x:v>45870</x:v>
      </x:c>
      <x:c r="B24" s="42" t="n">
        <x:f>SUMIFS('cleaned_orders'!$Q$2:$Q$913,'cleaned_orders'!$AB$2:$AB$913,YEAR(A24),'cleaned_orders'!$AA$2:$AA$913,TEXT(A24,"mmm"),'cleaned_orders'!$AD$2:$AD$913,"Include")</x:f>
        <x:v>247417.42</x:v>
      </x:c>
      <x:c r="C24" s="42" t="n">
        <x:f>SUMIFS('cleaned_orders'!$S$2:$S$913,'cleaned_orders'!$AB$2:$AB$913,YEAR(A24),'cleaned_orders'!$AA$2:$AA$913,TEXT(A24,"mmm"),'cleaned_orders'!$AD$2:$AD$913,"Include")</x:f>
        <x:v>78301</x:v>
      </x:c>
      <x:c r="D24" s="45" t="n">
        <x:f>COUNTIFS('cleaned_orders'!$AB$2:$AB$913,YEAR(A24),'cleaned_orders'!$AA$2:$AA$913,TEXT(A24,"mmm"),'cleaned_orders'!$AD$2:$AD$913,"Include")</x:f>
        <x:v>31</x:v>
      </x:c>
    </x:row>
    <x:row r="25">
      <x:c r="A25" s="51" t="n">
        <x:v>45901</x:v>
      </x:c>
      <x:c r="B25" s="42" t="n">
        <x:f>SUMIFS('cleaned_orders'!$Q$2:$Q$913,'cleaned_orders'!$AB$2:$AB$913,YEAR(A25),'cleaned_orders'!$AA$2:$AA$913,TEXT(A25,"mmm"),'cleaned_orders'!$AD$2:$AD$913,"Include")</x:f>
        <x:v>312555.54</x:v>
      </x:c>
      <x:c r="C25" s="42" t="n">
        <x:f>SUMIFS('cleaned_orders'!$S$2:$S$913,'cleaned_orders'!$AB$2:$AB$913,YEAR(A25),'cleaned_orders'!$AA$2:$AA$913,TEXT(A25,"mmm"),'cleaned_orders'!$AD$2:$AD$913,"Include")</x:f>
        <x:v>93838.01</x:v>
      </x:c>
      <x:c r="D25" s="45" t="n">
        <x:f>COUNTIFS('cleaned_orders'!$AB$2:$AB$913,YEAR(A25),'cleaned_orders'!$AA$2:$AA$913,TEXT(A25,"mmm"),'cleaned_orders'!$AD$2:$AD$913,"Include")</x:f>
        <x:v>28</x:v>
      </x:c>
    </x:row>
    <x:row r="26">
      <x:c r="A26" s="52" t="n">
        <x:v>45931</x:v>
      </x:c>
      <x:c r="B26" s="43" t="n">
        <x:f>SUMIFS('cleaned_orders'!$Q$2:$Q$913,'cleaned_orders'!$AB$2:$AB$913,YEAR(A26),'cleaned_orders'!$AA$2:$AA$913,TEXT(A26,"mmm"),'cleaned_orders'!$AD$2:$AD$913,"Include")</x:f>
        <x:v>121434.81000000001</x:v>
      </x:c>
      <x:c r="C26" s="43" t="n">
        <x:f>SUMIFS('cleaned_orders'!$S$2:$S$913,'cleaned_orders'!$AB$2:$AB$913,YEAR(A26),'cleaned_orders'!$AA$2:$AA$913,TEXT(A26,"mmm"),'cleaned_orders'!$AD$2:$AD$913,"Include")</x:f>
        <x:v>36962.28</x:v>
      </x:c>
      <x:c r="D26" s="46" t="n">
        <x:f>COUNTIFS('cleaned_orders'!$AB$2:$AB$913,YEAR(A26),'cleaned_orders'!$AA$2:$AA$913,TEXT(A26,"mmm"),'cleaned_orders'!$AD$2:$AD$913,"Include")</x:f>
        <x:v>10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ec2f205700914c1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24" hidden="0" customWidth="1"/>
    <x:col min="3" max="3" width="58" hidden="0" customWidth="1"/>
  </x:cols>
  <x:sheetData>
    <x:row r="1" ht="40" customHeight="1">
      <x:c r="A1" s="54" t="str">
        <x:v>Pivot Summary Report</x:v>
      </x:c>
      <x:c r="B1" s="54"/>
      <x:c r="C1" s="54"/>
      <x:c r="D1" s="54"/>
      <x:c r="E1" s="54"/>
      <x:c r="F1" s="54"/>
    </x:row>
    <x:row r="3">
      <x:c r="A3" s="38" t="str">
        <x:v>Output</x:v>
      </x:c>
      <x:c r="B3" s="38" t="str">
        <x:v>Sheet</x:v>
      </x:c>
      <x:c r="C3" s="38" t="str">
        <x:v>Applied Sorting / Filtering</x:v>
      </x:c>
    </x:row>
    <x:row r="4">
      <x:c r="A4" s="16" t="str">
        <x:v>Sales and profit by region</x:v>
      </x:c>
      <x:c r="B4" s="58" t="str">
        <x:v>Pivot Region</x:v>
      </x:c>
      <x:c r="C4" s="13" t="str">
        <x:v>Eligible completed sales; Sales descending</x:v>
      </x:c>
    </x:row>
    <x:row r="5">
      <x:c r="A5" s="17" t="str">
        <x:v>Sales and profit by category / sub-category</x:v>
      </x:c>
      <x:c r="B5" s="59" t="str">
        <x:v>Pivot Category</x:v>
      </x:c>
      <x:c r="C5" s="14" t="str">
        <x:v>Eligible completed sales; Category A-Z, Sales descending</x:v>
      </x:c>
    </x:row>
    <x:row r="6">
      <x:c r="A6" s="17" t="str">
        <x:v>Order count by ship mode</x:v>
      </x:c>
      <x:c r="B6" s="59" t="str">
        <x:v>Pivot Ship Mode</x:v>
      </x:c>
      <x:c r="C6" s="14" t="str">
        <x:v>All records; Order Count descending</x:v>
      </x:c>
    </x:row>
    <x:row r="7">
      <x:c r="A7" s="17" t="str">
        <x:v>Profit margin by customer segment</x:v>
      </x:c>
      <x:c r="B7" s="59" t="str">
        <x:v>Pivot Segment</x:v>
      </x:c>
      <x:c r="C7" s="14" t="str">
        <x:v>Eligible completed sales; Profit Margin descending</x:v>
      </x:c>
    </x:row>
    <x:row r="8">
      <x:c r="A8" s="17" t="str">
        <x:v>Refunded / cancelled / failed by region</x:v>
      </x:c>
      <x:c r="B8" s="59" t="str">
        <x:v>Pivot Exceptions</x:v>
      </x:c>
      <x:c r="C8" s="14" t="str">
        <x:v>All records; Total Status Events descending</x:v>
      </x:c>
    </x:row>
    <x:row r="9">
      <x:c r="A9" s="18" t="str">
        <x:v>Monthly sales trend</x:v>
      </x:c>
      <x:c r="B9" s="60" t="str">
        <x:v>Pivot Monthly</x:v>
      </x:c>
      <x:c r="C9" s="15" t="str">
        <x:v>Eligible completed sales; chronological</x:v>
      </x:c>
    </x:row>
    <x:row r="11" ht="34" customHeight="1">
      <x:c r="A11" s="64" t="str">
        <x:v>Sales summaries exclude cancelled, returned, failed, refunded, invalid and unresolved conflicting records through completed_sales_eligible = Include.</x:v>
      </x:c>
      <x:c r="B11" s="64"/>
      <x:c r="C11" s="64"/>
      <x:c r="D11" s="64"/>
      <x:c r="E11" s="64"/>
      <x:c r="F11" s="64"/>
    </x:row>
  </x:sheetData>
  <x:mergeCells>
    <x:mergeCell ref="A1:F1"/>
    <x:mergeCell ref="A11:F11"/>
  </x:mergeCells>
  <x:pageMargins left="0.7" right="0.7" top="0.75" bottom="0.75" header="0.3" footer="0.3"/>
</x:worksheet>
</file>